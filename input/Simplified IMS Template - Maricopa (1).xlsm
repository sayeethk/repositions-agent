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honaero.sharepoint.com/teams/DL_SR_ToW_India/Shared Documents/IMS/ELE/Sayee/"/>
    </mc:Choice>
  </mc:AlternateContent>
  <xr:revisionPtr revIDLastSave="1018" documentId="8_{8AAD7415-2DA3-45AB-9EE1-9037A8F9F0DE}" xr6:coauthVersionLast="47" xr6:coauthVersionMax="47" xr10:uidLastSave="{70446D08-E1AF-48BE-AE69-23F2DF508EF8}"/>
  <bookViews>
    <workbookView xWindow="-120" yWindow="-120" windowWidth="29040" windowHeight="15720" tabRatio="587" firstSheet="2" activeTab="2" xr2:uid="{D3CD9099-DA27-4BA4-AFE1-4D3091A45DA0}"/>
  </bookViews>
  <sheets>
    <sheet name="Instructions" sheetId="7" r:id="rId1"/>
    <sheet name="SIMS_Template" sheetId="19" r:id="rId2"/>
    <sheet name="SIMS" sheetId="26" r:id="rId3"/>
    <sheet name="Inchstone Example" sheetId="17" r:id="rId4"/>
  </sheets>
  <externalReferences>
    <externalReference r:id="rId5"/>
  </externalReferences>
  <definedNames>
    <definedName name="_xlnm._FilterDatabase" localSheetId="0" hidden="1">Instructions!$A$26:$B$26</definedName>
    <definedName name="_xlnm._FilterDatabase" localSheetId="2" hidden="1">SIMS!$A$8:$FW$8</definedName>
    <definedName name="_xlnm._FilterDatabase" localSheetId="1" hidden="1">SIMS_Template!$A$8:$FW$19</definedName>
    <definedName name="_xleta.BASE" hidden="1" xlm="1">#NAME?</definedName>
    <definedName name="_xleta.DAYS" hidden="1" xlm="1">#NAME?</definedName>
    <definedName name="_xleta.N" hidden="1" xlm="1">#NAME?</definedName>
    <definedName name="_xleta.NETWORKDAYS" hidden="1" xlm="1">#NAME?</definedName>
    <definedName name="_xleta.T" hidden="1" xlm="1">#NAME?</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58" i="26" l="1"/>
  <c r="AM56" i="26"/>
  <c r="AM54" i="26"/>
  <c r="AM52" i="26"/>
  <c r="AM50" i="26"/>
  <c r="AM48" i="26"/>
  <c r="AM46" i="26"/>
  <c r="AM44" i="26"/>
  <c r="AM42" i="26"/>
  <c r="AM40" i="26"/>
  <c r="AM38" i="26"/>
  <c r="AM36" i="26"/>
  <c r="AM34" i="26"/>
  <c r="AM32" i="26"/>
  <c r="AM30" i="26"/>
  <c r="AM28" i="26"/>
  <c r="AM26" i="26"/>
  <c r="AM24" i="26"/>
  <c r="AM22" i="26"/>
  <c r="AM20" i="26"/>
  <c r="AM18" i="26"/>
  <c r="AM16" i="26"/>
  <c r="AM14" i="26"/>
  <c r="AM12" i="26"/>
  <c r="AM10" i="26"/>
  <c r="AJ58" i="26"/>
  <c r="AJ56" i="26"/>
  <c r="AJ54" i="26"/>
  <c r="AJ52" i="26"/>
  <c r="AJ50" i="26"/>
  <c r="AJ48" i="26"/>
  <c r="AJ46" i="26"/>
  <c r="AJ44" i="26"/>
  <c r="AJ42" i="26"/>
  <c r="AJ40" i="26"/>
  <c r="AJ38" i="26"/>
  <c r="AJ36" i="26"/>
  <c r="AJ34" i="26"/>
  <c r="AJ32" i="26"/>
  <c r="AJ30" i="26"/>
  <c r="AJ28" i="26"/>
  <c r="AJ26" i="26"/>
  <c r="AJ24" i="26"/>
  <c r="AJ22" i="26"/>
  <c r="AJ20" i="26"/>
  <c r="AJ18" i="26"/>
  <c r="AJ16" i="26"/>
  <c r="AJ14" i="26"/>
  <c r="AJ12" i="26"/>
  <c r="AJ10" i="26"/>
  <c r="X58" i="26"/>
  <c r="X56" i="26"/>
  <c r="X54" i="26"/>
  <c r="X52" i="26"/>
  <c r="X50" i="26"/>
  <c r="X48" i="26"/>
  <c r="X46" i="26"/>
  <c r="X44" i="26"/>
  <c r="X42" i="26"/>
  <c r="X40" i="26"/>
  <c r="X38" i="26"/>
  <c r="X36" i="26"/>
  <c r="X34" i="26"/>
  <c r="X32" i="26"/>
  <c r="X30" i="26"/>
  <c r="X28" i="26"/>
  <c r="X26" i="26"/>
  <c r="X24" i="26"/>
  <c r="X22" i="26"/>
  <c r="X20" i="26"/>
  <c r="X18" i="26"/>
  <c r="X16" i="26"/>
  <c r="X14" i="26"/>
  <c r="X12" i="26"/>
  <c r="X10" i="26"/>
  <c r="Z10" i="26"/>
  <c r="AC10" i="26"/>
  <c r="AF10" i="26" s="1"/>
  <c r="C10" i="26"/>
  <c r="C11" i="26"/>
  <c r="C12" i="26"/>
  <c r="C13" i="26"/>
  <c r="C14" i="26"/>
  <c r="C15" i="26"/>
  <c r="C16" i="26"/>
  <c r="C17" i="26"/>
  <c r="C18" i="26"/>
  <c r="C19" i="26"/>
  <c r="C20" i="26"/>
  <c r="C21" i="26"/>
  <c r="C22" i="26"/>
  <c r="C23" i="26"/>
  <c r="C24" i="26"/>
  <c r="C25" i="26"/>
  <c r="C26" i="26"/>
  <c r="C27" i="26"/>
  <c r="C28" i="26"/>
  <c r="C29" i="26"/>
  <c r="C30" i="26"/>
  <c r="C31" i="26"/>
  <c r="C32" i="26"/>
  <c r="C33" i="26"/>
  <c r="C34" i="26"/>
  <c r="C35" i="26"/>
  <c r="C36" i="26"/>
  <c r="C37" i="26"/>
  <c r="C38" i="26"/>
  <c r="C39" i="26"/>
  <c r="C40" i="26"/>
  <c r="C41" i="26"/>
  <c r="C42" i="26"/>
  <c r="C43" i="26"/>
  <c r="C44" i="26"/>
  <c r="C45" i="26"/>
  <c r="C46" i="26"/>
  <c r="C47" i="26"/>
  <c r="C48" i="26"/>
  <c r="C49" i="26"/>
  <c r="C50" i="26"/>
  <c r="C51" i="26"/>
  <c r="C52" i="26"/>
  <c r="C53" i="26"/>
  <c r="C54" i="26"/>
  <c r="C55" i="26"/>
  <c r="C56" i="26"/>
  <c r="C57" i="26"/>
  <c r="C58" i="26"/>
  <c r="C9" i="26"/>
  <c r="AC58" i="26"/>
  <c r="AF58" i="26" s="1"/>
  <c r="N58" i="26"/>
  <c r="Q58" i="26" s="1"/>
  <c r="H58" i="26"/>
  <c r="E58" i="26"/>
  <c r="AC56" i="26"/>
  <c r="AF56" i="26" s="1"/>
  <c r="N56" i="26"/>
  <c r="Q56" i="26" s="1"/>
  <c r="H56" i="26"/>
  <c r="E56" i="26"/>
  <c r="AC54" i="26"/>
  <c r="AF54" i="26" s="1"/>
  <c r="N54" i="26"/>
  <c r="Q54" i="26" s="1"/>
  <c r="H54" i="26"/>
  <c r="E54" i="26"/>
  <c r="AC52" i="26"/>
  <c r="AF52" i="26" s="1"/>
  <c r="N52" i="26"/>
  <c r="Q52" i="26" s="1"/>
  <c r="H52" i="26"/>
  <c r="E52" i="26"/>
  <c r="AC50" i="26"/>
  <c r="AF50" i="26" s="1"/>
  <c r="N50" i="26"/>
  <c r="Q50" i="26" s="1"/>
  <c r="H50" i="26"/>
  <c r="E50" i="26"/>
  <c r="AC48" i="26"/>
  <c r="AF48" i="26" s="1"/>
  <c r="N48" i="26"/>
  <c r="Q48" i="26" s="1"/>
  <c r="H48" i="26"/>
  <c r="E48" i="26"/>
  <c r="AC46" i="26"/>
  <c r="AF46" i="26" s="1"/>
  <c r="N46" i="26"/>
  <c r="Q46" i="26" s="1"/>
  <c r="H46" i="26"/>
  <c r="E46" i="26"/>
  <c r="AC44" i="26"/>
  <c r="AF44" i="26" s="1"/>
  <c r="N44" i="26"/>
  <c r="Q44" i="26" s="1"/>
  <c r="W44" i="26" s="1"/>
  <c r="H44" i="26"/>
  <c r="E44" i="26"/>
  <c r="AC42" i="26"/>
  <c r="AF42" i="26" s="1"/>
  <c r="N42" i="26"/>
  <c r="Q42" i="26" s="1"/>
  <c r="H42" i="26"/>
  <c r="E42" i="26"/>
  <c r="AC40" i="26"/>
  <c r="AF40" i="26" s="1"/>
  <c r="N40" i="26"/>
  <c r="Q40" i="26" s="1"/>
  <c r="H40" i="26"/>
  <c r="E40" i="26"/>
  <c r="AC38" i="26"/>
  <c r="AF38" i="26" s="1"/>
  <c r="N38" i="26"/>
  <c r="Q38" i="26" s="1"/>
  <c r="H38" i="26"/>
  <c r="E38" i="26"/>
  <c r="AC36" i="26"/>
  <c r="AF36" i="26" s="1"/>
  <c r="N36" i="26"/>
  <c r="Q36" i="26" s="1"/>
  <c r="H36" i="26"/>
  <c r="E36" i="26"/>
  <c r="AC34" i="26"/>
  <c r="AF34" i="26" s="1"/>
  <c r="N34" i="26"/>
  <c r="Q34" i="26" s="1"/>
  <c r="H34" i="26"/>
  <c r="E34" i="26"/>
  <c r="AC32" i="26"/>
  <c r="AF32" i="26" s="1"/>
  <c r="N32" i="26"/>
  <c r="Q32" i="26" s="1"/>
  <c r="W32" i="26" s="1"/>
  <c r="H32" i="26"/>
  <c r="E32" i="26"/>
  <c r="AC30" i="26"/>
  <c r="AF30" i="26" s="1"/>
  <c r="N30" i="26"/>
  <c r="Q30" i="26" s="1"/>
  <c r="H30" i="26"/>
  <c r="E30" i="26"/>
  <c r="AC28" i="26"/>
  <c r="AF28" i="26" s="1"/>
  <c r="N28" i="26"/>
  <c r="Q28" i="26" s="1"/>
  <c r="H28" i="26"/>
  <c r="E28" i="26"/>
  <c r="AC26" i="26"/>
  <c r="AF26" i="26" s="1"/>
  <c r="N26" i="26"/>
  <c r="Q26" i="26" s="1"/>
  <c r="H26" i="26"/>
  <c r="E26" i="26"/>
  <c r="AC24" i="26"/>
  <c r="AF24" i="26" s="1"/>
  <c r="N24" i="26"/>
  <c r="Q24" i="26" s="1"/>
  <c r="H24" i="26"/>
  <c r="E24" i="26"/>
  <c r="AC22" i="26"/>
  <c r="AF22" i="26" s="1"/>
  <c r="N22" i="26"/>
  <c r="Q22" i="26" s="1"/>
  <c r="H22" i="26"/>
  <c r="E22" i="26"/>
  <c r="AC20" i="26"/>
  <c r="AF20" i="26" s="1"/>
  <c r="N20" i="26"/>
  <c r="Q20" i="26" s="1"/>
  <c r="H20" i="26"/>
  <c r="E20" i="26"/>
  <c r="AC18" i="26"/>
  <c r="AF18" i="26" s="1"/>
  <c r="N18" i="26"/>
  <c r="Q18" i="26" s="1"/>
  <c r="H18" i="26"/>
  <c r="E18" i="26"/>
  <c r="AC16" i="26"/>
  <c r="AF16" i="26" s="1"/>
  <c r="N16" i="26"/>
  <c r="Q16" i="26" s="1"/>
  <c r="W16" i="26" s="1"/>
  <c r="H16" i="26"/>
  <c r="E16" i="26"/>
  <c r="AC14" i="26"/>
  <c r="AF14" i="26" s="1"/>
  <c r="N14" i="26"/>
  <c r="Q14" i="26" s="1"/>
  <c r="H14" i="26"/>
  <c r="E14" i="26"/>
  <c r="AC12" i="26"/>
  <c r="AF12" i="26" s="1"/>
  <c r="N12" i="26"/>
  <c r="Q12" i="26" s="1"/>
  <c r="H12" i="26"/>
  <c r="E12" i="26"/>
  <c r="N10" i="26"/>
  <c r="Q10" i="26" s="1"/>
  <c r="H10" i="26"/>
  <c r="E10" i="26"/>
  <c r="AI10" i="26" l="1"/>
  <c r="Z16" i="26"/>
  <c r="AI16" i="26" s="1"/>
  <c r="AL16" i="26" s="1"/>
  <c r="W58" i="26"/>
  <c r="Z58" i="26"/>
  <c r="AI58" i="26" s="1"/>
  <c r="AL58" i="26" s="1"/>
  <c r="W56" i="26"/>
  <c r="Z56" i="26"/>
  <c r="AI56" i="26" s="1"/>
  <c r="AL56" i="26" s="1"/>
  <c r="W54" i="26"/>
  <c r="Z54" i="26"/>
  <c r="AI54" i="26" s="1"/>
  <c r="AL54" i="26" s="1"/>
  <c r="W52" i="26"/>
  <c r="Z52" i="26"/>
  <c r="AI52" i="26" s="1"/>
  <c r="AL52" i="26" s="1"/>
  <c r="W50" i="26"/>
  <c r="Z50" i="26"/>
  <c r="AI50" i="26" s="1"/>
  <c r="AL50" i="26" s="1"/>
  <c r="W48" i="26"/>
  <c r="Z48" i="26"/>
  <c r="AI48" i="26" s="1"/>
  <c r="AL48" i="26" s="1"/>
  <c r="W46" i="26"/>
  <c r="Z46" i="26"/>
  <c r="AI46" i="26" s="1"/>
  <c r="AL46" i="26" s="1"/>
  <c r="Z44" i="26"/>
  <c r="AI44" i="26" s="1"/>
  <c r="AL44" i="26" s="1"/>
  <c r="W42" i="26"/>
  <c r="Z42" i="26"/>
  <c r="AI42" i="26" s="1"/>
  <c r="AL42" i="26" s="1"/>
  <c r="W40" i="26"/>
  <c r="Z40" i="26"/>
  <c r="AI40" i="26" s="1"/>
  <c r="AL40" i="26" s="1"/>
  <c r="W38" i="26"/>
  <c r="Z38" i="26"/>
  <c r="AI38" i="26" s="1"/>
  <c r="AL38" i="26" s="1"/>
  <c r="W36" i="26"/>
  <c r="Z36" i="26"/>
  <c r="AI36" i="26" s="1"/>
  <c r="AL36" i="26" s="1"/>
  <c r="W34" i="26"/>
  <c r="Z34" i="26"/>
  <c r="AI34" i="26" s="1"/>
  <c r="AL34" i="26" s="1"/>
  <c r="Z32" i="26"/>
  <c r="AI32" i="26" s="1"/>
  <c r="AL32" i="26" s="1"/>
  <c r="W30" i="26"/>
  <c r="Z30" i="26"/>
  <c r="AI30" i="26" s="1"/>
  <c r="AL30" i="26" s="1"/>
  <c r="W28" i="26"/>
  <c r="Z28" i="26"/>
  <c r="AI28" i="26" s="1"/>
  <c r="AL28" i="26" s="1"/>
  <c r="W26" i="26"/>
  <c r="Z26" i="26"/>
  <c r="AI26" i="26" s="1"/>
  <c r="AL26" i="26" s="1"/>
  <c r="W24" i="26"/>
  <c r="Z24" i="26"/>
  <c r="AI24" i="26" s="1"/>
  <c r="AL24" i="26" s="1"/>
  <c r="W22" i="26"/>
  <c r="Z22" i="26"/>
  <c r="AI22" i="26" s="1"/>
  <c r="AL22" i="26" s="1"/>
  <c r="W20" i="26"/>
  <c r="Z20" i="26"/>
  <c r="AI20" i="26" s="1"/>
  <c r="AL20" i="26" s="1"/>
  <c r="W18" i="26"/>
  <c r="Z18" i="26"/>
  <c r="AI18" i="26" s="1"/>
  <c r="AL18" i="26" s="1"/>
  <c r="Z14" i="26"/>
  <c r="AI14" i="26" s="1"/>
  <c r="AL14" i="26" s="1"/>
  <c r="W14" i="26"/>
  <c r="W12" i="26"/>
  <c r="Z12" i="26"/>
  <c r="AI12" i="26" s="1"/>
  <c r="AL12" i="26" s="1"/>
  <c r="W10" i="26"/>
  <c r="AL10" i="26"/>
  <c r="FP18" i="19"/>
  <c r="FP16" i="19"/>
  <c r="FP14" i="19"/>
  <c r="FP12" i="19"/>
  <c r="FP10" i="19"/>
  <c r="CS18" i="19"/>
  <c r="CS16" i="19"/>
  <c r="CS14" i="19"/>
  <c r="CS12" i="19"/>
  <c r="CS10" i="19"/>
  <c r="AC18" i="19"/>
  <c r="AF18" i="19" s="1"/>
  <c r="AB18" i="19"/>
  <c r="AE18" i="19" s="1"/>
  <c r="AC16" i="19"/>
  <c r="AF16" i="19" s="1"/>
  <c r="AB16" i="19"/>
  <c r="AE16" i="19" s="1"/>
  <c r="AC14" i="19"/>
  <c r="AF14" i="19" s="1"/>
  <c r="AB14" i="19"/>
  <c r="AE14" i="19" s="1"/>
  <c r="AC12" i="19"/>
  <c r="AF12" i="19" s="1"/>
  <c r="AB12" i="19"/>
  <c r="AE12" i="19" s="1"/>
  <c r="AC10" i="19"/>
  <c r="AF10" i="19" s="1"/>
  <c r="AB10" i="19"/>
  <c r="AE10" i="19" s="1"/>
  <c r="BA16" i="26" l="1"/>
  <c r="CX16" i="26" s="1"/>
  <c r="DA16" i="26" s="1"/>
  <c r="AX16" i="26"/>
  <c r="BA58" i="26"/>
  <c r="CX58" i="26" s="1"/>
  <c r="DA58" i="26" s="1"/>
  <c r="BA56" i="26"/>
  <c r="CX56" i="26" s="1"/>
  <c r="DA56" i="26" s="1"/>
  <c r="BA54" i="26"/>
  <c r="CX54" i="26" s="1"/>
  <c r="DA54" i="26" s="1"/>
  <c r="BA52" i="26"/>
  <c r="CX52" i="26" s="1"/>
  <c r="DA52" i="26" s="1"/>
  <c r="BA50" i="26"/>
  <c r="CX50" i="26" s="1"/>
  <c r="DA50" i="26" s="1"/>
  <c r="BA48" i="26"/>
  <c r="CX48" i="26" s="1"/>
  <c r="DA48" i="26" s="1"/>
  <c r="BA46" i="26"/>
  <c r="CX46" i="26" s="1"/>
  <c r="DA46" i="26" s="1"/>
  <c r="BA44" i="26"/>
  <c r="CX44" i="26" s="1"/>
  <c r="DA44" i="26" s="1"/>
  <c r="BA42" i="26"/>
  <c r="CX42" i="26" s="1"/>
  <c r="DA42" i="26" s="1"/>
  <c r="BA40" i="26"/>
  <c r="CX40" i="26" s="1"/>
  <c r="DA40" i="26" s="1"/>
  <c r="BA38" i="26"/>
  <c r="CX38" i="26" s="1"/>
  <c r="DA38" i="26" s="1"/>
  <c r="BA36" i="26"/>
  <c r="CX36" i="26" s="1"/>
  <c r="DA36" i="26" s="1"/>
  <c r="BA34" i="26"/>
  <c r="CX34" i="26" s="1"/>
  <c r="DA34" i="26" s="1"/>
  <c r="BA32" i="26"/>
  <c r="CX32" i="26" s="1"/>
  <c r="DA32" i="26" s="1"/>
  <c r="BA30" i="26"/>
  <c r="CX30" i="26" s="1"/>
  <c r="DA30" i="26" s="1"/>
  <c r="BA28" i="26"/>
  <c r="CX28" i="26" s="1"/>
  <c r="DA28" i="26" s="1"/>
  <c r="BA26" i="26"/>
  <c r="CX26" i="26" s="1"/>
  <c r="DA26" i="26" s="1"/>
  <c r="BA24" i="26"/>
  <c r="CX24" i="26" s="1"/>
  <c r="DA24" i="26" s="1"/>
  <c r="AX22" i="26"/>
  <c r="BA22" i="26"/>
  <c r="CX22" i="26" s="1"/>
  <c r="DA22" i="26" s="1"/>
  <c r="BA20" i="26"/>
  <c r="CX20" i="26" s="1"/>
  <c r="DA20" i="26" s="1"/>
  <c r="BA18" i="26"/>
  <c r="CX18" i="26" s="1"/>
  <c r="DA18" i="26" s="1"/>
  <c r="BA14" i="26"/>
  <c r="CX14" i="26" s="1"/>
  <c r="DA14" i="26" s="1"/>
  <c r="BA12" i="26"/>
  <c r="CX12" i="26" s="1"/>
  <c r="DA12" i="26" s="1"/>
  <c r="BA10" i="26"/>
  <c r="CX10" i="26" s="1"/>
  <c r="DA10" i="26" s="1"/>
  <c r="A4" i="7" a="1"/>
  <c r="A4" i="7" s="1"/>
  <c r="N12" i="19"/>
  <c r="AX26" i="26" l="1"/>
  <c r="BD26" i="26" s="1"/>
  <c r="BG26" i="26" s="1"/>
  <c r="BJ26" i="26" s="1"/>
  <c r="CN26" i="26" s="1"/>
  <c r="CQ26" i="26" s="1"/>
  <c r="AX32" i="26"/>
  <c r="BD32" i="26" s="1"/>
  <c r="BG32" i="26" s="1"/>
  <c r="AX40" i="26"/>
  <c r="BD40" i="26" s="1"/>
  <c r="BG40" i="26" s="1"/>
  <c r="BJ40" i="26" s="1"/>
  <c r="CN40" i="26" s="1"/>
  <c r="CQ40" i="26" s="1"/>
  <c r="AX56" i="26"/>
  <c r="BD56" i="26" s="1"/>
  <c r="BG56" i="26" s="1"/>
  <c r="BD16" i="26"/>
  <c r="BG16" i="26" s="1"/>
  <c r="FT51" i="26"/>
  <c r="AX58" i="26"/>
  <c r="BD58" i="26" s="1"/>
  <c r="BG58" i="26" s="1"/>
  <c r="AX38" i="26"/>
  <c r="BD38" i="26" s="1"/>
  <c r="BG38" i="26" s="1"/>
  <c r="BJ38" i="26" s="1"/>
  <c r="CN38" i="26" s="1"/>
  <c r="CQ38" i="26" s="1"/>
  <c r="AX20" i="26"/>
  <c r="BD20" i="26" s="1"/>
  <c r="BG20" i="26" s="1"/>
  <c r="AX12" i="26"/>
  <c r="BD12" i="26" s="1"/>
  <c r="BG12" i="26" s="1"/>
  <c r="BJ12" i="26" s="1"/>
  <c r="CN12" i="26" s="1"/>
  <c r="CQ12" i="26" s="1"/>
  <c r="AX10" i="26"/>
  <c r="BD10" i="26" s="1"/>
  <c r="BG10" i="26" s="1"/>
  <c r="AX50" i="26"/>
  <c r="BD50" i="26" s="1"/>
  <c r="BG50" i="26" s="1"/>
  <c r="BJ50" i="26" s="1"/>
  <c r="CN50" i="26" s="1"/>
  <c r="CQ50" i="26" s="1"/>
  <c r="AX44" i="26"/>
  <c r="BD44" i="26" s="1"/>
  <c r="BG44" i="26" s="1"/>
  <c r="AX18" i="26"/>
  <c r="BD18" i="26" s="1"/>
  <c r="BG18" i="26" s="1"/>
  <c r="AX46" i="26"/>
  <c r="BD46" i="26" s="1"/>
  <c r="BG46" i="26" s="1"/>
  <c r="BD22" i="26"/>
  <c r="BG22" i="26" s="1"/>
  <c r="AX42" i="26"/>
  <c r="BD42" i="26" s="1"/>
  <c r="BG42" i="26" s="1"/>
  <c r="AX48" i="26"/>
  <c r="BD48" i="26" s="1"/>
  <c r="BG48" i="26" s="1"/>
  <c r="BJ48" i="26" s="1"/>
  <c r="CN48" i="26" s="1"/>
  <c r="CQ48" i="26" s="1"/>
  <c r="AX54" i="26"/>
  <c r="BD54" i="26" s="1"/>
  <c r="BG54" i="26" s="1"/>
  <c r="AX30" i="26"/>
  <c r="BD30" i="26" s="1"/>
  <c r="BG30" i="26" s="1"/>
  <c r="AX36" i="26"/>
  <c r="BD36" i="26" s="1"/>
  <c r="BG36" i="26" s="1"/>
  <c r="AX34" i="26"/>
  <c r="BD34" i="26" s="1"/>
  <c r="BG34" i="26" s="1"/>
  <c r="AX52" i="26"/>
  <c r="BD52" i="26" s="1"/>
  <c r="BG52" i="26" s="1"/>
  <c r="AX28" i="26"/>
  <c r="BD28" i="26" s="1"/>
  <c r="BG28" i="26" s="1"/>
  <c r="AX24" i="26"/>
  <c r="BD24" i="26" s="1"/>
  <c r="BG24" i="26" s="1"/>
  <c r="AX14" i="26"/>
  <c r="BD14" i="26" s="1"/>
  <c r="BG14" i="26" s="1"/>
  <c r="H18" i="19"/>
  <c r="H16" i="19"/>
  <c r="H14" i="19"/>
  <c r="H12" i="19"/>
  <c r="H10" i="19"/>
  <c r="FT55" i="26" l="1"/>
  <c r="BJ16" i="26"/>
  <c r="CN16" i="26" s="1"/>
  <c r="CQ16" i="26" s="1"/>
  <c r="BJ22" i="26"/>
  <c r="CN22" i="26" s="1"/>
  <c r="CQ22" i="26" s="1"/>
  <c r="CU22" i="26" s="1"/>
  <c r="DG22" i="26" s="1"/>
  <c r="DK22" i="26" s="1"/>
  <c r="EF22" i="26" s="1"/>
  <c r="FA22" i="26" s="1"/>
  <c r="FJ22" i="26" s="1"/>
  <c r="FU22" i="26" s="1"/>
  <c r="BJ56" i="26"/>
  <c r="CN56" i="26" s="1"/>
  <c r="CQ56" i="26" s="1"/>
  <c r="CU56" i="26" s="1"/>
  <c r="DG56" i="26" s="1"/>
  <c r="DK56" i="26" s="1"/>
  <c r="EF56" i="26" s="1"/>
  <c r="FA56" i="26" s="1"/>
  <c r="FJ56" i="26" s="1"/>
  <c r="FU56" i="26" s="1"/>
  <c r="BJ46" i="26"/>
  <c r="CN46" i="26" s="1"/>
  <c r="CQ46" i="26" s="1"/>
  <c r="CU46" i="26" s="1"/>
  <c r="FU46" i="26" s="1"/>
  <c r="BJ44" i="26"/>
  <c r="CN44" i="26" s="1"/>
  <c r="CQ44" i="26" s="1"/>
  <c r="CU44" i="26" s="1"/>
  <c r="DG44" i="26" s="1"/>
  <c r="DK44" i="26" s="1"/>
  <c r="EF44" i="26" s="1"/>
  <c r="FA44" i="26" s="1"/>
  <c r="FJ44" i="26" s="1"/>
  <c r="FU44" i="26" s="1"/>
  <c r="BJ54" i="26"/>
  <c r="CN54" i="26" s="1"/>
  <c r="CQ54" i="26" s="1"/>
  <c r="CU54" i="26" s="1"/>
  <c r="DG54" i="26" s="1"/>
  <c r="DK54" i="26" s="1"/>
  <c r="EF54" i="26" s="1"/>
  <c r="FA54" i="26" s="1"/>
  <c r="FJ54" i="26" s="1"/>
  <c r="FU54" i="26" s="1"/>
  <c r="FT19" i="26"/>
  <c r="BJ36" i="26"/>
  <c r="CN36" i="26" s="1"/>
  <c r="CQ36" i="26" s="1"/>
  <c r="CU36" i="26" s="1"/>
  <c r="DG36" i="26" s="1"/>
  <c r="DK36" i="26" s="1"/>
  <c r="EF36" i="26" s="1"/>
  <c r="FA36" i="26" s="1"/>
  <c r="FJ36" i="26" s="1"/>
  <c r="FU36" i="26" s="1"/>
  <c r="BJ42" i="26"/>
  <c r="CN42" i="26" s="1"/>
  <c r="CQ42" i="26" s="1"/>
  <c r="CU42" i="26" s="1"/>
  <c r="DG42" i="26" s="1"/>
  <c r="DK42" i="26" s="1"/>
  <c r="EF42" i="26" s="1"/>
  <c r="FA42" i="26" s="1"/>
  <c r="FJ42" i="26" s="1"/>
  <c r="FU42" i="26" s="1"/>
  <c r="BJ20" i="26"/>
  <c r="CN20" i="26" s="1"/>
  <c r="CQ20" i="26" s="1"/>
  <c r="CU20" i="26" s="1"/>
  <c r="DG20" i="26" s="1"/>
  <c r="DK20" i="26" s="1"/>
  <c r="EF20" i="26" s="1"/>
  <c r="FA20" i="26" s="1"/>
  <c r="FJ20" i="26" s="1"/>
  <c r="BJ30" i="26"/>
  <c r="CN30" i="26" s="1"/>
  <c r="CQ30" i="26" s="1"/>
  <c r="CU30" i="26" s="1"/>
  <c r="DG30" i="26" s="1"/>
  <c r="DK30" i="26" s="1"/>
  <c r="EF30" i="26" s="1"/>
  <c r="FA30" i="26" s="1"/>
  <c r="FJ30" i="26" s="1"/>
  <c r="FU30" i="26" s="1"/>
  <c r="BJ58" i="26"/>
  <c r="CN58" i="26" s="1"/>
  <c r="CQ58" i="26" s="1"/>
  <c r="FT56" i="26"/>
  <c r="BJ52" i="26"/>
  <c r="CN52" i="26" s="1"/>
  <c r="CQ52" i="26" s="1"/>
  <c r="FT52" i="26"/>
  <c r="CU50" i="26"/>
  <c r="DG50" i="26" s="1"/>
  <c r="DK50" i="26" s="1"/>
  <c r="EF50" i="26" s="1"/>
  <c r="FA50" i="26" s="1"/>
  <c r="FJ50" i="26" s="1"/>
  <c r="FU50" i="26" s="1"/>
  <c r="CU48" i="26"/>
  <c r="DG48" i="26" s="1"/>
  <c r="DK48" i="26" s="1"/>
  <c r="EF48" i="26" s="1"/>
  <c r="FA48" i="26" s="1"/>
  <c r="FJ48" i="26" s="1"/>
  <c r="FU48" i="26" s="1"/>
  <c r="FT47" i="26"/>
  <c r="FT45" i="26"/>
  <c r="FT43" i="26"/>
  <c r="FT41" i="26"/>
  <c r="CU40" i="26"/>
  <c r="DG40" i="26" s="1"/>
  <c r="DK40" i="26" s="1"/>
  <c r="EF40" i="26" s="1"/>
  <c r="FA40" i="26" s="1"/>
  <c r="FJ40" i="26" s="1"/>
  <c r="FU40" i="26" s="1"/>
  <c r="FT39" i="26"/>
  <c r="CU38" i="26"/>
  <c r="DG38" i="26" s="1"/>
  <c r="DK38" i="26" s="1"/>
  <c r="EF38" i="26" s="1"/>
  <c r="FA38" i="26" s="1"/>
  <c r="FJ38" i="26" s="1"/>
  <c r="FU38" i="26" s="1"/>
  <c r="FT37" i="26"/>
  <c r="FT35" i="26"/>
  <c r="BJ34" i="26"/>
  <c r="CN34" i="26" s="1"/>
  <c r="CQ34" i="26" s="1"/>
  <c r="FT33" i="26"/>
  <c r="FT31" i="26"/>
  <c r="BJ32" i="26"/>
  <c r="CN32" i="26" s="1"/>
  <c r="CQ32" i="26" s="1"/>
  <c r="BJ28" i="26"/>
  <c r="CN28" i="26" s="1"/>
  <c r="CQ28" i="26" s="1"/>
  <c r="FT25" i="26"/>
  <c r="CU26" i="26"/>
  <c r="DG26" i="26" s="1"/>
  <c r="DK26" i="26" s="1"/>
  <c r="EF26" i="26" s="1"/>
  <c r="FA26" i="26" s="1"/>
  <c r="FJ26" i="26" s="1"/>
  <c r="BJ24" i="26"/>
  <c r="CN24" i="26" s="1"/>
  <c r="CQ24" i="26" s="1"/>
  <c r="FT21" i="26"/>
  <c r="BJ18" i="26"/>
  <c r="CN18" i="26" s="1"/>
  <c r="CQ18" i="26" s="1"/>
  <c r="FT17" i="26"/>
  <c r="CU16" i="26"/>
  <c r="DG16" i="26" s="1"/>
  <c r="DK16" i="26" s="1"/>
  <c r="EF16" i="26" s="1"/>
  <c r="FA16" i="26" s="1"/>
  <c r="FJ16" i="26" s="1"/>
  <c r="BJ14" i="26"/>
  <c r="CN14" i="26" s="1"/>
  <c r="CQ14" i="26" s="1"/>
  <c r="FT13" i="26"/>
  <c r="FT11" i="26"/>
  <c r="CU12" i="26"/>
  <c r="DG12" i="26" s="1"/>
  <c r="DK12" i="26" s="1"/>
  <c r="EF12" i="26" s="1"/>
  <c r="FA12" i="26" s="1"/>
  <c r="FJ12" i="26" s="1"/>
  <c r="FU12" i="26" s="1"/>
  <c r="BJ10" i="26"/>
  <c r="CN10" i="26" s="1"/>
  <c r="CQ10" i="26" s="1"/>
  <c r="E10" i="19"/>
  <c r="E18" i="19"/>
  <c r="E16" i="19"/>
  <c r="E14" i="19"/>
  <c r="E12" i="19"/>
  <c r="CU58" i="26" l="1"/>
  <c r="DG58" i="26" s="1"/>
  <c r="DK58" i="26" s="1"/>
  <c r="EF58" i="26" s="1"/>
  <c r="FA58" i="26" s="1"/>
  <c r="FJ58" i="26" s="1"/>
  <c r="FU58" i="26" s="1"/>
  <c r="FT57" i="26"/>
  <c r="FR56" i="26"/>
  <c r="FM56" i="26"/>
  <c r="FP56" i="26" s="1"/>
  <c r="FV56" i="26"/>
  <c r="FT53" i="26"/>
  <c r="FM54" i="26"/>
  <c r="FP54" i="26" s="1"/>
  <c r="FV54" i="26"/>
  <c r="CU52" i="26"/>
  <c r="DG52" i="26" s="1"/>
  <c r="DK52" i="26" s="1"/>
  <c r="EF52" i="26" s="1"/>
  <c r="FA52" i="26" s="1"/>
  <c r="FJ52" i="26" s="1"/>
  <c r="FU52" i="26" s="1"/>
  <c r="FT49" i="26"/>
  <c r="FM50" i="26"/>
  <c r="FP50" i="26" s="1"/>
  <c r="FV50" i="26"/>
  <c r="FT48" i="26"/>
  <c r="FR48" i="26"/>
  <c r="FM48" i="26"/>
  <c r="FP48" i="26" s="1"/>
  <c r="FV48" i="26"/>
  <c r="FT46" i="26"/>
  <c r="FR46" i="26"/>
  <c r="FV46" i="26"/>
  <c r="FT44" i="26"/>
  <c r="FR44" i="26"/>
  <c r="FM44" i="26"/>
  <c r="FP44" i="26" s="1"/>
  <c r="FV44" i="26"/>
  <c r="FR42" i="26"/>
  <c r="FM42" i="26"/>
  <c r="FP42" i="26" s="1"/>
  <c r="FV42" i="26"/>
  <c r="FT42" i="26"/>
  <c r="FT40" i="26"/>
  <c r="FR40" i="26"/>
  <c r="FM40" i="26"/>
  <c r="FP40" i="26" s="1"/>
  <c r="FV40" i="26"/>
  <c r="FT38" i="26"/>
  <c r="FM38" i="26"/>
  <c r="FP38" i="26" s="1"/>
  <c r="FR38" i="26"/>
  <c r="FV38" i="26"/>
  <c r="FT36" i="26"/>
  <c r="FR36" i="26"/>
  <c r="FM36" i="26"/>
  <c r="FP36" i="26" s="1"/>
  <c r="FV36" i="26"/>
  <c r="FT34" i="26"/>
  <c r="CU34" i="26"/>
  <c r="DG34" i="26" s="1"/>
  <c r="DK34" i="26" s="1"/>
  <c r="EF34" i="26" s="1"/>
  <c r="FA34" i="26" s="1"/>
  <c r="FJ34" i="26" s="1"/>
  <c r="FU34" i="26" s="1"/>
  <c r="CU32" i="26"/>
  <c r="DG32" i="26" s="1"/>
  <c r="DK32" i="26" s="1"/>
  <c r="EF32" i="26" s="1"/>
  <c r="FA32" i="26" s="1"/>
  <c r="FJ32" i="26" s="1"/>
  <c r="FU32" i="26" s="1"/>
  <c r="FT32" i="26"/>
  <c r="FT29" i="26"/>
  <c r="FM30" i="26"/>
  <c r="FP30" i="26" s="1"/>
  <c r="FV30" i="26"/>
  <c r="CU28" i="26"/>
  <c r="DG28" i="26" s="1"/>
  <c r="DK28" i="26" s="1"/>
  <c r="EF28" i="26" s="1"/>
  <c r="FA28" i="26" s="1"/>
  <c r="FJ28" i="26" s="1"/>
  <c r="FU28" i="26" s="1"/>
  <c r="FT27" i="26"/>
  <c r="FR26" i="26"/>
  <c r="FM26" i="26"/>
  <c r="FP26" i="26" s="1"/>
  <c r="FV26" i="26"/>
  <c r="FU26" i="26"/>
  <c r="FT26" i="26"/>
  <c r="CU24" i="26"/>
  <c r="DG24" i="26" s="1"/>
  <c r="DK24" i="26" s="1"/>
  <c r="EF24" i="26" s="1"/>
  <c r="FA24" i="26" s="1"/>
  <c r="FJ24" i="26" s="1"/>
  <c r="FU24" i="26" s="1"/>
  <c r="FT23" i="26"/>
  <c r="FR22" i="26"/>
  <c r="FM22" i="26"/>
  <c r="FP22" i="26" s="1"/>
  <c r="FV22" i="26"/>
  <c r="FT22" i="26"/>
  <c r="FR20" i="26"/>
  <c r="FM20" i="26"/>
  <c r="FP20" i="26" s="1"/>
  <c r="FV20" i="26"/>
  <c r="FU20" i="26"/>
  <c r="FT20" i="26"/>
  <c r="FT18" i="26"/>
  <c r="CU18" i="26"/>
  <c r="DG18" i="26" s="1"/>
  <c r="DK18" i="26" s="1"/>
  <c r="EF18" i="26" s="1"/>
  <c r="FA18" i="26" s="1"/>
  <c r="FJ18" i="26" s="1"/>
  <c r="FU18" i="26" s="1"/>
  <c r="FM16" i="26"/>
  <c r="FP16" i="26" s="1"/>
  <c r="FV16" i="26"/>
  <c r="FU16" i="26"/>
  <c r="FT15" i="26"/>
  <c r="FT14" i="26"/>
  <c r="CU14" i="26"/>
  <c r="DG14" i="26" s="1"/>
  <c r="DK14" i="26" s="1"/>
  <c r="EF14" i="26" s="1"/>
  <c r="FA14" i="26" s="1"/>
  <c r="FJ14" i="26" s="1"/>
  <c r="FU14" i="26" s="1"/>
  <c r="FT12" i="26"/>
  <c r="FR12" i="26"/>
  <c r="FM12" i="26"/>
  <c r="FP12" i="26" s="1"/>
  <c r="FV12" i="26"/>
  <c r="CU10" i="26"/>
  <c r="DG10" i="26" s="1"/>
  <c r="DK10" i="26" s="1"/>
  <c r="EF10" i="26" s="1"/>
  <c r="FA10" i="26" s="1"/>
  <c r="FJ10" i="26" s="1"/>
  <c r="FU10" i="26" s="1"/>
  <c r="FT9" i="26"/>
  <c r="N18" i="19"/>
  <c r="Q18" i="19" s="1"/>
  <c r="W18" i="19" s="1"/>
  <c r="M18" i="19"/>
  <c r="P18" i="19" s="1"/>
  <c r="N16" i="19"/>
  <c r="Q16" i="19" s="1"/>
  <c r="M16" i="19"/>
  <c r="P16" i="19" s="1"/>
  <c r="K14" i="19"/>
  <c r="N14" i="19" s="1"/>
  <c r="Q14" i="19" s="1"/>
  <c r="Z14" i="19" s="1"/>
  <c r="J14" i="19"/>
  <c r="M14" i="19" s="1"/>
  <c r="P14" i="19" s="1"/>
  <c r="Q12" i="19"/>
  <c r="M12" i="19"/>
  <c r="P12" i="19" s="1"/>
  <c r="V12" i="19" s="1"/>
  <c r="N10" i="19"/>
  <c r="Q10" i="19" s="1"/>
  <c r="M10" i="19"/>
  <c r="FT58" i="26" l="1"/>
  <c r="FR58" i="26"/>
  <c r="FM58" i="26"/>
  <c r="FP58" i="26" s="1"/>
  <c r="FV58" i="26"/>
  <c r="FV55" i="26"/>
  <c r="FU55" i="26"/>
  <c r="FR54" i="26"/>
  <c r="FV53" i="26"/>
  <c r="FU53" i="26"/>
  <c r="FT54" i="26"/>
  <c r="FR52" i="26"/>
  <c r="FM52" i="26"/>
  <c r="FP52" i="26" s="1"/>
  <c r="FV52" i="26"/>
  <c r="FV49" i="26"/>
  <c r="FU49" i="26"/>
  <c r="FR50" i="26"/>
  <c r="FT50" i="26"/>
  <c r="FV47" i="26"/>
  <c r="FU47" i="26"/>
  <c r="FV45" i="26"/>
  <c r="FU45" i="26"/>
  <c r="FU43" i="26"/>
  <c r="FV43" i="26"/>
  <c r="FV41" i="26"/>
  <c r="FU41" i="26"/>
  <c r="FV39" i="26"/>
  <c r="FU39" i="26"/>
  <c r="FV37" i="26"/>
  <c r="FU37" i="26"/>
  <c r="FV35" i="26"/>
  <c r="FU35" i="26"/>
  <c r="FR34" i="26"/>
  <c r="FM34" i="26"/>
  <c r="FP34" i="26" s="1"/>
  <c r="FV34" i="26"/>
  <c r="FR32" i="26"/>
  <c r="FM32" i="26"/>
  <c r="FP32" i="26" s="1"/>
  <c r="FV32" i="26"/>
  <c r="FR30" i="26"/>
  <c r="FV29" i="26"/>
  <c r="FU29" i="26"/>
  <c r="FT30" i="26"/>
  <c r="FT28" i="26"/>
  <c r="FR28" i="26"/>
  <c r="FM28" i="26"/>
  <c r="FP28" i="26" s="1"/>
  <c r="FV28" i="26"/>
  <c r="FV25" i="26"/>
  <c r="FU25" i="26"/>
  <c r="FT24" i="26"/>
  <c r="FR24" i="26"/>
  <c r="FM24" i="26"/>
  <c r="FP24" i="26" s="1"/>
  <c r="FV24" i="26"/>
  <c r="FV21" i="26"/>
  <c r="FU21" i="26"/>
  <c r="FU19" i="26"/>
  <c r="FV19" i="26"/>
  <c r="FR18" i="26"/>
  <c r="FM18" i="26"/>
  <c r="FP18" i="26" s="1"/>
  <c r="FV18" i="26"/>
  <c r="FR16" i="26"/>
  <c r="FT16" i="26"/>
  <c r="FV15" i="26"/>
  <c r="FU15" i="26"/>
  <c r="FR14" i="26"/>
  <c r="FM14" i="26"/>
  <c r="FP14" i="26" s="1"/>
  <c r="FV14" i="26"/>
  <c r="FV11" i="26"/>
  <c r="FU11" i="26"/>
  <c r="FT10" i="26"/>
  <c r="FR10" i="26"/>
  <c r="FM10" i="26"/>
  <c r="FP10" i="26" s="1"/>
  <c r="FV10" i="26"/>
  <c r="S14" i="19"/>
  <c r="Y14" i="19"/>
  <c r="Z12" i="19"/>
  <c r="AI12" i="19" s="1"/>
  <c r="AL12" i="19" s="1"/>
  <c r="AO12" i="19" s="1"/>
  <c r="W12" i="19"/>
  <c r="Z18" i="19"/>
  <c r="AI18" i="19" s="1"/>
  <c r="AL18" i="19" s="1"/>
  <c r="AO18" i="19" s="1"/>
  <c r="Z16" i="19"/>
  <c r="AI16" i="19" s="1"/>
  <c r="AL16" i="19" s="1"/>
  <c r="AO16" i="19" s="1"/>
  <c r="AU16" i="19" s="1"/>
  <c r="W16" i="19"/>
  <c r="Y18" i="19"/>
  <c r="AH18" i="19" s="1"/>
  <c r="AK18" i="19" s="1"/>
  <c r="AN18" i="19" s="1"/>
  <c r="AT18" i="19" s="1"/>
  <c r="V18" i="19"/>
  <c r="T14" i="19"/>
  <c r="Y12" i="19"/>
  <c r="AH12" i="19" s="1"/>
  <c r="AK12" i="19" s="1"/>
  <c r="AN12" i="19" s="1"/>
  <c r="AT12" i="19" s="1"/>
  <c r="V16" i="19"/>
  <c r="Y16" i="19"/>
  <c r="AH16" i="19" s="1"/>
  <c r="AK16" i="19" s="1"/>
  <c r="AN16" i="19" s="1"/>
  <c r="AT16" i="19" s="1"/>
  <c r="P10" i="19"/>
  <c r="FV57" i="26" l="1"/>
  <c r="FU57" i="26"/>
  <c r="FV51" i="26"/>
  <c r="FU51" i="26"/>
  <c r="FV33" i="26"/>
  <c r="FU33" i="26"/>
  <c r="FV31" i="26"/>
  <c r="FU31" i="26"/>
  <c r="FV27" i="26"/>
  <c r="FU27" i="26"/>
  <c r="FV23" i="26"/>
  <c r="FU23" i="26"/>
  <c r="FV17" i="26"/>
  <c r="FU17" i="26"/>
  <c r="FV13" i="26"/>
  <c r="FU13" i="26"/>
  <c r="FV9" i="26"/>
  <c r="FU9" i="26"/>
  <c r="AH14" i="19"/>
  <c r="AK14" i="19" s="1"/>
  <c r="AN14" i="19" s="1"/>
  <c r="AT14" i="19" s="1"/>
  <c r="AR18" i="19"/>
  <c r="AU18" i="19"/>
  <c r="Z10" i="19"/>
  <c r="AI10" i="19" s="1"/>
  <c r="AL10" i="19" s="1"/>
  <c r="AO10" i="19" s="1"/>
  <c r="W10" i="19"/>
  <c r="BA12" i="19"/>
  <c r="CX12" i="19" s="1"/>
  <c r="DA12" i="19" s="1"/>
  <c r="AU12" i="19"/>
  <c r="AR12" i="19"/>
  <c r="BA18" i="19"/>
  <c r="CX18" i="19" s="1"/>
  <c r="DA18" i="19" s="1"/>
  <c r="BA16" i="19"/>
  <c r="CX16" i="19" s="1"/>
  <c r="DA16" i="19" s="1"/>
  <c r="AR16" i="19"/>
  <c r="AX16" i="19" s="1"/>
  <c r="AI14" i="19"/>
  <c r="AL14" i="19" s="1"/>
  <c r="AO14" i="19" s="1"/>
  <c r="AU14" i="19" s="1"/>
  <c r="V10" i="19"/>
  <c r="Y10" i="19"/>
  <c r="AH10" i="19" s="1"/>
  <c r="AK10" i="19" s="1"/>
  <c r="AN10" i="19" s="1"/>
  <c r="AT10" i="19" s="1"/>
  <c r="AZ18" i="19"/>
  <c r="CW18" i="19" s="1"/>
  <c r="CZ18" i="19" s="1"/>
  <c r="AQ18" i="19"/>
  <c r="AZ16" i="19"/>
  <c r="CW16" i="19" s="1"/>
  <c r="CZ16" i="19" s="1"/>
  <c r="AQ16" i="19"/>
  <c r="AZ12" i="19"/>
  <c r="CW12" i="19" s="1"/>
  <c r="CZ12" i="19" s="1"/>
  <c r="AQ12" i="19"/>
  <c r="AX12" i="19" l="1"/>
  <c r="AQ14" i="19"/>
  <c r="AW14" i="19" s="1"/>
  <c r="AZ14" i="19"/>
  <c r="CW14" i="19" s="1"/>
  <c r="CZ14" i="19" s="1"/>
  <c r="BA10" i="19"/>
  <c r="CX10" i="19" s="1"/>
  <c r="DA10" i="19" s="1"/>
  <c r="AU10" i="19"/>
  <c r="AR10" i="19"/>
  <c r="AX18" i="19"/>
  <c r="BD18" i="19" s="1"/>
  <c r="BG18" i="19" s="1"/>
  <c r="AW18" i="19"/>
  <c r="BD16" i="19"/>
  <c r="BG16" i="19" s="1"/>
  <c r="AW16" i="19"/>
  <c r="AZ10" i="19"/>
  <c r="CW10" i="19" s="1"/>
  <c r="CZ10" i="19" s="1"/>
  <c r="AQ10" i="19"/>
  <c r="AW12" i="19"/>
  <c r="BD12" i="19"/>
  <c r="BG12" i="19" s="1"/>
  <c r="AR14" i="19"/>
  <c r="AX14" i="19" s="1"/>
  <c r="BA14" i="19"/>
  <c r="CX14" i="19" s="1"/>
  <c r="DA14" i="19" s="1"/>
  <c r="AX10" i="19" l="1"/>
  <c r="BD10" i="19" s="1"/>
  <c r="BG10" i="19" s="1"/>
  <c r="BC14" i="19"/>
  <c r="BF14" i="19" s="1"/>
  <c r="EH14" i="19" s="1"/>
  <c r="BC12" i="19"/>
  <c r="BF12" i="19" s="1"/>
  <c r="EH12" i="19" s="1"/>
  <c r="BC16" i="19"/>
  <c r="BF16" i="19" s="1"/>
  <c r="EH16" i="19" s="1"/>
  <c r="BC18" i="19"/>
  <c r="BF18" i="19" s="1"/>
  <c r="EH18" i="19" s="1"/>
  <c r="BD14" i="19"/>
  <c r="BG14" i="19" s="1"/>
  <c r="EI12" i="19"/>
  <c r="BJ12" i="19"/>
  <c r="CK12" i="19" s="1"/>
  <c r="CN12" i="19" s="1"/>
  <c r="AW10" i="19"/>
  <c r="BJ16" i="19"/>
  <c r="EI16" i="19"/>
  <c r="EI18" i="19"/>
  <c r="BJ18" i="19"/>
  <c r="CK18" i="19" s="1"/>
  <c r="CN18" i="19" s="1"/>
  <c r="CQ18" i="19" l="1"/>
  <c r="CQ12" i="19"/>
  <c r="BI18" i="19"/>
  <c r="CJ18" i="19" s="1"/>
  <c r="CM18" i="19" s="1"/>
  <c r="BI16" i="19"/>
  <c r="BI12" i="19"/>
  <c r="CJ12" i="19" s="1"/>
  <c r="CM12" i="19" s="1"/>
  <c r="BC10" i="19"/>
  <c r="BF10" i="19" s="1"/>
  <c r="EH10" i="19" s="1"/>
  <c r="BO16" i="19"/>
  <c r="CJ16" i="19"/>
  <c r="CM16" i="19" s="1"/>
  <c r="BP16" i="19"/>
  <c r="CK16" i="19"/>
  <c r="CN16" i="19" s="1"/>
  <c r="BJ10" i="19"/>
  <c r="CN10" i="19" s="1"/>
  <c r="EI10" i="19"/>
  <c r="BI14" i="19"/>
  <c r="BL14" i="19" s="1"/>
  <c r="BO14" i="19" s="1"/>
  <c r="BR14" i="19" s="1"/>
  <c r="BU14" i="19" s="1"/>
  <c r="BX14" i="19" s="1"/>
  <c r="BJ14" i="19"/>
  <c r="BM14" i="19" s="1"/>
  <c r="BP14" i="19" s="1"/>
  <c r="BS14" i="19" s="1"/>
  <c r="BV14" i="19" s="1"/>
  <c r="BY14" i="19" s="1"/>
  <c r="EI14" i="19"/>
  <c r="CU12" i="19" l="1"/>
  <c r="CU18" i="19"/>
  <c r="DC12" i="19"/>
  <c r="DF12" i="19" s="1"/>
  <c r="DJ12" i="19" s="1"/>
  <c r="DM12" i="19" s="1"/>
  <c r="DP12" i="19" s="1"/>
  <c r="DT12" i="19" s="1"/>
  <c r="DD12" i="19"/>
  <c r="DG12" i="19" s="1"/>
  <c r="DK12" i="19" s="1"/>
  <c r="DN12" i="19" s="1"/>
  <c r="DQ12" i="19" s="1"/>
  <c r="DU12" i="19" s="1"/>
  <c r="DD18" i="19"/>
  <c r="DG18" i="19" s="1"/>
  <c r="DK18" i="19" s="1"/>
  <c r="DN18" i="19" s="1"/>
  <c r="DQ18" i="19" s="1"/>
  <c r="DU18" i="19" s="1"/>
  <c r="DY18" i="19" s="1"/>
  <c r="DC18" i="19"/>
  <c r="DF18" i="19" s="1"/>
  <c r="DJ18" i="19" s="1"/>
  <c r="DM18" i="19" s="1"/>
  <c r="DP18" i="19" s="1"/>
  <c r="CP16" i="19"/>
  <c r="CP12" i="19"/>
  <c r="CP18" i="19"/>
  <c r="CQ10" i="19"/>
  <c r="CU10" i="19" s="1"/>
  <c r="DG10" i="19" s="1"/>
  <c r="DK10" i="19" s="1"/>
  <c r="EF10" i="19" s="1"/>
  <c r="FA10" i="19" s="1"/>
  <c r="CQ16" i="19"/>
  <c r="BI10" i="19"/>
  <c r="CM10" i="19" s="1"/>
  <c r="CP10" i="19" s="1"/>
  <c r="CT10" i="19" s="1"/>
  <c r="CG14" i="19"/>
  <c r="CD14" i="19"/>
  <c r="CJ14" i="19" s="1"/>
  <c r="CM14" i="19" s="1"/>
  <c r="CP14" i="19" s="1"/>
  <c r="CA14" i="19"/>
  <c r="CH14" i="19"/>
  <c r="CE14" i="19"/>
  <c r="CK14" i="19" s="1"/>
  <c r="CN14" i="19" s="1"/>
  <c r="CB14" i="19"/>
  <c r="CT12" i="19" l="1"/>
  <c r="CT16" i="19"/>
  <c r="CU16" i="19"/>
  <c r="DC16" i="19" s="1"/>
  <c r="DF16" i="19" s="1"/>
  <c r="DJ16" i="19" s="1"/>
  <c r="DM16" i="19" s="1"/>
  <c r="DP16" i="19" s="1"/>
  <c r="DT16" i="19" s="1"/>
  <c r="DX16" i="19" s="1"/>
  <c r="CT18" i="19"/>
  <c r="CT14" i="19"/>
  <c r="DF14" i="19" s="1"/>
  <c r="DT18" i="19"/>
  <c r="DX18" i="19" s="1"/>
  <c r="EB18" i="19" s="1"/>
  <c r="CQ14" i="19"/>
  <c r="DD16" i="19" l="1"/>
  <c r="DG16" i="19" s="1"/>
  <c r="DK16" i="19" s="1"/>
  <c r="DN16" i="19" s="1"/>
  <c r="DQ16" i="19" s="1"/>
  <c r="DU16" i="19" s="1"/>
  <c r="DY16" i="19" s="1"/>
  <c r="CU14" i="19"/>
  <c r="DG14" i="19" s="1"/>
  <c r="EC12" i="19"/>
  <c r="EF12" i="19" s="1"/>
  <c r="EB12" i="19"/>
  <c r="EE12" i="19" s="1"/>
  <c r="DJ14" i="19"/>
  <c r="DM14" i="19" s="1"/>
  <c r="DP14" i="19" s="1"/>
  <c r="DT14" i="19" s="1"/>
  <c r="DK14" i="19"/>
  <c r="DN14" i="19" s="1"/>
  <c r="DQ14" i="19" s="1"/>
  <c r="DU14" i="19" s="1"/>
  <c r="FJ10" i="19"/>
  <c r="FV10" i="19" l="1"/>
  <c r="FU10" i="19"/>
  <c r="FM10" i="19"/>
  <c r="EN12" i="19"/>
  <c r="ET12" i="19"/>
  <c r="EQ12" i="19"/>
  <c r="ER12" i="19"/>
  <c r="EO12" i="19"/>
  <c r="EU12" i="19"/>
  <c r="EC18" i="19"/>
  <c r="EF18" i="19" s="1"/>
  <c r="EX12" i="19" l="1"/>
  <c r="FA12" i="19" s="1"/>
  <c r="FJ12" i="19" s="1"/>
  <c r="EW12" i="19"/>
  <c r="EZ12" i="19" s="1"/>
  <c r="FI12" i="19" s="1"/>
  <c r="EO18" i="19"/>
  <c r="EU18" i="19"/>
  <c r="ER18" i="19"/>
  <c r="EB16" i="19"/>
  <c r="EE16" i="19" s="1"/>
  <c r="EC16" i="19"/>
  <c r="EF16" i="19" s="1"/>
  <c r="EC14" i="19"/>
  <c r="EF14" i="19" s="1"/>
  <c r="EB14" i="19"/>
  <c r="EE14" i="19" s="1"/>
  <c r="FL12" i="19" l="1"/>
  <c r="FO12" i="19" s="1"/>
  <c r="FT11" i="19" s="1"/>
  <c r="FT12" i="19"/>
  <c r="FR12" i="19"/>
  <c r="FV12" i="19"/>
  <c r="FU12" i="19"/>
  <c r="FM12" i="19"/>
  <c r="EU14" i="19"/>
  <c r="EO14" i="19"/>
  <c r="ER14" i="19"/>
  <c r="EL14" i="19"/>
  <c r="EN16" i="19"/>
  <c r="ET16" i="19"/>
  <c r="EQ16" i="19"/>
  <c r="ER16" i="19"/>
  <c r="EU16" i="19"/>
  <c r="EO16" i="19"/>
  <c r="EX18" i="19"/>
  <c r="FA18" i="19" s="1"/>
  <c r="EN14" i="19"/>
  <c r="EK14" i="19"/>
  <c r="EQ14" i="19"/>
  <c r="ET14" i="19"/>
  <c r="FV11" i="19" l="1"/>
  <c r="FU11" i="19"/>
  <c r="EX14" i="19"/>
  <c r="FA14" i="19" s="1"/>
  <c r="EX16" i="19"/>
  <c r="FA16" i="19" s="1"/>
  <c r="EW16" i="19"/>
  <c r="EZ16" i="19" s="1"/>
  <c r="FJ18" i="19"/>
  <c r="EW14" i="19"/>
  <c r="EZ14" i="19" s="1"/>
  <c r="FC14" i="19" s="1"/>
  <c r="FF14" i="19" s="1"/>
  <c r="FI14" i="19" s="1"/>
  <c r="FI16" i="19"/>
  <c r="FJ16" i="19"/>
  <c r="FD14" i="19"/>
  <c r="FG14" i="19" s="1"/>
  <c r="FJ14" i="19" s="1"/>
  <c r="FL14" i="19" l="1"/>
  <c r="FO14" i="19" s="1"/>
  <c r="FT13" i="19" s="1"/>
  <c r="FT14" i="19"/>
  <c r="FL16" i="19"/>
  <c r="FO16" i="19" s="1"/>
  <c r="FT15" i="19" s="1"/>
  <c r="FT16" i="19"/>
  <c r="FM16" i="19"/>
  <c r="FR16" i="19"/>
  <c r="FV16" i="19"/>
  <c r="FU16" i="19"/>
  <c r="FM18" i="19"/>
  <c r="FV18" i="19"/>
  <c r="FU18" i="19"/>
  <c r="FM14" i="19"/>
  <c r="FR14" i="19"/>
  <c r="FV14" i="19"/>
  <c r="FU14" i="19"/>
  <c r="C3" i="17"/>
  <c r="C4" i="17" s="1"/>
  <c r="C5" i="17" s="1"/>
  <c r="C6" i="17" s="1"/>
  <c r="C7" i="17" s="1"/>
  <c r="C8" i="17" s="1"/>
  <c r="C9" i="17" s="1"/>
  <c r="C10" i="17" s="1"/>
  <c r="C11" i="17" s="1"/>
  <c r="C12" i="17" s="1"/>
  <c r="C13" i="17" s="1"/>
  <c r="FU13" i="19" l="1"/>
  <c r="FV13" i="19"/>
  <c r="FU17" i="19"/>
  <c r="FV17" i="19"/>
  <c r="FU15" i="19"/>
  <c r="FV15" i="19"/>
  <c r="EE18" i="19"/>
  <c r="EN18" i="19" l="1"/>
  <c r="EQ18" i="19"/>
  <c r="ET18" i="19"/>
  <c r="EW18" i="19" l="1"/>
  <c r="EZ18" i="19" s="1"/>
  <c r="FI18" i="19" l="1"/>
  <c r="FL18" i="19" l="1"/>
  <c r="FO18" i="19" s="1"/>
  <c r="FT18" i="19"/>
  <c r="DF10" i="19"/>
  <c r="DJ10" i="19" s="1"/>
  <c r="EE10" i="19" s="1"/>
  <c r="EZ10" i="19" s="1"/>
  <c r="FT17" i="19" l="1"/>
  <c r="FR18" i="19"/>
  <c r="FI10" i="19"/>
  <c r="FT10" i="19" s="1"/>
  <c r="FL10" i="19" l="1"/>
  <c r="FO10" i="19" s="1"/>
  <c r="FR10" i="19" l="1"/>
  <c r="FT9" i="19"/>
  <c r="FV9" i="19" l="1"/>
  <c r="FU9"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tc={08BC158A-969E-4D67-839D-FF33265E984F}</author>
    <author>tc={E52FB5DD-51A0-4D57-B63A-F9D92FCF6C5C}</author>
    <author>tc={0FC57DC6-17D1-4E3E-B52D-8C4440F48F92}</author>
    <author>tc={A0FFCB2B-7DEF-40C0-9909-8D1D80EE7C83}</author>
    <author>tc={91E1CCED-81A8-4506-B259-8AEBC43445FE}</author>
    <author>tc={5836E495-177A-4B77-94F9-F0E91E49CE3A}</author>
    <author>tc={A2889480-F7FE-4B34-9B21-D8D24F326420}</author>
    <author>tc={C2F0857A-BC02-4A1B-B073-D529FB241A2D}</author>
    <author>tc={A16F8D56-6F5C-4F8E-AA0A-FD5D9EB1665E}</author>
    <author>tc={21E66285-8263-4788-9556-F2DECE98E869}</author>
    <author>tc={CCDAF93E-687F-4B88-AEA7-7D35A6175C67}</author>
    <author>tc={F7B9C23B-4F78-4195-8323-289C59E3B1FF}</author>
    <author>tc={FF2B224C-40C5-4EAC-8420-46F49DF3E3BB}</author>
    <author>tc={A1A22307-2509-4EE9-B5AB-DE109CD116A9}</author>
    <author>tc={AA1753E6-8A4B-4CE8-8D6A-CF6B3B221B35}</author>
    <author>tc={670E1313-D1FF-4E56-B630-9D6C89DE3B96}</author>
    <author>tc={73263EC4-6F5A-48A3-8550-1513F40E6B66}</author>
    <author>tc={8E554F45-B388-4AEB-8B40-BF00E768870A}</author>
    <author>tc={3D4F271B-0118-4D98-9BFD-F9DDD2F44661}</author>
    <author>tc={E9CC74F1-79B2-4822-B53F-72EB84341249}</author>
    <author>tc={B41373CF-F784-432A-BB9D-C1E13F5D239B}</author>
    <author>tc={8658C90C-3745-4532-A4C1-DFDA147CB2F1}</author>
    <author>tc={D2C72F31-62D7-4F21-930F-1103B5193EA9}</author>
    <author>tc={3BC82244-D1CE-43D8-9AD9-5839D30EA82B}</author>
    <author>tc={65B6615F-DEA1-4E32-B4A3-3E45EF21615B}</author>
    <author>tc={6A38574B-E458-4FB3-82F7-683CFE6BE099}</author>
    <author>tc={771A4593-9052-4961-8D7E-B753A98C576A}</author>
    <author>tc={E0410239-E63C-4102-B2B4-9D078268B850}</author>
    <author>tc={51FCA388-CA91-43F8-B6B9-586774A84E1A}</author>
    <author>tc={ECAF61EE-7041-4B4F-A868-10D3EF070DC4}</author>
    <author>tc={A6A5D544-D923-427A-A376-59A999BFBDE2}</author>
    <author>tc={BAFCC0C7-5872-4DA2-858B-D8F3EA0E2E4E}</author>
    <author>tc={9C5433C9-2195-444D-AF1C-1FB2CF7BB802}</author>
    <author>tc={042611B2-FFBA-4E8F-9946-248F6B9B8165}</author>
    <author>tc={21C6C478-2F06-410E-AE6C-7610DB8527A0}</author>
    <author>tc={D01D9706-9BF2-4112-8754-A78B011C0A74}</author>
    <author>tc={2C848EBF-A0A3-436F-A5BC-2A57C120894A}</author>
    <author>tc={944DA72B-9826-47E7-86C2-FA15F8CC21CE}</author>
    <author>tc={43E56FF7-CEEB-4EA0-889A-B8DC4990A2B9}</author>
    <author>tc={DD206D59-72EF-49E8-A62D-FD721E544CD4}</author>
    <author>tc={E2FA127D-6371-4205-BDD1-783367837589}</author>
    <author>tc={6ABCC524-3B25-4C74-8718-8D7735E7197F}</author>
    <author>tc={B4205A6A-CA8C-4F1B-B620-F279DDC972E6}</author>
    <author>tc={B0B48EB2-1E79-4E96-9467-F9DF4E16AAE0}</author>
  </authors>
  <commentList>
    <comment ref="I4" authorId="0" shapeId="0" xr:uid="{08BC158A-969E-4D67-839D-FF33265E984F}">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E52FB5DD-51A0-4D57-B63A-F9D92FCF6C5C}">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0FC57DC6-17D1-4E3E-B52D-8C4440F48F92}">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A0FFCB2B-7DEF-40C0-9909-8D1D80EE7C83}">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91E1CCED-81A8-4506-B259-8AEBC43445FE}">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5836E495-177A-4B77-94F9-F0E91E49CE3A}">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A2889480-F7FE-4B34-9B21-D8D24F32642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C2F0857A-BC02-4A1B-B073-D529FB241A2D}">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A16F8D56-6F5C-4F8E-AA0A-FD5D9EB1665E}">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21E66285-8263-4788-9556-F2DECE98E869}">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L7" authorId="10" shapeId="0" xr:uid="{CCDAF93E-687F-4B88-AEA7-7D35A6175C67}">
      <text>
        <t>[Threaded comment]
Your version of Excel allows you to read this threaded comment; however, any edits to it will get removed if the file is opened in a newer version of Excel. Learn more: https://go.microsoft.com/fwlink/?linkid=870924
Comment:
    Design Review Engineering Approval</t>
      </text>
    </comment>
    <comment ref="BO7" authorId="11" shapeId="0" xr:uid="{F7B9C23B-4F78-4195-8323-289C59E3B1FF}">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2" shapeId="0" xr:uid="{FF2B224C-40C5-4EAC-8420-46F49DF3E3B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3" shapeId="0" xr:uid="{A1A22307-2509-4EE9-B5AB-DE109CD116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4" shapeId="0" xr:uid="{AA1753E6-8A4B-4CE8-8D6A-CF6B3B221B35}">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5" shapeId="0" xr:uid="{670E1313-D1FF-4E56-B630-9D6C89DE3B96}">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6" shapeId="0" xr:uid="{73263EC4-6F5A-48A3-8550-1513F40E6B66}">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7" shapeId="0" xr:uid="{8E554F45-B388-4AEB-8B40-BF00E768870A}">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8" shapeId="0" xr:uid="{3D4F271B-0118-4D98-9BFD-F9DDD2F44661}">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9" shapeId="0" xr:uid="{E9CC74F1-79B2-4822-B53F-72EB84341249}">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20" shapeId="0" xr:uid="{B41373CF-F784-432A-BB9D-C1E13F5D239B}">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1" shapeId="0" xr:uid="{8658C90C-3745-4532-A4C1-DFDA147CB2F1}">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2" shapeId="0" xr:uid="{D2C72F31-62D7-4F21-930F-1103B5193EA9}">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3" shapeId="0" xr:uid="{3BC82244-D1CE-43D8-9AD9-5839D30EA82B}">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4" shapeId="0" xr:uid="{65B6615F-DEA1-4E32-B4A3-3E45EF21615B}">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5" shapeId="0" xr:uid="{6A38574B-E458-4FB3-82F7-683CFE6BE099}">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6" shapeId="0" xr:uid="{771A4593-9052-4961-8D7E-B753A98C576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7" shapeId="0" xr:uid="{E0410239-E63C-4102-B2B4-9D078268B85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8" shapeId="0" xr:uid="{51FCA388-CA91-43F8-B6B9-586774A84E1A}">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9" shapeId="0" xr:uid="{ECAF61EE-7041-4B4F-A868-10D3EF070DC4}">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30" shapeId="0" xr:uid="{A6A5D544-D923-427A-A376-59A999BFBDE2}">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1" shapeId="0" xr:uid="{BAFCC0C7-5872-4DA2-858B-D8F3EA0E2E4E}">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2" shapeId="0" xr:uid="{9C5433C9-2195-444D-AF1C-1FB2CF7BB802}">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3" shapeId="0" xr:uid="{042611B2-FFBA-4E8F-9946-248F6B9B8165}">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4" shapeId="0" xr:uid="{21C6C478-2F06-410E-AE6C-7610DB8527A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5" shapeId="0" xr:uid="{D01D9706-9BF2-4112-8754-A78B011C0A74}">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6" shapeId="0" xr:uid="{2C848EBF-A0A3-436F-A5BC-2A57C120894A}">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7" shapeId="0" xr:uid="{944DA72B-9826-47E7-86C2-FA15F8CC21CE}">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8" shapeId="0" xr:uid="{43E56FF7-CEEB-4EA0-889A-B8DC4990A2B9}">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9" shapeId="0" xr:uid="{DD206D59-72EF-49E8-A62D-FD721E544CD4}">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40" shapeId="0" xr:uid="{E2FA127D-6371-4205-BDD1-783367837589}">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1" shapeId="0" xr:uid="{6ABCC524-3B25-4C74-8718-8D7735E7197F}">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2" shapeId="0" xr:uid="{B4205A6A-CA8C-4F1B-B620-F279DDC972E6}">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3" shapeId="0" xr:uid="{B0B48EB2-1E79-4E96-9467-F9DF4E16AAE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tc={BE2375AC-1FAF-44E1-9EC4-C93788DC684C}</author>
    <author>tc={66875AA3-88D8-4D84-BF53-5839F1A26708}</author>
    <author>tc={7C683C32-962F-4806-A1AB-6E6964B34523}</author>
    <author>tc={5653E446-D393-40C1-A794-4800335652B4}</author>
    <author>tc={5AF57A17-74DC-4747-BE7A-3ECB75BAA857}</author>
    <author>tc={37CF6CAF-52BB-4529-8422-966BD1CCE868}</author>
    <author>tc={824A813A-6CF6-48FE-A258-EEDC94DB712A}</author>
    <author>tc={4D0D99E7-0094-428B-B4F4-7B322D6B90F4}</author>
    <author>tc={2C4E589F-A397-4587-9013-84365E829417}</author>
    <author>tc={D97378B8-583E-448E-86BE-F41E0762D426}</author>
    <author>tc={14D2AC08-373C-4BC2-AC0D-85F8A0D6A8AA}</author>
    <author>tc={A3C47215-1FE3-4A49-8B37-F428270BEE7B}</author>
    <author>tc={2345DA65-6CF7-49C3-A58C-1E7B3DE155A9}</author>
    <author>tc={D8214D93-D1B2-45B3-B845-B36EB771B5E9}</author>
    <author>tc={F80009F5-45DC-4AD7-91C7-8A71CD4B93B1}</author>
    <author>tc={A5F5E895-759C-4BEE-B19F-4DC31DEBE3DB}</author>
    <author>tc={01E7CAAD-4D42-4568-8253-AE173FA9BE5B}</author>
    <author>tc={D08A23F8-16DA-4C83-93FE-8492D92356C8}</author>
    <author>tc={E7537BC0-5699-48AD-9736-584B1942D35D}</author>
    <author>tc={31848541-5900-4B87-89CD-C8EF7B691CDC}</author>
    <author>tc={031108AA-8D04-4990-BBCF-DD2098939F33}</author>
    <author>tc={A17DACD4-9174-4F7B-BF3B-3B8DB1AA6D75}</author>
    <author>tc={B70C87FD-4CEE-4A8D-8E61-009C17EC9285}</author>
    <author>tc={DC7FE293-C0CC-4BF1-A7C2-3363470F8714}</author>
    <author>tc={8CDAC6A0-56FE-46A3-AB76-6DD10A2BD26C}</author>
    <author>tc={FEE21791-EC55-4C04-BD78-64F3CC5D57BA}</author>
    <author>tc={9AD321C6-E1D9-4FDF-9937-701F038A0377}</author>
    <author>tc={29032A7E-71C5-4C1F-9F24-B6B9A77EF185}</author>
    <author>tc={A4708FEF-8C18-4144-B3C6-748E0A041265}</author>
    <author>tc={1A7F99C2-82A0-45F7-9A2C-D5A86A99C631}</author>
    <author>tc={52124900-563F-4B55-8AF7-A30CB795B34B}</author>
    <author>tc={9B0E2A01-42FA-4319-8198-8CDC54B5D1A1}</author>
    <author>tc={5BD3A202-51E5-4C14-8991-8AFD7E94E761}</author>
    <author>tc={293A5B57-37A4-4D7A-BE86-C5C05B9BC6AE}</author>
    <author>tc={F847554A-54F2-45F2-B61F-704798CE2FB0}</author>
    <author>tc={7EB810F2-8894-4EB0-97BB-1A6ECE894423}</author>
    <author>tc={881D75AE-2AD0-419D-8BFF-F7956CFB8117}</author>
    <author>tc={726E5D60-889F-4B30-974F-188BC48C3E1B}</author>
    <author>tc={95C3C469-5D1C-4FD2-918F-12C6DEA588F2}</author>
    <author>tc={22E25760-5825-4B1F-AB5F-F312CBAE0AB4}</author>
    <author>tc={4982CBF0-3EB0-40A8-BCE8-F06A0802EB1C}</author>
    <author>tc={FB1F36B9-04E3-491C-AB3C-07EFB1DCA83E}</author>
    <author>tc={D31E8C5D-06AB-466B-AE26-8E6E4E49F062}</author>
  </authors>
  <commentList>
    <comment ref="I4" authorId="0" shapeId="0" xr:uid="{BE2375AC-1FAF-44E1-9EC4-C93788DC684C}">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66875AA3-88D8-4D84-BF53-5839F1A26708}">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7C683C32-962F-4806-A1AB-6E6964B34523}">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5653E446-D393-40C1-A794-4800335652B4}">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5AF57A17-74DC-4747-BE7A-3ECB75BAA857}">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37CF6CAF-52BB-4529-8422-966BD1CCE868}">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824A813A-6CF6-48FE-A258-EEDC94DB712A}">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4D0D99E7-0094-428B-B4F4-7B322D6B90F4}">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2C4E589F-A397-4587-9013-84365E829417}">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D97378B8-583E-448E-86BE-F41E0762D426}">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O7" authorId="10" shapeId="0" xr:uid="{14D2AC08-373C-4BC2-AC0D-85F8A0D6A8AA}">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1" shapeId="0" xr:uid="{A3C47215-1FE3-4A49-8B37-F428270BEE7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2" shapeId="0" xr:uid="{2345DA65-6CF7-49C3-A58C-1E7B3DE155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3" shapeId="0" xr:uid="{D8214D93-D1B2-45B3-B845-B36EB771B5E9}">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4" shapeId="0" xr:uid="{F80009F5-45DC-4AD7-91C7-8A71CD4B93B1}">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5" shapeId="0" xr:uid="{A5F5E895-759C-4BEE-B19F-4DC31DEBE3DB}">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6" shapeId="0" xr:uid="{01E7CAAD-4D42-4568-8253-AE173FA9BE5B}">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7" shapeId="0" xr:uid="{D08A23F8-16DA-4C83-93FE-8492D92356C8}">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8" shapeId="0" xr:uid="{E7537BC0-5699-48AD-9736-584B1942D35D}">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19" shapeId="0" xr:uid="{31848541-5900-4B87-89CD-C8EF7B691CDC}">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0" shapeId="0" xr:uid="{031108AA-8D04-4990-BBCF-DD2098939F33}">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1" shapeId="0" xr:uid="{A17DACD4-9174-4F7B-BF3B-3B8DB1AA6D75}">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2" shapeId="0" xr:uid="{B70C87FD-4CEE-4A8D-8E61-009C17EC9285}">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3" shapeId="0" xr:uid="{DC7FE293-C0CC-4BF1-A7C2-3363470F8714}">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4" shapeId="0" xr:uid="{8CDAC6A0-56FE-46A3-AB76-6DD10A2BD26C}">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5" shapeId="0" xr:uid="{FEE21791-EC55-4C04-BD78-64F3CC5D57B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6" shapeId="0" xr:uid="{9AD321C6-E1D9-4FDF-9937-701F038A0377}">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7" shapeId="0" xr:uid="{29032A7E-71C5-4C1F-9F24-B6B9A77EF18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8" shapeId="0" xr:uid="{A4708FEF-8C18-4144-B3C6-748E0A04126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29" shapeId="0" xr:uid="{1A7F99C2-82A0-45F7-9A2C-D5A86A99C631}">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0" shapeId="0" xr:uid="{52124900-563F-4B55-8AF7-A30CB795B34B}">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1" shapeId="0" xr:uid="{9B0E2A01-42FA-4319-8198-8CDC54B5D1A1}">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2" shapeId="0" xr:uid="{5BD3A202-51E5-4C14-8991-8AFD7E94E761}">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3" shapeId="0" xr:uid="{293A5B57-37A4-4D7A-BE86-C5C05B9BC6AE}">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4" shapeId="0" xr:uid="{F847554A-54F2-45F2-B61F-704798CE2FB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5" shapeId="0" xr:uid="{7EB810F2-8894-4EB0-97BB-1A6ECE894423}">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6" shapeId="0" xr:uid="{881D75AE-2AD0-419D-8BFF-F7956CFB8117}">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7" shapeId="0" xr:uid="{726E5D60-889F-4B30-974F-188BC48C3E1B}">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8" shapeId="0" xr:uid="{95C3C469-5D1C-4FD2-918F-12C6DEA588F2}">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39" shapeId="0" xr:uid="{22E25760-5825-4B1F-AB5F-F312CBAE0AB4}">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0" shapeId="0" xr:uid="{4982CBF0-3EB0-40A8-BCE8-F06A0802EB1C}">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1" shapeId="0" xr:uid="{FB1F36B9-04E3-491C-AB3C-07EFB1DCA83E}">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2" shapeId="0" xr:uid="{D31E8C5D-06AB-466B-AE26-8E6E4E49F062}">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<sst xmlns="http://schemas.openxmlformats.org/spreadsheetml/2006/main" count="1039" uniqueCount="496">
  <si>
    <t>Mandatory Information</t>
  </si>
  <si>
    <t>Cells B3 to B6 are mandatory, make sure these are filled out before saving this file.
Please do not add rows or columns before this section. Do not rename the titles on column A either.</t>
  </si>
  <si>
    <t>Save SIMS by</t>
  </si>
  <si>
    <t>Project Name</t>
  </si>
  <si>
    <t>Maricopa Controls Inc</t>
  </si>
  <si>
    <t>Project Manager</t>
  </si>
  <si>
    <t>Sayee Thakare</t>
  </si>
  <si>
    <t>Supplier Transitions &amp; Repositions Team</t>
  </si>
  <si>
    <t>ELE</t>
  </si>
  <si>
    <t>General Guidelines</t>
  </si>
  <si>
    <r>
      <t xml:space="preserve">To ensure your SIMS is successfully published:
-Make sure the above 3 fields in </t>
    </r>
    <r>
      <rPr>
        <b/>
        <sz val="10"/>
        <color rgb="FFFF0000"/>
        <rFont val="Aptos Narrow"/>
        <family val="2"/>
        <scheme val="minor"/>
      </rPr>
      <t>red</t>
    </r>
    <r>
      <rPr>
        <sz val="10"/>
        <color theme="1"/>
        <rFont val="Aptos Narrow"/>
        <family val="2"/>
        <scheme val="minor"/>
      </rPr>
      <t xml:space="preserve"> are properly filled out
-Do not rename nor delete the SIMS sheet
-Do not insert any rows before row # 8
-Do not rename existing columns
-Only enter Numeric or Date value for those types of columns: If a task doesn’t apply, please enter 0 in the duration row
</t>
    </r>
    <r>
      <rPr>
        <b/>
        <sz val="10"/>
        <color theme="1"/>
        <rFont val="Aptos Narrow"/>
        <family val="2"/>
        <scheme val="minor"/>
      </rPr>
      <t>First Time Publishing your SIMS</t>
    </r>
    <r>
      <rPr>
        <sz val="10"/>
        <color theme="1"/>
        <rFont val="Aptos Narrow"/>
        <family val="2"/>
        <scheme val="minor"/>
      </rPr>
      <t xml:space="preserve">
-Utilize the </t>
    </r>
    <r>
      <rPr>
        <b/>
        <sz val="10"/>
        <color rgb="FF92D050"/>
        <rFont val="Aptos Narrow"/>
        <family val="2"/>
        <scheme val="minor"/>
      </rPr>
      <t xml:space="preserve">PUBLISH IMS </t>
    </r>
    <r>
      <rPr>
        <sz val="10"/>
        <color theme="1"/>
        <rFont val="Aptos Narrow"/>
        <family val="2"/>
        <scheme val="minor"/>
      </rPr>
      <t xml:space="preserve">button on the SIMS sheet
-If there is no Actual FAIR Order Acknowledged Date (refer to the Baseline Type column (H)), the system will consider it as the initial “Pre-Execution” baseline and will lock it in the database and harcode your baseline dates up to the TRB Approval milestone on this file
-For projects with a FAIR Order Acknowledged Actual Completion Date, the system will add them both the “Pre-Execution” and “Execution” baselines, it will lock them in the database and will hardcode ALL your baseline dates on this file
</t>
    </r>
    <r>
      <rPr>
        <b/>
        <sz val="10"/>
        <color theme="1"/>
        <rFont val="Aptos Narrow"/>
        <family val="2"/>
        <scheme val="minor"/>
      </rPr>
      <t>Subsequent Publications</t>
    </r>
    <r>
      <rPr>
        <sz val="10"/>
        <color theme="1"/>
        <rFont val="Aptos Narrow"/>
        <family val="2"/>
        <scheme val="minor"/>
      </rPr>
      <t xml:space="preserve">
-The previous file will be overwritten, and the system will take your current schedule
-The system will check for part project that moved from “Pre-Execution” to “Execution” and will add and lock the Execution Baseline in the database. All baselines dates after the TRB approval milestone will be hardcoded in the file as well.</t>
    </r>
  </si>
  <si>
    <t>Baseline Changes</t>
  </si>
  <si>
    <t>-Please follow the baseline change management process</t>
  </si>
  <si>
    <t>Resources</t>
  </si>
  <si>
    <t>https://honeywellprod.sharepoint.com/teams/OpExSupplierReadiness/LearningAcademy/MOS%20and%20Standard%20Templates/PM_MOS_Tools/Simplified%20IMS%20%26%20Inchstones</t>
  </si>
  <si>
    <t>Key Metrics</t>
  </si>
  <si>
    <t>Category</t>
  </si>
  <si>
    <t>Milestone/Task</t>
  </si>
  <si>
    <t>Responsible Person</t>
  </si>
  <si>
    <t>General Metric Drivers</t>
  </si>
  <si>
    <t>Project Start IRB Approval Date
FAIR Order Placed
FAIR Order Acknowledged</t>
  </si>
  <si>
    <t>Project Initiator
Project Manager
Project Manager</t>
  </si>
  <si>
    <t>L1 Milestones</t>
  </si>
  <si>
    <t>EPA/TDR/ECE
Supplier &amp; HON STR/QTR Approved by HON Eng
Supplier Signed Contract 
Final FAIR
Target Complete Date (TCD)</t>
  </si>
  <si>
    <t>Project Engineer
Project Engineer
Commodity Manager
Project Manager
Project Manager</t>
  </si>
  <si>
    <t>L2 Milestones</t>
  </si>
  <si>
    <t>Quote Received
Capability &amp; Capacity Assessment Complete
TRB Approval Date
Material Received at Supplier
Supplier FAIR Lot Build Complete
IMS Part Complete Date (PCD)
Production Cutover Date</t>
  </si>
  <si>
    <t>Commodity Manager
Supplier Development Engineer*
Commodity Manager
Project Manager
Project Manager
Project Manager
Project Manager</t>
  </si>
  <si>
    <t>Cycles of Learning</t>
  </si>
  <si>
    <t>Dimensional Pre-Qualification
Supplier Qualification (post-Conditional FAIR)
Dimensional Qualification
HON Qualification</t>
  </si>
  <si>
    <t>Project Manager
Project Manager
Project Manager
Project Manager</t>
  </si>
  <si>
    <t>Abbreviations</t>
  </si>
  <si>
    <t>Abbreviation</t>
  </si>
  <si>
    <t>Description</t>
  </si>
  <si>
    <t xml:space="preserve">ACD </t>
  </si>
  <si>
    <t>Actual Completion Date</t>
  </si>
  <si>
    <t>AID</t>
  </si>
  <si>
    <t>Accolade Part Project ID</t>
  </si>
  <si>
    <t xml:space="preserve">AMCON </t>
  </si>
  <si>
    <t>Andavnced Management Control</t>
  </si>
  <si>
    <t>ASL</t>
  </si>
  <si>
    <t>Approved Supplier List</t>
  </si>
  <si>
    <t xml:space="preserve">AVL </t>
  </si>
  <si>
    <t>Approved Vendor List</t>
  </si>
  <si>
    <t>BTS</t>
  </si>
  <si>
    <t>Build to Specification</t>
  </si>
  <si>
    <t xml:space="preserve">CDR </t>
  </si>
  <si>
    <t>Critical Design Review</t>
  </si>
  <si>
    <t xml:space="preserve">CECD </t>
  </si>
  <si>
    <t>Current Estimated Completion Date</t>
  </si>
  <si>
    <t xml:space="preserve">ConDR </t>
  </si>
  <si>
    <t>Configuration Design Review</t>
  </si>
  <si>
    <t>DCMA</t>
  </si>
  <si>
    <t>Defense Contract Management Agency</t>
  </si>
  <si>
    <t xml:space="preserve">DREA </t>
  </si>
  <si>
    <t>Design Review Engineering Approval</t>
  </si>
  <si>
    <t>ECD</t>
  </si>
  <si>
    <t>Estimated Completion Date</t>
  </si>
  <si>
    <t xml:space="preserve">ECD </t>
  </si>
  <si>
    <t>ECE</t>
  </si>
  <si>
    <t>Engineering Cost Estimate</t>
  </si>
  <si>
    <t>EPA</t>
  </si>
  <si>
    <t>Engineering Part Assessment</t>
  </si>
  <si>
    <t xml:space="preserve">ETSO </t>
  </si>
  <si>
    <t>European Technical Standard Order</t>
  </si>
  <si>
    <t xml:space="preserve">FAA </t>
  </si>
  <si>
    <t>Federal Aviation Administration</t>
  </si>
  <si>
    <t xml:space="preserve">FAIR </t>
  </si>
  <si>
    <t>First Article Inspection Report</t>
  </si>
  <si>
    <t>FPL</t>
  </si>
  <si>
    <t>First Production Lot</t>
  </si>
  <si>
    <t xml:space="preserve">HON </t>
  </si>
  <si>
    <t>Honeywell</t>
  </si>
  <si>
    <t xml:space="preserve">IMS </t>
  </si>
  <si>
    <t>Integrated Master Schedule</t>
  </si>
  <si>
    <t xml:space="preserve">IRB </t>
  </si>
  <si>
    <t>Idea Review Board</t>
  </si>
  <si>
    <t xml:space="preserve">L1DR </t>
  </si>
  <si>
    <t>Level 1 Design Review</t>
  </si>
  <si>
    <t xml:space="preserve">LC&amp;E </t>
  </si>
  <si>
    <t>Law, Contracts &amp; Export</t>
  </si>
  <si>
    <t xml:space="preserve">PCD </t>
  </si>
  <si>
    <t>Part Complete Date</t>
  </si>
  <si>
    <t xml:space="preserve">PDR </t>
  </si>
  <si>
    <t>Preliminary Design Review</t>
  </si>
  <si>
    <t>PFEP</t>
  </si>
  <si>
    <t>Plan for Every Part</t>
  </si>
  <si>
    <t xml:space="preserve">PO </t>
  </si>
  <si>
    <t>Purchase Order</t>
  </si>
  <si>
    <t xml:space="preserve">PRR </t>
  </si>
  <si>
    <t>Production Readiness Review</t>
  </si>
  <si>
    <t xml:space="preserve">PSC </t>
  </si>
  <si>
    <t>Procurement Specification Control</t>
  </si>
  <si>
    <t xml:space="preserve">PTCD </t>
  </si>
  <si>
    <t>Project Technical Completion Date</t>
  </si>
  <si>
    <t xml:space="preserve">QTP </t>
  </si>
  <si>
    <t>Qualification Test Plan</t>
  </si>
  <si>
    <t xml:space="preserve">QTR </t>
  </si>
  <si>
    <t>Qualification Test Report</t>
  </si>
  <si>
    <t xml:space="preserve">RFQ </t>
  </si>
  <si>
    <t>Request for Quotation</t>
  </si>
  <si>
    <t xml:space="preserve">RM </t>
  </si>
  <si>
    <t>Raw Material</t>
  </si>
  <si>
    <t>SCS</t>
  </si>
  <si>
    <t>Supplier Control System</t>
  </si>
  <si>
    <t>SOW</t>
  </si>
  <si>
    <t>Statement of Work</t>
  </si>
  <si>
    <t>SS1</t>
  </si>
  <si>
    <t>Source Status 1</t>
  </si>
  <si>
    <t>STR</t>
  </si>
  <si>
    <t>Structural Test Report</t>
  </si>
  <si>
    <t xml:space="preserve">SubCon </t>
  </si>
  <si>
    <t>Subcontractor</t>
  </si>
  <si>
    <t xml:space="preserve">TCD </t>
  </si>
  <si>
    <t>Target Complete Date</t>
  </si>
  <si>
    <t xml:space="preserve">TDR </t>
  </si>
  <si>
    <t>Technical Design Review</t>
  </si>
  <si>
    <t xml:space="preserve">TRB </t>
  </si>
  <si>
    <t>Transition Review Board</t>
  </si>
  <si>
    <t xml:space="preserve">TRR </t>
  </si>
  <si>
    <t>Test Readiness Review</t>
  </si>
  <si>
    <t>TSO</t>
  </si>
  <si>
    <t>Technical Standard Order</t>
  </si>
  <si>
    <t>Suggested Tasks Durations</t>
  </si>
  <si>
    <t>Task Name</t>
  </si>
  <si>
    <t>Casting &amp; Forging Task</t>
  </si>
  <si>
    <t>Machining Task</t>
  </si>
  <si>
    <t>BTS Task</t>
  </si>
  <si>
    <t>Sheet Metal</t>
  </si>
  <si>
    <t>Electronics Task</t>
  </si>
  <si>
    <t>Project Approved at Idea Review Board (IRB) (Authorization to Proceed)</t>
  </si>
  <si>
    <t>Project Eng (PE), Project Manager (PM), Supplier Dev Eng (SDE) and Material Eng (Mat Eng) Assigned - (Respective Leaders to assign)</t>
  </si>
  <si>
    <t>PE Completed Requirements Review with Design Authority (DA)</t>
  </si>
  <si>
    <t>Engineering Part Assessment (EPA) Completed &amp; Approved</t>
  </si>
  <si>
    <t>Transition Design Review (TDR) Completed &amp; Approved</t>
  </si>
  <si>
    <t>Supplier Dev Eng (SDE) Update STT with APQP Level and Flow Down Date</t>
  </si>
  <si>
    <t xml:space="preserve">3D Model Created and Released (if required from EPA/TDR) </t>
  </si>
  <si>
    <t>Drawings &amp; Specs (PSCs) Updated if Required</t>
  </si>
  <si>
    <t>PM Completed Initial Package Creation (Identify Potential Suppliers)</t>
  </si>
  <si>
    <t>PM Initiate DATT for Pre RFI &amp; Pre Award (Pre Auction)</t>
  </si>
  <si>
    <t xml:space="preserve"> BTP (BTS Optional) - Analyze Drawing and Identify Raw Material (RM) Include Testing Units (Tempe) and Raw Material Sources</t>
  </si>
  <si>
    <t xml:space="preserve"> BTP (BTS Optional) - Place Raw Material (RM) PO and Receive at Main Receiving Site</t>
  </si>
  <si>
    <t>Supplier Dev Eng (SDE) Validated Potential Suppliers Scouting Assessment</t>
  </si>
  <si>
    <t xml:space="preserve"> Received DATT Pre RFI Approval</t>
  </si>
  <si>
    <t xml:space="preserve"> PM Received Drawing Package from Drawing Pull Team (OPEX)</t>
  </si>
  <si>
    <t xml:space="preserve"> BTS - Statement of Work (SOW) Approved and Released by Project Engineer</t>
  </si>
  <si>
    <t xml:space="preserve"> Auction Team Sent Formal Request for Quotes (RFQ) to Suppliers</t>
  </si>
  <si>
    <t xml:space="preserve"> Received DATT Pre Award (Pre Auction) Approval</t>
  </si>
  <si>
    <t xml:space="preserve"> Auction Scheduled and Completed</t>
  </si>
  <si>
    <t xml:space="preserve"> Down Select Top 2 or 3 Suppliers for Award Evaluation</t>
  </si>
  <si>
    <t xml:space="preserve"> SDE to conduct Preliminary Technical Review (Compliance Matrix for BTS) including Capacity Assessment With Down Selected Suppliers</t>
  </si>
  <si>
    <t xml:space="preserve"> Part-Wise Down Select Go-To Supplier for Award</t>
  </si>
  <si>
    <t xml:space="preserve"> Identify the Go To Supplier for Award</t>
  </si>
  <si>
    <t xml:space="preserve"> Commodity Manager (CM) Presented and Received Transition Review Board (TRB) Approval to Award</t>
  </si>
  <si>
    <t>Project Award Letter Sent to Supplier by CM</t>
  </si>
  <si>
    <t>Receive LTC/VMI Amendment Signature</t>
  </si>
  <si>
    <t xml:space="preserve"> Initiate DATT Post Award Approval</t>
  </si>
  <si>
    <t xml:space="preserve"> Create QIR / POB Record for Supplier for all Sites</t>
  </si>
  <si>
    <t xml:space="preserve"> BTP - Create FAIR PO for PNs and release to Supplier</t>
  </si>
  <si>
    <t xml:space="preserve"> BTP - Create CIR and release 3 Production POs to Supplier</t>
  </si>
  <si>
    <t xml:space="preserve"> Create NRE POs and Release to Supplier (If Applicable)</t>
  </si>
  <si>
    <t xml:space="preserve"> CM Complete LTC Amendment</t>
  </si>
  <si>
    <t xml:space="preserve"> IMS Baselined by PM</t>
  </si>
  <si>
    <t xml:space="preserve"> Update Mutually Agreed Completion Date (MACD)</t>
  </si>
  <si>
    <t xml:space="preserve"> BTS - Design Review Expectations Agreement (DREA) Completed</t>
  </si>
  <si>
    <t xml:space="preserve"> BTS - Concept Design Review (ConDR) Completed</t>
  </si>
  <si>
    <t xml:space="preserve"> BTS - Preliminary Design Review (PDR) Completed</t>
  </si>
  <si>
    <t xml:space="preserve"> BTS - Critical Design Review (CDR) Completed</t>
  </si>
  <si>
    <t xml:space="preserve"> BTS - Add Supplier to SCS/ASL/AVL</t>
  </si>
  <si>
    <t xml:space="preserve"> BTS - First Article Inspection (FAI) Purchase Orders (POs) Placed as (SS2/Prove of Build (POB))</t>
  </si>
  <si>
    <t xml:space="preserve"> Capital Tooling Approval &amp; Tooling PO Issued</t>
  </si>
  <si>
    <t xml:space="preserve"> Received Final DATT Post Award Approval</t>
  </si>
  <si>
    <t xml:space="preserve"> Initial Production Cutover Plan (Adjust Prod POs for BTP) (Create Prod POs for BTS)</t>
  </si>
  <si>
    <t xml:space="preserve"> Tooling Fabrication/Tool Build Completed (If Applicable)</t>
  </si>
  <si>
    <t xml:space="preserve"> All Material Received at Supplier (Material Leadtime)</t>
  </si>
  <si>
    <t xml:space="preserve"> Supplier Trials (Discovery, Metallurgy, Dimensional)</t>
  </si>
  <si>
    <t xml:space="preserve"> Supplier Approved Processing Source List (APSL) Certification</t>
  </si>
  <si>
    <t xml:space="preserve"> Preliminary Fixed Process Approval</t>
  </si>
  <si>
    <t xml:space="preserve"> Build Complete (Production of FAIR or STICS lot) and Acceptance Test Procedure (ATP) Completed by Supplier</t>
  </si>
  <si>
    <t xml:space="preserve"> Conditional First Article Inspection Report (FAIR) Completed - FQE</t>
  </si>
  <si>
    <t xml:space="preserve"> Test Readiness Review (TRR) Completed</t>
  </si>
  <si>
    <t xml:space="preserve"> Substantiation (Machining/Testing if required)</t>
  </si>
  <si>
    <t xml:space="preserve"> Material Evaluation Completed</t>
  </si>
  <si>
    <t xml:space="preserve"> Functional Test Completed</t>
  </si>
  <si>
    <t xml:space="preserve"> BTS - Supplier Qual Complete &amp; Qualification Test Report (QTR) Submitted</t>
  </si>
  <si>
    <t xml:space="preserve"> BTS - HON Qual Completed &amp; Qualification Test Report (QTR) Submitted</t>
  </si>
  <si>
    <t xml:space="preserve"> Qualification Tests Reports (QTR) Approved by Eng and Send to FAA/DCMA/Customer (If Applicable)</t>
  </si>
  <si>
    <t xml:space="preserve"> Initiate Contract Review, Quota Arrangement and Pflag Setup with incumbent and go to CMs</t>
  </si>
  <si>
    <t xml:space="preserve"> Production Readiness Review (PRR) Completed</t>
  </si>
  <si>
    <t xml:space="preserve"> Federal Aviation Agency (FAA) Technical Standard Order (TSO/ETSO) or Defense Contract Management Agency (DCMA) Approval Complete</t>
  </si>
  <si>
    <t xml:space="preserve"> Customer QTR Approval Received</t>
  </si>
  <si>
    <t xml:space="preserve"> Final Cutover Plan Established</t>
  </si>
  <si>
    <t xml:space="preserve"> Elevate Supplier to Production Status (SS1) (If Applicable)</t>
  </si>
  <si>
    <t xml:space="preserve"> Final Fixed Process Approval Complete</t>
  </si>
  <si>
    <t xml:space="preserve"> Delta First Article Inspection Report (FAIR) Complete</t>
  </si>
  <si>
    <t xml:space="preserve"> Update Next Higher Assembly Drawings Complete</t>
  </si>
  <si>
    <t xml:space="preserve"> Update Service Bulletin, Aftermarket Documents Complete (If Applicable)</t>
  </si>
  <si>
    <t xml:space="preserve"> FAIR Parts Received at Main Receiving Site</t>
  </si>
  <si>
    <t xml:space="preserve"> Quota Arrangement and Preferred Flag Setup Complete</t>
  </si>
  <si>
    <t xml:space="preserve"> Part Complete Audit Completed</t>
  </si>
  <si>
    <t xml:space="preserve"> Integrated Master Schedule (IMS) Part Complete</t>
  </si>
  <si>
    <t>Default color coding</t>
  </si>
  <si>
    <t>Date (Manual input)</t>
  </si>
  <si>
    <t>Assumptions:</t>
  </si>
  <si>
    <t>1. Dates are calculated based on work weeks (Monday - Friday)
2. Holidays are not accounted</t>
  </si>
  <si>
    <t>Duration in days (manual input)</t>
  </si>
  <si>
    <t>Date Calculation</t>
  </si>
  <si>
    <t>ST 2.0 Phase</t>
  </si>
  <si>
    <t>Phase I</t>
  </si>
  <si>
    <t>Phase IIA</t>
  </si>
  <si>
    <t>Phase IIB</t>
  </si>
  <si>
    <t>Phase IIC</t>
  </si>
  <si>
    <t>Phase IIIA</t>
  </si>
  <si>
    <t>Phase IIIB</t>
  </si>
  <si>
    <t>Phase IV</t>
  </si>
  <si>
    <t>Not Applicable</t>
  </si>
  <si>
    <t>APU CB Gate</t>
  </si>
  <si>
    <t>CB Gate 0</t>
  </si>
  <si>
    <t>CB Gate 1</t>
  </si>
  <si>
    <t xml:space="preserve">CB Gate 2 </t>
  </si>
  <si>
    <t>CB Gate 3</t>
  </si>
  <si>
    <t>CB Gate 4</t>
  </si>
  <si>
    <t>Completed Task</t>
  </si>
  <si>
    <t>Accolade</t>
  </si>
  <si>
    <t>PRE-EXECUTION (Phase 2 &amp; 3)</t>
  </si>
  <si>
    <t>EXECUTION (Phase 4)</t>
  </si>
  <si>
    <t>Productivity Report Out Items</t>
  </si>
  <si>
    <t>Project Length Data Points (Work Days)</t>
  </si>
  <si>
    <t>Number of Cycles of Learning (manual input)</t>
  </si>
  <si>
    <t>Simplified IMS Required</t>
  </si>
  <si>
    <r>
      <rPr>
        <b/>
        <sz val="11"/>
        <color theme="1"/>
        <rFont val="Wingdings 3"/>
        <family val="1"/>
        <charset val="2"/>
      </rPr>
      <t></t>
    </r>
    <r>
      <rPr>
        <b/>
        <sz val="7.7"/>
        <color theme="1"/>
        <rFont val="Aptos Narrow"/>
        <family val="2"/>
      </rPr>
      <t xml:space="preserve"> </t>
    </r>
    <r>
      <rPr>
        <b/>
        <sz val="11"/>
        <color theme="1"/>
        <rFont val="Aptos Narrow"/>
        <family val="2"/>
        <scheme val="minor"/>
      </rPr>
      <t>Project Start</t>
    </r>
  </si>
  <si>
    <t>Customer Rqmnts Analysis 
(PSC, etc)</t>
  </si>
  <si>
    <t>EPA/ECE Complete</t>
  </si>
  <si>
    <t>TDR/ECE Complete</t>
  </si>
  <si>
    <t>BTS SOW Developed &amp; Approved</t>
  </si>
  <si>
    <t>RM Coverage Confirmed &amp; SubCon Complete</t>
  </si>
  <si>
    <t>Revised/ Release
PSC/ Drawings</t>
  </si>
  <si>
    <t>New Supplier Set Up</t>
  </si>
  <si>
    <t>Pre RFQ DATT
Approved</t>
  </si>
  <si>
    <t>Pre RFQ LC&amp;E
Approved</t>
  </si>
  <si>
    <t>Quote Received</t>
  </si>
  <si>
    <t>RFQ Release</t>
  </si>
  <si>
    <t xml:space="preserve">Down Select Suppliers &amp; PreAward DATT Approval </t>
  </si>
  <si>
    <t xml:space="preserve">Down Select Suppliers &amp; PreAward LC&amp;E Approval </t>
  </si>
  <si>
    <t>eAuction</t>
  </si>
  <si>
    <t>Capability &amp; Capacity Assessment Complete</t>
  </si>
  <si>
    <t>ECE Update Complete</t>
  </si>
  <si>
    <t>Award Eval Complete</t>
  </si>
  <si>
    <t>Capital Approved</t>
  </si>
  <si>
    <t>TRB Approval Date</t>
  </si>
  <si>
    <t>Go to Supplier Signed Award</t>
  </si>
  <si>
    <t>Project Kickoff</t>
  </si>
  <si>
    <t>DREA  Complete</t>
  </si>
  <si>
    <t>L1DR Complete</t>
  </si>
  <si>
    <t>ConDR Complete</t>
  </si>
  <si>
    <t>PDR Complete</t>
  </si>
  <si>
    <t>CDR Complete</t>
  </si>
  <si>
    <t>Internal HON Review (PTCD) Complete</t>
  </si>
  <si>
    <t>HON Approval of Supplier Drawings</t>
  </si>
  <si>
    <t>Approval of Qualification Test Plan (QTP)</t>
  </si>
  <si>
    <t>Add Supplier to SCS/ASL/AVL</t>
  </si>
  <si>
    <t>FAIR Order Placed</t>
  </si>
  <si>
    <t>FAIR Order Acknowledged</t>
  </si>
  <si>
    <t>Material Received at Supplier</t>
  </si>
  <si>
    <t>Capital Tooling PO Placed</t>
  </si>
  <si>
    <t>Tooling Completed</t>
  </si>
  <si>
    <t>Supplier Trials &amp; Substantiation
(Pre-Conditional FAIR)</t>
  </si>
  <si>
    <t>Supplier FAIR Lot Build Complete</t>
  </si>
  <si>
    <t>Dimensional Pre-Qualification</t>
  </si>
  <si>
    <t>Conditional FAIR Complete</t>
  </si>
  <si>
    <t>TRR</t>
  </si>
  <si>
    <t>Supplier Qualification (post-Conditional FAIR)</t>
  </si>
  <si>
    <t>Dimensional Qualification</t>
  </si>
  <si>
    <t xml:space="preserve">HON Qualification </t>
  </si>
  <si>
    <t>Supplier &amp; HON STR/QTR Approved by HON Eng</t>
  </si>
  <si>
    <t xml:space="preserve">Supplier Signed Contract </t>
  </si>
  <si>
    <t>Production Readiness Review (PRR)</t>
  </si>
  <si>
    <t>External Approvals: FAA Approval (TSO/ETSO) Complete</t>
  </si>
  <si>
    <t>External Approvals: Customer Approval Complete</t>
  </si>
  <si>
    <t>External Approvals: DCMA/ AMCON Approval</t>
  </si>
  <si>
    <t>SS1 Elevation</t>
  </si>
  <si>
    <t>Final FAIR</t>
  </si>
  <si>
    <t>Update Next Higher Assembly Drawings</t>
  </si>
  <si>
    <t>Update Service Bulletin, Aftermarket Documents</t>
  </si>
  <si>
    <t>IMS Part Complete Date (PCD)</t>
  </si>
  <si>
    <t>Production Cutover Date</t>
  </si>
  <si>
    <t>Target Complete Date (TCD)</t>
  </si>
  <si>
    <t>TCD Status</t>
  </si>
  <si>
    <t>Baseline Status</t>
  </si>
  <si>
    <t>Part Number</t>
  </si>
  <si>
    <t>Run Out Date</t>
  </si>
  <si>
    <t>Critical Part?</t>
  </si>
  <si>
    <t>Simplified IMS</t>
  </si>
  <si>
    <t>Notes</t>
  </si>
  <si>
    <t>Baseline Type</t>
  </si>
  <si>
    <t>Project Start IRB Approval Date</t>
  </si>
  <si>
    <t>Customer Rqmnts Analysis (PSC, etc) Baseline ECD</t>
  </si>
  <si>
    <t>Customer Rqmnts Analysis (PSC, etc) Current ECD (CECD)</t>
  </si>
  <si>
    <t>Customer Rqmnts Analysis 
(PSC, etc) Actual Completion Date (ACD)</t>
  </si>
  <si>
    <t>EPA/ECE Complete Baseline ECD</t>
  </si>
  <si>
    <t>EPA/ECE Complete Current ECD (CECD)</t>
  </si>
  <si>
    <t>EPA/ECE Complete Actual Completion Date (ACD)</t>
  </si>
  <si>
    <t>TDR/ECE Complete Baseline ECD</t>
  </si>
  <si>
    <t>TDR/ECE Complete Current ECD (CECD)</t>
  </si>
  <si>
    <t>TDR/ECE Complete Actual Completion Date (ACD)</t>
  </si>
  <si>
    <t>BTS SOW Developed &amp; Approved Baseline ECD</t>
  </si>
  <si>
    <t>BTS SOW Developed &amp; Approved Current ECD (CECD)</t>
  </si>
  <si>
    <t>BTS SOW Developed &amp; Approved Actual Completion Date (ACD)</t>
  </si>
  <si>
    <t>RM Coverage Confirmed &amp; SubCon Complete Baseline ECD</t>
  </si>
  <si>
    <t>RM Coverage Confirmed &amp; SubCon Complete Current ECD (CECD)</t>
  </si>
  <si>
    <t>RM Coverage Confirmed &amp; SubCon Complete Actual Completion Date (ACD)</t>
  </si>
  <si>
    <t>Revised/ Release PSC/ Drawings Baseline ECD</t>
  </si>
  <si>
    <t>Revised/ Release PSC/ Drawings Current ECD (CECD)</t>
  </si>
  <si>
    <t>Revised/ Release
PSC/ Drawings Actual Completion Date (ACD)</t>
  </si>
  <si>
    <t>New Supplier Set Up Baseline ECD</t>
  </si>
  <si>
    <t>New Supplier Set Up Current ECD (CECD)</t>
  </si>
  <si>
    <t>New Supplier Set Up Actual Completion Date (ACD)</t>
  </si>
  <si>
    <t>Pre RFQ DATT Approved Baseline ECD</t>
  </si>
  <si>
    <t>Pre RFQ DATT Approved Current ECD (CECD)</t>
  </si>
  <si>
    <t>Pre RFQ DATT
Approved Actual Completion Date (ACD)</t>
  </si>
  <si>
    <t>Quote Received Baseline ECD</t>
  </si>
  <si>
    <t>Quote Received Current ECD (CECD)</t>
  </si>
  <si>
    <t>Quote Received Actual Completion Date (ACD)</t>
  </si>
  <si>
    <t>Down Select Suppliers &amp; PreAward DATT Approval Baseline ECD</t>
  </si>
  <si>
    <t>Down Select Suppliers &amp; PreAward DATT Approval Current ECD (CECD)</t>
  </si>
  <si>
    <t>Down Select Suppliers &amp; PreAward DATT Approval Actual Completion Date (ACD)</t>
  </si>
  <si>
    <t>eAuction Baseline ECD</t>
  </si>
  <si>
    <t>eAuction Current ECD (CECD)</t>
  </si>
  <si>
    <t>eAuction Actual Completion Date (ACD)</t>
  </si>
  <si>
    <t>Capability &amp; Capacity Assessment Complete Baseline ECD</t>
  </si>
  <si>
    <t>Capability &amp; Capacity Assessment Complete Current ECD (CECD)</t>
  </si>
  <si>
    <t>Capability &amp; Capacity Assessment Complete Actual Completion Date (ACD)</t>
  </si>
  <si>
    <t>ECE Update Complete Baseline ECD</t>
  </si>
  <si>
    <t>ECE Update Complete Current ECD (CECD)</t>
  </si>
  <si>
    <t>ECE Update Complete Actual Completion Date (ACD)</t>
  </si>
  <si>
    <t>Award Eval Complete Baseline ECD</t>
  </si>
  <si>
    <t>Award Eval Complete Current ECD (CECD)</t>
  </si>
  <si>
    <t>Award Eval Complete Actual Completion Date (ACD)</t>
  </si>
  <si>
    <t>Capital Approved Baseline ECD</t>
  </si>
  <si>
    <t>Capital Approved Current ECD (CECD)</t>
  </si>
  <si>
    <t>Capital Approved Actual Completion Date (ACD)</t>
  </si>
  <si>
    <t>TRB Approval Date Baseline ECD</t>
  </si>
  <si>
    <t>TRB Approval Date Current ECD (CECD)</t>
  </si>
  <si>
    <t>TRB Approval Date Actual Completion Date (ACD)</t>
  </si>
  <si>
    <t>Go to Supplier Signed Award Baseline ECD</t>
  </si>
  <si>
    <t>Go to Supplier Signed Award Current ECD (CECD)</t>
  </si>
  <si>
    <t>Go to Supplier Signed Award Actual Completion Date (ACD)</t>
  </si>
  <si>
    <t>Project Kickoff Baseline ECD</t>
  </si>
  <si>
    <t>Project Kickoff Current ECD (CECD)</t>
  </si>
  <si>
    <t>Project Kickoff Actual Completion Date (ACD)</t>
  </si>
  <si>
    <t>DREA Complete Baseline ECD</t>
  </si>
  <si>
    <t>DREA Complete Current ECD (CECD)</t>
  </si>
  <si>
    <t>DREA Complete Actual Completion Date (ACD)</t>
  </si>
  <si>
    <t>L1DR Complete Baseline ECD</t>
  </si>
  <si>
    <t>L1DR Complete Current ECD (CECD)</t>
  </si>
  <si>
    <t>L1DR Complete Actual Completion Date (ACD)</t>
  </si>
  <si>
    <t>ConDR Complete Baseline ECD</t>
  </si>
  <si>
    <t>ConDR Complete Current ECD (CECD)</t>
  </si>
  <si>
    <t>ConDR Complete Actual Completion Date (ACD)</t>
  </si>
  <si>
    <t>PDR Complete Baseline ECD</t>
  </si>
  <si>
    <t>PDR Complete Current ECD (CECD)</t>
  </si>
  <si>
    <t>PDR Complete Actual Completion Date (ACD)</t>
  </si>
  <si>
    <t>CDR Complete Baseline ECD</t>
  </si>
  <si>
    <t>CDR Complete Actual Completion Date (ACD)</t>
  </si>
  <si>
    <t>Internal HON Review (PTCD) Complete Baseline ECD</t>
  </si>
  <si>
    <t>Internal HON Review (PTCD) Complete Actual Completion Date (ACD)</t>
  </si>
  <si>
    <t>HON Approval of Supplier Drawings Baseline ECD</t>
  </si>
  <si>
    <t>HON Approval of Supplier Drawings Current ECD (CECD)</t>
  </si>
  <si>
    <t>HON Approval of Supplier Drawings Actual Completion Date (ACD)</t>
  </si>
  <si>
    <t>Approval of Qualification Test Plan (QTP) Baseline ECD</t>
  </si>
  <si>
    <t>Approval of Qualification Test Plan (QTP) Current ECD (CECD)</t>
  </si>
  <si>
    <t>Approval of Qualification Test Plan (QTP) Actual Completion Date (ACD)</t>
  </si>
  <si>
    <t>Add Supplier to SCS/ASL/AVL Baseline ECD</t>
  </si>
  <si>
    <t>Add Supplier to SCS/ASL/AVL Current ECD (CECD)</t>
  </si>
  <si>
    <t>Add Supplier to SCS/ASL/AVL Actual Completion Date (ACD)</t>
  </si>
  <si>
    <t>FAIR Order Placed Baseline ECD</t>
  </si>
  <si>
    <t>FAIR Order Placed Current ECD (CECD)</t>
  </si>
  <si>
    <t>FAIR Order Placed Actual Completion Date (ACD)</t>
  </si>
  <si>
    <t>FAIR Order Acknowledged Baseline ECD</t>
  </si>
  <si>
    <t>FAIR Order Acknowledged Current ECD (CECD)</t>
  </si>
  <si>
    <t>FAIR Order Acknowledged Actual Completion Date (ACD)</t>
  </si>
  <si>
    <t>Execution Baseline Status</t>
  </si>
  <si>
    <t>Material Received at Supplier Baseline ECD</t>
  </si>
  <si>
    <t>Material Received at Supplier Current ECD (CECD)</t>
  </si>
  <si>
    <t>Material Received at Supplier Actual Completion Date (ACD)</t>
  </si>
  <si>
    <t>Capital Tooling PO Placed Baseline ECD</t>
  </si>
  <si>
    <t>Capital Tooling PO Placed Current ECD (CECD)</t>
  </si>
  <si>
    <t>Capital Tooling PO Placed Actual Completion Date (ACD)</t>
  </si>
  <si>
    <t>Tooling Completed Baseline ECD</t>
  </si>
  <si>
    <t>Tooling Completed Current ECD (CECD)</t>
  </si>
  <si>
    <t>Tooling Completed Actual Completion Date (ACD)</t>
  </si>
  <si>
    <t>Supplier Trials &amp; Substantiation (Pre-Conditional FAIR) Baseline ECD</t>
  </si>
  <si>
    <t>Supplier Trials &amp; Substantiation (Pre-Conditional FAIR) Current ECD (CECD)</t>
  </si>
  <si>
    <t>Supplier Trials &amp; Substantiation
(Pre-Conditional FAIR) Actual Completion Date (ACD)</t>
  </si>
  <si>
    <t>Supplier FAIR Lot Build Complete Baseline ECD</t>
  </si>
  <si>
    <t>Supplier FAIR Lot Build Complete Current ECD (CECD)</t>
  </si>
  <si>
    <t>Supplier FAIR Lot Build Complete Actual Completion Date (ACD)</t>
  </si>
  <si>
    <t>Number of Cycles of Learning for Dimensional Pre-Qualification</t>
  </si>
  <si>
    <t>Dimensional Pre-Qualification Baseline ECD</t>
  </si>
  <si>
    <t>Dimensional Pre-Qualification Current ECD (CECD)</t>
  </si>
  <si>
    <t>Dimensional Pre-Qualification Actual Completion Date (ACD)</t>
  </si>
  <si>
    <t>Conditional FAIR Complete Baseline ECD</t>
  </si>
  <si>
    <t>Conditional FAIR Complete Current ECD (CECD)</t>
  </si>
  <si>
    <t>Conditional FAIR Complete Actual Completion Date (ACD)</t>
  </si>
  <si>
    <t>TRR Baseline ECD</t>
  </si>
  <si>
    <t>TRR Current ECD (CECD)</t>
  </si>
  <si>
    <t>TRR Actual Completion Date (ACD)</t>
  </si>
  <si>
    <t>Number of Cycles of Learning for Supplier Qualification (post-Conditional FAIR)</t>
  </si>
  <si>
    <t>Supplier Qualification (post-Conditional FAIR) Baseline ECD</t>
  </si>
  <si>
    <t>Supplier Qualification (post-Conditional FAIR) Current ECD (CECD)</t>
  </si>
  <si>
    <t>Supplier Qualification (post-Conditional FAIR) Actual Completion Date (ACD)</t>
  </si>
  <si>
    <t>Number of Cycles of Learning for Dimensional Qualification</t>
  </si>
  <si>
    <t>Dimensional Qualification Baseline ECD</t>
  </si>
  <si>
    <t>Dimensional Qualification Current ECD (CECD)</t>
  </si>
  <si>
    <t>Dimensional Qualification Actual Completion Date (ACD)</t>
  </si>
  <si>
    <t>Number of Cycles of Learning for HON Qualification</t>
  </si>
  <si>
    <t>HON Qualification Baseline ECD</t>
  </si>
  <si>
    <t>HON Qualification Current ECD (CECD)</t>
  </si>
  <si>
    <t>HON Qualification Actual Completion Date (ACD)</t>
  </si>
  <si>
    <t>Supplier &amp; HON STR/QTR Approved by HON Eng Baseline ECD</t>
  </si>
  <si>
    <t>Supplier &amp; HON STR/QTR Approved by HON Eng Current ECD (CECD)</t>
  </si>
  <si>
    <t>Supplier &amp; HON STR/QTR Approved by HON Eng Actual Completion Date (ACD)</t>
  </si>
  <si>
    <t>Supplier Signed Contract Baseline ECD</t>
  </si>
  <si>
    <t>Supplier Signed Contract Current ECD (CECD)</t>
  </si>
  <si>
    <t>Supplier Signed Contract Actual Completion Date (ACD)</t>
  </si>
  <si>
    <t>Production Readiness Review (PRR) Baseline ECD</t>
  </si>
  <si>
    <t>Production Readiness Review (PRR) Current ECD (CECD)</t>
  </si>
  <si>
    <t>Production Readiness Review (PRR) Actual Completion Date (ACD)</t>
  </si>
  <si>
    <t>External Approvals: FAA Approval (TSO/ETSO) Complete Baseline ECD</t>
  </si>
  <si>
    <t>External Approvals: FAA Approval (TSO/ETSO) Complete Current ECD (CECD)</t>
  </si>
  <si>
    <t>External Approvals: FAA Approval (TSO/ETSO) Complete Actual Completion Date (ACD)</t>
  </si>
  <si>
    <t>External Approvals: Customer Approval Complete Baseline ECD</t>
  </si>
  <si>
    <t>External Approvals: Customer Approval Complete Current ECD (CECD)</t>
  </si>
  <si>
    <t>External Approvals: Customer Approval Complete Actual Completion Date (ACD)</t>
  </si>
  <si>
    <t>External Approvals: DCMA/ AMCON Approval Baseline ECD</t>
  </si>
  <si>
    <t>External Approvals: DCMA/ AMCON Approval Current ECD (CECD)</t>
  </si>
  <si>
    <t>External Approvals: DCMA/ AMCON Approval Actual Completion Date (ACD)</t>
  </si>
  <si>
    <t>SS1 Elevation Baseline ECD</t>
  </si>
  <si>
    <t>SS1 Elevation Current ECD (CECD)</t>
  </si>
  <si>
    <t>SS1 Elevation Actual Completion Date (ACD)</t>
  </si>
  <si>
    <t>Final FAIR Baseline ECD</t>
  </si>
  <si>
    <t>Final FAIR Current ECD (CECD)</t>
  </si>
  <si>
    <t>Final FAIR Actual Completion Date (ACD)</t>
  </si>
  <si>
    <t>Update Next Higher Assembly Drawings Baseline ECD</t>
  </si>
  <si>
    <t>Update Next Higher Assembly Drawings Current ECD (CECD)</t>
  </si>
  <si>
    <t>Update Next Higher Assembly Drawings Actual Completion Date (ACD)</t>
  </si>
  <si>
    <t>Update Service Bulletin, Aftermarket Documents Baseline ECD</t>
  </si>
  <si>
    <t>Update Service Bulletin, Aftermarket Documents Current ECD (CECD)</t>
  </si>
  <si>
    <t>Update Service Bulletin, Aftermarket Documents Actual Completion Date (ACD)</t>
  </si>
  <si>
    <t>IMS Part Complete Date (PCD) Baseline ECD</t>
  </si>
  <si>
    <t>IMS Part Complete Date (PCD) Current ECD (CECD)</t>
  </si>
  <si>
    <t>IMS Part Complete Date (PCD) Actual Completion Date (ACD)</t>
  </si>
  <si>
    <t>Production Cutover Date Baseline ECD</t>
  </si>
  <si>
    <t>Production Cutover Date Current ECD (CECD)</t>
  </si>
  <si>
    <t>Production Cutover Date Actual Completion Date (ACD)</t>
  </si>
  <si>
    <t>Target Complete Date (TCD) Baseline ECD</t>
  </si>
  <si>
    <t>Target Complete Date (TCD) Current ECD (CECD)</t>
  </si>
  <si>
    <t>Target Complete Date (TCD) Actual Completion Date (ACD)</t>
  </si>
  <si>
    <t>Baseline Status (Do not Update)</t>
  </si>
  <si>
    <t>Project Length Baseline Forecast</t>
  </si>
  <si>
    <t>Project Length Current Forecast</t>
  </si>
  <si>
    <t>Project Length Actual</t>
  </si>
  <si>
    <t>Project Length Area</t>
  </si>
  <si>
    <t>Durations in WD</t>
  </si>
  <si>
    <t>Total Project</t>
  </si>
  <si>
    <t>Template for Calculation</t>
  </si>
  <si>
    <t>BTP FAIR Only Part Number</t>
  </si>
  <si>
    <t>Execution Only</t>
  </si>
  <si>
    <t>BTP + Qual Part Number</t>
  </si>
  <si>
    <t>BTS Part Number</t>
  </si>
  <si>
    <t>BTP + Casting</t>
  </si>
  <si>
    <t>BTP + Forging</t>
  </si>
  <si>
    <t xml:space="preserve">ALL TEAMS HAVE SAME TEMPLATE LOCKED HERE </t>
  </si>
  <si>
    <t>Metric Driver</t>
  </si>
  <si>
    <t>Metric Driver - L1 Milestone</t>
  </si>
  <si>
    <t>Metric Driver - L2 Milestone</t>
  </si>
  <si>
    <r>
      <t xml:space="preserve">To generate your SIMS, enter the </t>
    </r>
    <r>
      <rPr>
        <b/>
        <sz val="12"/>
        <color rgb="FFFF0000"/>
        <rFont val="Aptos Narrow"/>
        <family val="2"/>
        <scheme val="minor"/>
      </rPr>
      <t xml:space="preserve">Accolade IDs </t>
    </r>
    <r>
      <rPr>
        <b/>
        <sz val="12"/>
        <rFont val="Aptos Narrow"/>
        <family val="2"/>
        <scheme val="minor"/>
      </rPr>
      <t>for each project type starting on row#27</t>
    </r>
    <r>
      <rPr>
        <b/>
        <sz val="12"/>
        <color theme="1"/>
        <rFont val="Aptos Narrow"/>
        <family val="2"/>
        <scheme val="minor"/>
      </rPr>
      <t>. Then click on generate SIMS:</t>
    </r>
  </si>
  <si>
    <t>Project Length Data Points</t>
  </si>
  <si>
    <t>MARICOPA</t>
  </si>
  <si>
    <t>Execution schedule has been re-baselined w/ FAIR PO Ack ACD. Validate your durations before publishing</t>
  </si>
  <si>
    <t>Execution Baseline Locked</t>
  </si>
  <si>
    <t>Task</t>
  </si>
  <si>
    <t>Days</t>
  </si>
  <si>
    <t>Date</t>
  </si>
  <si>
    <t>Start</t>
  </si>
  <si>
    <t>Task 1</t>
  </si>
  <si>
    <t>Task 2</t>
  </si>
  <si>
    <t>Task 3</t>
  </si>
  <si>
    <t>Task 4</t>
  </si>
  <si>
    <t>Task 5</t>
  </si>
  <si>
    <t>Task 6</t>
  </si>
  <si>
    <t>Task 7</t>
  </si>
  <si>
    <t>Task 8</t>
  </si>
  <si>
    <t>Task 9</t>
  </si>
  <si>
    <t>Task 10</t>
  </si>
  <si>
    <t>Task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</si>
</sst>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1"/>
      <name val="Aptos Narrow"/>
      <family val="2"/>
      <scheme val="minor"/>
    </font>
    <font>
      <b/>
      <sz val="11"/>
      <color rgb="FF000000"/>
      <name val="Calibri"/>
      <family val="2"/>
    </font>
    <font>
      <b/>
      <sz val="10"/>
      <color rgb="FF000000"/>
      <name val="Calibri"/>
      <family val="2"/>
    </font>
    <font>
      <b/>
      <sz val="10"/>
      <color theme="0"/>
      <name val="Calibri"/>
      <family val="2"/>
    </font>
    <font>
      <b/>
      <sz val="10"/>
      <color theme="1"/>
      <name val="Calibri"/>
      <family val="2"/>
    </font>
    <font>
      <b/>
      <sz val="10"/>
      <name val="Calibri"/>
      <family val="2"/>
    </font>
    <font>
      <sz val="9"/>
      <color theme="1"/>
      <name val="Aptos Narrow"/>
      <family val="2"/>
      <scheme val="minor"/>
    </font>
    <font>
      <sz val="11"/>
      <color rgb="FF000000"/>
      <name val="Calibri"/>
      <family val="2"/>
    </font>
    <font>
      <b/>
      <sz val="11"/>
      <color theme="0"/>
      <name val="Aptos Narrow"/>
      <family val="2"/>
      <scheme val="minor"/>
    </font>
    <font>
      <sz val="11"/>
      <color theme="0"/>
      <name val="Aptos Narrow"/>
      <family val="2"/>
      <scheme val="minor"/>
    </font>
    <font>
      <sz val="9"/>
      <color theme="0"/>
      <name val="Aptos Narrow"/>
      <family val="2"/>
      <scheme val="minor"/>
    </font>
    <font>
      <b/>
      <sz val="11"/>
      <color theme="0"/>
      <name val="Calibri"/>
      <family val="2"/>
    </font>
    <font>
      <b/>
      <sz val="12"/>
      <color rgb="FF000000"/>
      <name val="Calibri"/>
      <family val="2"/>
    </font>
    <font>
      <b/>
      <sz val="11"/>
      <color theme="1" tint="0.249977111117893"/>
      <name val="Aptos Narrow"/>
      <family val="2"/>
      <scheme val="minor"/>
    </font>
    <font>
      <b/>
      <sz val="11"/>
      <color theme="1"/>
      <name val="Aptos Narrow"/>
      <family val="1"/>
      <charset val="2"/>
      <scheme val="minor"/>
    </font>
    <font>
      <b/>
      <sz val="11"/>
      <color theme="1"/>
      <name val="Wingdings 3"/>
      <family val="1"/>
      <charset val="2"/>
    </font>
    <font>
      <b/>
      <sz val="7.7"/>
      <color theme="1"/>
      <name val="Aptos Narrow"/>
      <family val="2"/>
    </font>
    <font>
      <b/>
      <sz val="11"/>
      <color theme="1"/>
      <name val="Calibri"/>
      <family val="2"/>
    </font>
    <font>
      <u/>
      <sz val="11"/>
      <color theme="10"/>
      <name val="Aptos Narrow"/>
      <family val="2"/>
      <scheme val="minor"/>
    </font>
    <font>
      <sz val="11"/>
      <color rgb="FF3F3F76"/>
      <name val="Aptos Narrow"/>
      <family val="2"/>
      <scheme val="minor"/>
    </font>
    <font>
      <sz val="8"/>
      <color theme="1"/>
      <name val="Aptos Narrow"/>
      <family val="2"/>
      <scheme val="minor"/>
    </font>
    <font>
      <b/>
      <sz val="10"/>
      <color rgb="FFFF0000"/>
      <name val="Aptos Narrow"/>
      <family val="2"/>
      <scheme val="minor"/>
    </font>
    <font>
      <b/>
      <sz val="10"/>
      <color theme="1"/>
      <name val="Aptos Narrow"/>
      <family val="2"/>
      <scheme val="minor"/>
    </font>
    <font>
      <b/>
      <sz val="14"/>
      <color rgb="FF3F3F76"/>
      <name val="Aptos Narrow"/>
      <family val="2"/>
      <scheme val="minor"/>
    </font>
    <font>
      <b/>
      <sz val="10"/>
      <color theme="2" tint="-0.499984740745262"/>
      <name val="Calibri"/>
      <family val="2"/>
    </font>
    <font>
      <b/>
      <sz val="10"/>
      <color theme="2" tint="-0.499984740745262"/>
      <name val="Aptos Narrow"/>
      <family val="2"/>
      <scheme val="minor"/>
    </font>
    <font>
      <sz val="10"/>
      <color theme="1"/>
      <name val="Aptos Narrow"/>
      <family val="2"/>
      <scheme val="minor"/>
    </font>
    <font>
      <b/>
      <sz val="10"/>
      <color rgb="FF92D050"/>
      <name val="Aptos Narrow"/>
      <family val="2"/>
      <scheme val="minor"/>
    </font>
    <font>
      <b/>
      <sz val="12"/>
      <color rgb="FFFF0000"/>
      <name val="Aptos Narrow"/>
      <family val="2"/>
      <scheme val="minor"/>
    </font>
    <font>
      <b/>
      <sz val="12"/>
      <name val="Aptos Narrow"/>
      <family val="2"/>
      <scheme val="minor"/>
    </font>
  </fonts>
  <fills count="34">
    <fill>
      <patternFill patternType="none"/>
    </fill>
    <fill>
      <patternFill patternType="gray125"/>
    </fill>
    <fill>
      <patternFill patternType="solid">
        <fgColor theme="0"/>
        <bgColor indexed="64"/>
      </patternFill>
    </fill>
    <fill>
      <patternFill patternType="solid">
        <fgColor theme="7"/>
        <bgColor indexed="64"/>
      </patternFill>
    </fill>
    <fill>
      <patternFill patternType="solid">
        <fgColor rgb="FF00B0F0"/>
        <bgColor indexed="64"/>
      </patternFill>
    </fill>
    <fill>
      <patternFill patternType="solid">
        <fgColor rgb="FFFFFF00"/>
        <bgColor theme="4"/>
      </patternFill>
    </fill>
    <fill>
      <patternFill patternType="solid">
        <fgColor rgb="FFFFFF00"/>
        <bgColor indexed="64"/>
      </patternFill>
    </fill>
    <fill>
      <patternFill patternType="solid">
        <fgColor theme="0"/>
        <bgColor theme="4"/>
      </patternFill>
    </fill>
    <fill>
      <patternFill patternType="solid">
        <fgColor rgb="FF92D050"/>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1"/>
        <bgColor indexed="64"/>
      </patternFill>
    </fill>
    <fill>
      <patternFill patternType="solid">
        <fgColor theme="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34998626667073579"/>
        <bgColor theme="4"/>
      </patternFill>
    </fill>
    <fill>
      <patternFill patternType="solid">
        <fgColor theme="0" tint="-0.34998626667073579"/>
        <bgColor indexed="64"/>
      </patternFill>
    </fill>
    <fill>
      <patternFill patternType="solid">
        <fgColor theme="1" tint="0.249977111117893"/>
        <bgColor theme="4"/>
      </patternFill>
    </fill>
    <fill>
      <patternFill patternType="solid">
        <fgColor theme="0" tint="-4.9989318521683403E-2"/>
        <bgColor indexed="64"/>
      </patternFill>
    </fill>
    <fill>
      <patternFill patternType="solid">
        <fgColor rgb="FFFFC000"/>
        <bgColor indexed="64"/>
      </patternFill>
    </fill>
    <fill>
      <patternFill patternType="solid">
        <fgColor rgb="FFFFFFE5"/>
        <bgColor indexed="64"/>
      </patternFill>
    </fill>
    <fill>
      <patternFill patternType="solid">
        <fgColor rgb="FFF9D2BF"/>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rgb="FFFF9393"/>
        <bgColor indexed="64"/>
      </patternFill>
    </fill>
    <fill>
      <patternFill patternType="solid">
        <fgColor rgb="FFFFCC99"/>
      </patternFill>
    </fill>
    <fill>
      <patternFill patternType="solid">
        <fgColor rgb="FF9D1D24"/>
        <bgColor indexed="64"/>
      </patternFill>
    </fill>
    <fill>
      <patternFill patternType="solid">
        <fgColor theme="4" tint="-0.249977111117893"/>
        <bgColor indexed="64"/>
      </patternFill>
    </fill>
    <fill>
      <patternFill patternType="solid">
        <fgColor rgb="FFFFC000"/>
        <bgColor theme="4"/>
      </patternFill>
    </fill>
    <fill>
      <patternFill patternType="solid">
        <fgColor theme="4" tint="-0.249977111117893"/>
        <bgColor theme="4"/>
      </patternFill>
    </fill>
    <fill>
      <patternFill patternType="solid">
        <fgColor theme="0" tint="-0.14999847407452621"/>
        <bgColor theme="0" tint="-0.14999847407452621"/>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s>
  <cellStyleXfs count="5">
    <xf numFmtId="0" fontId="0" fillId="0" borderId="0"/>
    <xf numFmtId="9" fontId="1" fillId="0" borderId="0" applyFont="0" applyFill="0" applyBorder="0" applyAlignment="0" applyProtection="0"/>
    <xf numFmtId="0" fontId="10" fillId="0" borderId="0" applyBorder="0"/>
    <xf numFmtId="0" fontId="21" fillId="0" borderId="0" applyNumberFormat="0" applyFill="0" applyBorder="0" applyAlignment="0" applyProtection="0"/>
    <xf numFmtId="0" fontId="22" fillId="28" borderId="16" applyNumberFormat="0" applyAlignment="0" applyProtection="0"/>
  </cellStyleXfs>
  <cellXfs count="205">
    <xf numFmtId="0" fontId="0" fillId="0" borderId="0" xfId="0"/>
    <xf numFmtId="0" fontId="0" fillId="2" borderId="0" xfId="0" applyFill="1"/>
    <xf numFmtId="0" fontId="4" fillId="2" borderId="0" xfId="0" applyFont="1" applyFill="1" applyAlignment="1">
      <alignment horizontal="center"/>
    </xf>
    <xf numFmtId="0" fontId="0" fillId="0" borderId="0" xfId="0" applyAlignment="1">
      <alignment horizontal="center" vertical="center"/>
    </xf>
    <xf numFmtId="0" fontId="7" fillId="5" borderId="1" xfId="0" applyFont="1" applyFill="1" applyBorder="1" applyAlignment="1">
      <alignment horizontal="center" vertical="center" wrapText="1"/>
    </xf>
    <xf numFmtId="0" fontId="8" fillId="6" borderId="1" xfId="0" applyFont="1" applyFill="1" applyBorder="1" applyAlignment="1">
      <alignment horizontal="center" vertical="center"/>
    </xf>
    <xf numFmtId="9" fontId="0" fillId="0" borderId="0" xfId="1" applyFont="1"/>
    <xf numFmtId="0" fontId="10" fillId="0" borderId="0" xfId="2"/>
    <xf numFmtId="0" fontId="10" fillId="3" borderId="0" xfId="2" applyFill="1"/>
    <xf numFmtId="14" fontId="0" fillId="0" borderId="0" xfId="0" applyNumberFormat="1"/>
    <xf numFmtId="14" fontId="5" fillId="0" borderId="1" xfId="0" applyNumberFormat="1" applyFont="1" applyBorder="1" applyAlignment="1">
      <alignment horizontal="center" vertical="center"/>
    </xf>
    <xf numFmtId="14" fontId="8" fillId="0" borderId="1" xfId="0" applyNumberFormat="1" applyFont="1" applyBorder="1" applyAlignment="1">
      <alignment horizontal="center" vertical="center"/>
    </xf>
    <xf numFmtId="14" fontId="8" fillId="0" borderId="3" xfId="0" applyNumberFormat="1" applyFont="1" applyBorder="1" applyAlignment="1">
      <alignment horizontal="center" vertical="center"/>
    </xf>
    <xf numFmtId="14" fontId="5" fillId="10" borderId="1" xfId="0" applyNumberFormat="1" applyFont="1" applyFill="1" applyBorder="1" applyAlignment="1">
      <alignment horizontal="center" vertical="center"/>
    </xf>
    <xf numFmtId="0" fontId="4" fillId="12" borderId="0" xfId="2" applyFont="1" applyFill="1" applyAlignment="1">
      <alignment horizontal="center"/>
    </xf>
    <xf numFmtId="0" fontId="4" fillId="12" borderId="0" xfId="2" applyFont="1" applyFill="1" applyAlignment="1">
      <alignment horizontal="center" wrapText="1"/>
    </xf>
    <xf numFmtId="0" fontId="0" fillId="0" borderId="0" xfId="0" applyAlignment="1">
      <alignment horizontal="left" vertical="top"/>
    </xf>
    <xf numFmtId="0" fontId="0" fillId="2" borderId="0" xfId="0" applyFill="1" applyAlignment="1">
      <alignment vertical="center"/>
    </xf>
    <xf numFmtId="0" fontId="3" fillId="2" borderId="0" xfId="0" applyFont="1" applyFill="1" applyAlignment="1">
      <alignment vertical="center"/>
    </xf>
    <xf numFmtId="0" fontId="2" fillId="2" borderId="0" xfId="0" applyFont="1" applyFill="1"/>
    <xf numFmtId="0" fontId="2" fillId="2" borderId="0" xfId="0" applyFont="1" applyFill="1" applyAlignment="1">
      <alignment horizontal="right"/>
    </xf>
    <xf numFmtId="0" fontId="0" fillId="2" borderId="0" xfId="0" applyFill="1" applyAlignment="1">
      <alignment horizontal="left"/>
    </xf>
    <xf numFmtId="0" fontId="2" fillId="2" borderId="0" xfId="0" applyFont="1" applyFill="1" applyAlignment="1">
      <alignment horizontal="left"/>
    </xf>
    <xf numFmtId="0" fontId="0" fillId="0" borderId="1" xfId="0" applyBorder="1"/>
    <xf numFmtId="0" fontId="0" fillId="0" borderId="2" xfId="0" applyBorder="1"/>
    <xf numFmtId="0" fontId="2" fillId="0" borderId="1" xfId="0" applyFont="1" applyBorder="1"/>
    <xf numFmtId="0" fontId="2" fillId="0" borderId="1" xfId="0" applyFont="1" applyBorder="1" applyAlignment="1">
      <alignment vertical="center"/>
    </xf>
    <xf numFmtId="0" fontId="7" fillId="16" borderId="1" xfId="0" applyFont="1" applyFill="1" applyBorder="1" applyAlignment="1">
      <alignment horizontal="center" vertical="center" wrapText="1"/>
    </xf>
    <xf numFmtId="14" fontId="5" fillId="17" borderId="1" xfId="0" applyNumberFormat="1" applyFont="1" applyFill="1" applyBorder="1" applyAlignment="1">
      <alignment horizontal="center" vertical="center"/>
    </xf>
    <xf numFmtId="9" fontId="5" fillId="17" borderId="1" xfId="1" applyFont="1" applyFill="1" applyBorder="1" applyAlignment="1">
      <alignment horizontal="center" vertical="center"/>
    </xf>
    <xf numFmtId="0" fontId="9" fillId="0" borderId="0" xfId="0" applyFont="1" applyAlignment="1">
      <alignment horizontal="center" vertical="center"/>
    </xf>
    <xf numFmtId="0" fontId="8" fillId="17" borderId="1" xfId="0" applyFont="1" applyFill="1" applyBorder="1" applyAlignment="1">
      <alignment horizontal="center" vertical="center"/>
    </xf>
    <xf numFmtId="0" fontId="14" fillId="14" borderId="0" xfId="0" applyFont="1" applyFill="1"/>
    <xf numFmtId="0" fontId="6" fillId="18" borderId="1" xfId="0" applyFont="1" applyFill="1" applyBorder="1" applyAlignment="1">
      <alignment horizontal="center" vertical="center" wrapText="1"/>
    </xf>
    <xf numFmtId="0" fontId="2" fillId="15" borderId="1" xfId="0" applyFont="1" applyFill="1" applyBorder="1" applyAlignment="1">
      <alignment horizontal="center" vertical="center" wrapText="1"/>
    </xf>
    <xf numFmtId="14" fontId="6" fillId="18" borderId="1" xfId="0" applyNumberFormat="1" applyFont="1" applyFill="1" applyBorder="1" applyAlignment="1">
      <alignment horizontal="center" vertical="center" wrapText="1"/>
    </xf>
    <xf numFmtId="0" fontId="4" fillId="0" borderId="0" xfId="0" applyFont="1" applyAlignment="1">
      <alignment horizontal="center"/>
    </xf>
    <xf numFmtId="0" fontId="17" fillId="20" borderId="0" xfId="0" applyFont="1" applyFill="1" applyAlignment="1">
      <alignment horizontal="center" vertical="center" wrapText="1"/>
    </xf>
    <xf numFmtId="0" fontId="20" fillId="20" borderId="0" xfId="0" applyFont="1" applyFill="1"/>
    <xf numFmtId="0" fontId="2" fillId="2" borderId="0" xfId="0" applyFont="1" applyFill="1" applyAlignment="1">
      <alignment horizontal="left" vertical="top"/>
    </xf>
    <xf numFmtId="0" fontId="0" fillId="2" borderId="14" xfId="0" applyFill="1" applyBorder="1"/>
    <xf numFmtId="0" fontId="4" fillId="2" borderId="14" xfId="0" applyFont="1" applyFill="1" applyBorder="1" applyAlignment="1">
      <alignment horizontal="center"/>
    </xf>
    <xf numFmtId="14" fontId="5" fillId="0" borderId="3" xfId="0" applyNumberFormat="1" applyFont="1" applyBorder="1" applyAlignment="1">
      <alignment horizontal="center" vertical="center"/>
    </xf>
    <xf numFmtId="0" fontId="12" fillId="0" borderId="17" xfId="0" applyFont="1" applyBorder="1"/>
    <xf numFmtId="0" fontId="12" fillId="0" borderId="5" xfId="0" applyFont="1" applyBorder="1"/>
    <xf numFmtId="14" fontId="8" fillId="17" borderId="1" xfId="0" applyNumberFormat="1" applyFont="1" applyFill="1" applyBorder="1" applyAlignment="1">
      <alignment horizontal="center" vertical="center"/>
    </xf>
    <xf numFmtId="14" fontId="7" fillId="16" borderId="1" xfId="0" applyNumberFormat="1" applyFont="1" applyFill="1" applyBorder="1" applyAlignment="1">
      <alignment horizontal="center" vertical="center" wrapText="1"/>
    </xf>
    <xf numFmtId="14" fontId="5" fillId="17" borderId="1" xfId="1" applyNumberFormat="1" applyFont="1" applyFill="1" applyBorder="1" applyAlignment="1">
      <alignment horizontal="center" vertical="center"/>
    </xf>
    <xf numFmtId="0" fontId="16" fillId="0" borderId="0" xfId="0" applyFont="1" applyAlignment="1">
      <alignment horizontal="left" vertical="top"/>
    </xf>
    <xf numFmtId="0" fontId="23" fillId="0" borderId="15" xfId="0" applyFont="1" applyBorder="1" applyAlignment="1">
      <alignment vertical="top" wrapText="1"/>
    </xf>
    <xf numFmtId="0" fontId="4" fillId="23" borderId="0" xfId="0" applyFont="1" applyFill="1" applyAlignment="1">
      <alignment horizontal="center"/>
    </xf>
    <xf numFmtId="14" fontId="5" fillId="8"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2" fillId="20" borderId="1" xfId="0" applyFont="1" applyFill="1" applyBorder="1" applyAlignment="1">
      <alignment horizontal="center" vertical="center" wrapText="1"/>
    </xf>
    <xf numFmtId="1" fontId="7" fillId="7" borderId="1" xfId="0" applyNumberFormat="1" applyFont="1" applyFill="1" applyBorder="1" applyAlignment="1">
      <alignment horizontal="center" vertical="center" wrapText="1"/>
    </xf>
    <xf numFmtId="0" fontId="25" fillId="0" borderId="1" xfId="0" applyFont="1" applyBorder="1"/>
    <xf numFmtId="14" fontId="5" fillId="22" borderId="1" xfId="0" applyNumberFormat="1" applyFont="1" applyFill="1" applyBorder="1" applyAlignment="1">
      <alignment horizontal="center" vertical="center"/>
    </xf>
    <xf numFmtId="1" fontId="27" fillId="2" borderId="1" xfId="0" applyNumberFormat="1" applyFont="1" applyFill="1" applyBorder="1" applyAlignment="1">
      <alignment horizontal="center"/>
    </xf>
    <xf numFmtId="0" fontId="28" fillId="0" borderId="1" xfId="0" applyFont="1" applyBorder="1"/>
    <xf numFmtId="14" fontId="5" fillId="22" borderId="3" xfId="0" applyNumberFormat="1" applyFont="1" applyFill="1" applyBorder="1" applyAlignment="1">
      <alignment horizontal="center" vertical="center"/>
    </xf>
    <xf numFmtId="14" fontId="5" fillId="17" borderId="3" xfId="0" applyNumberFormat="1" applyFont="1" applyFill="1" applyBorder="1" applyAlignment="1">
      <alignment horizontal="center" vertical="center"/>
    </xf>
    <xf numFmtId="1" fontId="5" fillId="17" borderId="1" xfId="0" applyNumberFormat="1" applyFont="1" applyFill="1" applyBorder="1" applyAlignment="1">
      <alignment horizontal="center" vertical="center"/>
    </xf>
    <xf numFmtId="0" fontId="10" fillId="0" borderId="0" xfId="2" applyAlignment="1">
      <alignment horizontal="left"/>
    </xf>
    <xf numFmtId="0" fontId="4" fillId="0" borderId="0" xfId="2" applyFont="1" applyAlignment="1">
      <alignment horizontal="center"/>
    </xf>
    <xf numFmtId="0" fontId="20" fillId="0" borderId="0" xfId="2" applyFont="1" applyAlignment="1">
      <alignment horizontal="center"/>
    </xf>
    <xf numFmtId="14" fontId="0" fillId="22" borderId="1" xfId="0" applyNumberFormat="1" applyFill="1" applyBorder="1"/>
    <xf numFmtId="0" fontId="2" fillId="20" borderId="1" xfId="0" applyFont="1" applyFill="1" applyBorder="1" applyAlignment="1">
      <alignment vertical="center"/>
    </xf>
    <xf numFmtId="0" fontId="0" fillId="0" borderId="1" xfId="0" applyBorder="1" applyAlignment="1">
      <alignment wrapText="1"/>
    </xf>
    <xf numFmtId="0" fontId="11" fillId="13" borderId="1" xfId="0" applyFont="1" applyFill="1" applyBorder="1" applyAlignment="1">
      <alignment vertical="center"/>
    </xf>
    <xf numFmtId="0" fontId="11" fillId="29" borderId="1" xfId="0" applyFont="1" applyFill="1" applyBorder="1" applyAlignment="1">
      <alignment vertical="center"/>
    </xf>
    <xf numFmtId="0" fontId="6" fillId="30" borderId="1" xfId="0" applyFont="1" applyFill="1" applyBorder="1" applyAlignment="1">
      <alignment vertical="center" wrapText="1"/>
    </xf>
    <xf numFmtId="0" fontId="29" fillId="0" borderId="0" xfId="0" quotePrefix="1" applyFont="1" applyAlignment="1">
      <alignment horizontal="left" vertical="top" wrapText="1"/>
    </xf>
    <xf numFmtId="0" fontId="25" fillId="0" borderId="0" xfId="0" applyFont="1" applyAlignment="1">
      <alignment horizontal="left" vertical="top"/>
    </xf>
    <xf numFmtId="0" fontId="25" fillId="0" borderId="0" xfId="0" quotePrefix="1" applyFont="1" applyAlignment="1">
      <alignment horizontal="left" vertical="top" wrapText="1"/>
    </xf>
    <xf numFmtId="0" fontId="29" fillId="0" borderId="0" xfId="0" quotePrefix="1" applyFont="1" applyAlignment="1">
      <alignment horizontal="left" vertical="top"/>
    </xf>
    <xf numFmtId="14" fontId="6" fillId="13" borderId="1" xfId="0" applyNumberFormat="1" applyFont="1" applyFill="1" applyBorder="1" applyAlignment="1">
      <alignment horizontal="center" vertical="center" wrapText="1"/>
    </xf>
    <xf numFmtId="0" fontId="9" fillId="20" borderId="10" xfId="0" applyFont="1" applyFill="1" applyBorder="1" applyAlignment="1">
      <alignment horizontal="center" vertical="center"/>
    </xf>
    <xf numFmtId="0" fontId="5" fillId="0" borderId="1" xfId="0" applyFont="1" applyBorder="1" applyAlignment="1">
      <alignment horizontal="center" vertical="center"/>
    </xf>
    <xf numFmtId="0" fontId="7" fillId="31" borderId="1" xfId="0" applyFont="1" applyFill="1" applyBorder="1" applyAlignment="1">
      <alignment horizontal="center" vertical="center" wrapText="1"/>
    </xf>
    <xf numFmtId="0" fontId="12" fillId="0" borderId="0" xfId="0" applyFont="1" applyAlignment="1">
      <alignment horizontal="center"/>
    </xf>
    <xf numFmtId="0" fontId="3" fillId="2" borderId="0" xfId="0" applyFont="1" applyFill="1" applyAlignment="1">
      <alignment horizontal="right" vertical="center"/>
    </xf>
    <xf numFmtId="0" fontId="2" fillId="0" borderId="14" xfId="0" applyFont="1" applyBorder="1" applyAlignment="1">
      <alignment horizontal="right" vertical="top" wrapText="1"/>
    </xf>
    <xf numFmtId="0" fontId="2" fillId="12" borderId="1" xfId="0" applyFont="1" applyFill="1" applyBorder="1"/>
    <xf numFmtId="0" fontId="2" fillId="0" borderId="0" xfId="0" applyFont="1" applyAlignment="1">
      <alignment horizontal="right"/>
    </xf>
    <xf numFmtId="0" fontId="23" fillId="0" borderId="0" xfId="0" applyFont="1" applyAlignment="1">
      <alignment vertical="top" wrapText="1"/>
    </xf>
    <xf numFmtId="0" fontId="2" fillId="0" borderId="18" xfId="0" applyFont="1" applyBorder="1"/>
    <xf numFmtId="0" fontId="24" fillId="0" borderId="0" xfId="0" applyFont="1" applyAlignment="1">
      <alignment vertical="center" wrapText="1"/>
    </xf>
    <xf numFmtId="0" fontId="25" fillId="0" borderId="0" xfId="0" applyFont="1" applyAlignment="1">
      <alignment horizontal="center" wrapText="1"/>
    </xf>
    <xf numFmtId="0" fontId="26" fillId="0" borderId="0" xfId="4" applyFont="1" applyFill="1" applyBorder="1" applyAlignment="1">
      <alignment horizontal="center" vertical="center"/>
    </xf>
    <xf numFmtId="0" fontId="6" fillId="32" borderId="1" xfId="0" applyFont="1" applyFill="1" applyBorder="1" applyAlignment="1">
      <alignment horizontal="center" vertical="center" wrapText="1"/>
    </xf>
    <xf numFmtId="14" fontId="7" fillId="16" borderId="3" xfId="0" applyNumberFormat="1" applyFont="1" applyFill="1" applyBorder="1" applyAlignment="1">
      <alignment horizontal="center" vertical="center" wrapText="1"/>
    </xf>
    <xf numFmtId="0" fontId="24" fillId="0" borderId="0" xfId="0" applyFont="1" applyAlignment="1">
      <alignment horizontal="right" vertical="center" wrapText="1"/>
    </xf>
    <xf numFmtId="0" fontId="0" fillId="30" borderId="1" xfId="0" applyFill="1" applyBorder="1"/>
    <xf numFmtId="0" fontId="21" fillId="0" borderId="0" xfId="3" applyFill="1" applyAlignment="1">
      <alignment horizontal="left" vertical="top"/>
    </xf>
    <xf numFmtId="14" fontId="0" fillId="2" borderId="0" xfId="0" applyNumberFormat="1" applyFill="1" applyAlignment="1">
      <alignment vertical="center"/>
    </xf>
    <xf numFmtId="14" fontId="0" fillId="0" borderId="2" xfId="0" applyNumberFormat="1" applyBorder="1"/>
    <xf numFmtId="0" fontId="4" fillId="21" borderId="0" xfId="0" applyFont="1" applyFill="1" applyAlignment="1">
      <alignment horizontal="center" wrapText="1"/>
    </xf>
    <xf numFmtId="0" fontId="2" fillId="0" borderId="0" xfId="0" applyFont="1"/>
    <xf numFmtId="0" fontId="14" fillId="13" borderId="0" xfId="0" applyFont="1" applyFill="1"/>
    <xf numFmtId="0" fontId="11" fillId="11" borderId="20" xfId="0" applyFont="1" applyFill="1" applyBorder="1" applyAlignment="1">
      <alignment horizontal="center" wrapText="1"/>
    </xf>
    <xf numFmtId="0" fontId="11" fillId="11" borderId="21" xfId="0" applyFont="1" applyFill="1" applyBorder="1" applyAlignment="1">
      <alignment horizontal="center" wrapText="1"/>
    </xf>
    <xf numFmtId="0" fontId="11" fillId="11" borderId="22" xfId="0" applyFont="1" applyFill="1" applyBorder="1" applyAlignment="1">
      <alignment horizontal="center" wrapText="1"/>
    </xf>
    <xf numFmtId="0" fontId="22" fillId="28" borderId="16" xfId="4"/>
    <xf numFmtId="1" fontId="22" fillId="28" borderId="16" xfId="4" applyNumberFormat="1"/>
    <xf numFmtId="1" fontId="0" fillId="0" borderId="0" xfId="0" applyNumberFormat="1"/>
    <xf numFmtId="0" fontId="14" fillId="13" borderId="0" xfId="0" applyFont="1" applyFill="1" applyAlignment="1">
      <alignment horizontal="left"/>
    </xf>
    <xf numFmtId="14" fontId="6" fillId="26" borderId="0" xfId="0" applyNumberFormat="1" applyFont="1" applyFill="1" applyAlignment="1">
      <alignment horizontal="left" vertical="center"/>
    </xf>
    <xf numFmtId="14" fontId="7" fillId="15" borderId="6" xfId="0" applyNumberFormat="1" applyFont="1" applyFill="1" applyBorder="1" applyAlignment="1">
      <alignment horizontal="left" vertical="center"/>
    </xf>
    <xf numFmtId="14" fontId="7" fillId="15" borderId="8" xfId="0" applyNumberFormat="1" applyFont="1" applyFill="1" applyBorder="1" applyAlignment="1">
      <alignment horizontal="left" vertical="center"/>
    </xf>
    <xf numFmtId="0" fontId="7" fillId="16" borderId="1" xfId="0" applyFont="1" applyFill="1" applyBorder="1" applyAlignment="1">
      <alignment horizontal="left" vertical="center" wrapText="1"/>
    </xf>
    <xf numFmtId="0" fontId="5" fillId="0" borderId="1" xfId="0" applyFont="1" applyBorder="1" applyAlignment="1">
      <alignment horizontal="left" vertical="center"/>
    </xf>
    <xf numFmtId="0" fontId="12" fillId="0" borderId="0" xfId="0" applyFont="1" applyAlignment="1">
      <alignment horizontal="left"/>
    </xf>
    <xf numFmtId="0" fontId="0" fillId="0" borderId="0" xfId="0" applyAlignment="1">
      <alignment horizontal="left"/>
    </xf>
    <xf numFmtId="0" fontId="9" fillId="33" borderId="1" xfId="0" applyFont="1" applyFill="1" applyBorder="1" applyAlignment="1">
      <alignment horizontal="center" vertical="center"/>
    </xf>
    <xf numFmtId="0" fontId="9" fillId="0" borderId="1" xfId="0" applyFont="1" applyBorder="1" applyAlignment="1">
      <alignment horizontal="center" vertical="center"/>
    </xf>
    <xf numFmtId="0" fontId="3" fillId="2" borderId="0" xfId="0" applyFont="1" applyFill="1" applyAlignment="1">
      <alignment horizontal="right" vertical="center"/>
    </xf>
    <xf numFmtId="0" fontId="16" fillId="0" borderId="0" xfId="0" applyFont="1" applyAlignment="1">
      <alignment horizontal="left" vertical="top" wrapText="1"/>
    </xf>
    <xf numFmtId="0" fontId="16" fillId="0" borderId="0" xfId="0" applyFont="1" applyAlignment="1">
      <alignment horizontal="left" vertical="top"/>
    </xf>
    <xf numFmtId="0" fontId="4" fillId="21" borderId="0" xfId="0" applyFont="1" applyFill="1" applyAlignment="1">
      <alignment horizontal="center" wrapText="1"/>
    </xf>
    <xf numFmtId="0" fontId="4" fillId="10" borderId="0" xfId="0" applyFont="1" applyFill="1" applyAlignment="1">
      <alignment horizontal="center"/>
    </xf>
    <xf numFmtId="0" fontId="4" fillId="22" borderId="0" xfId="0" applyFont="1" applyFill="1" applyAlignment="1">
      <alignment horizontal="center"/>
    </xf>
    <xf numFmtId="0" fontId="4" fillId="23" borderId="0" xfId="0" applyFont="1" applyFill="1" applyAlignment="1">
      <alignment horizontal="center"/>
    </xf>
    <xf numFmtId="0" fontId="20" fillId="27" borderId="0" xfId="0" applyFont="1" applyFill="1" applyAlignment="1">
      <alignment horizontal="center"/>
    </xf>
    <xf numFmtId="0" fontId="5" fillId="24" borderId="0" xfId="0" applyFont="1" applyFill="1" applyAlignment="1">
      <alignment horizontal="center" vertical="center"/>
    </xf>
    <xf numFmtId="0" fontId="5" fillId="9" borderId="9" xfId="0" applyFont="1" applyFill="1" applyBorder="1" applyAlignment="1">
      <alignment horizontal="center" vertical="center"/>
    </xf>
    <xf numFmtId="0" fontId="6" fillId="25" borderId="9" xfId="0" applyFont="1" applyFill="1" applyBorder="1" applyAlignment="1">
      <alignment horizontal="center" vertical="center"/>
    </xf>
    <xf numFmtId="14" fontId="6" fillId="26" borderId="9" xfId="0" applyNumberFormat="1" applyFont="1" applyFill="1" applyBorder="1" applyAlignment="1">
      <alignment horizontal="center" vertical="center"/>
    </xf>
    <xf numFmtId="0" fontId="15" fillId="19" borderId="4" xfId="0" applyFont="1" applyFill="1" applyBorder="1" applyAlignment="1">
      <alignment horizontal="center" vertical="center"/>
    </xf>
    <xf numFmtId="0" fontId="15" fillId="19" borderId="5" xfId="0" applyFont="1" applyFill="1" applyBorder="1" applyAlignment="1">
      <alignment horizontal="center" vertical="center"/>
    </xf>
    <xf numFmtId="0" fontId="15" fillId="19" borderId="7" xfId="0" applyFont="1" applyFill="1" applyBorder="1" applyAlignment="1">
      <alignment horizontal="center" vertical="center"/>
    </xf>
    <xf numFmtId="0" fontId="15" fillId="19" borderId="9"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9" xfId="0" applyFont="1" applyFill="1" applyBorder="1" applyAlignment="1">
      <alignment horizontal="center" vertical="center"/>
    </xf>
    <xf numFmtId="0" fontId="5" fillId="10" borderId="8" xfId="0" applyFont="1" applyFill="1" applyBorder="1" applyAlignment="1">
      <alignment horizontal="center" vertical="center"/>
    </xf>
    <xf numFmtId="14" fontId="7" fillId="15" borderId="4" xfId="0" applyNumberFormat="1" applyFont="1" applyFill="1" applyBorder="1" applyAlignment="1">
      <alignment horizontal="center" vertical="center"/>
    </xf>
    <xf numFmtId="14" fontId="7" fillId="15" borderId="5" xfId="0" applyNumberFormat="1" applyFont="1" applyFill="1" applyBorder="1" applyAlignment="1">
      <alignment horizontal="center" vertical="center"/>
    </xf>
    <xf numFmtId="14" fontId="7" fillId="15" borderId="6" xfId="0" applyNumberFormat="1" applyFont="1" applyFill="1" applyBorder="1" applyAlignment="1">
      <alignment horizontal="center" vertical="center"/>
    </xf>
    <xf numFmtId="14" fontId="7" fillId="15" borderId="7" xfId="0" applyNumberFormat="1" applyFont="1" applyFill="1" applyBorder="1" applyAlignment="1">
      <alignment horizontal="center" vertical="center"/>
    </xf>
    <xf numFmtId="14" fontId="7" fillId="15" borderId="9" xfId="0" applyNumberFormat="1" applyFont="1" applyFill="1" applyBorder="1" applyAlignment="1">
      <alignment horizontal="center" vertical="center"/>
    </xf>
    <xf numFmtId="14" fontId="7" fillId="15" borderId="8" xfId="0" applyNumberFormat="1" applyFont="1" applyFill="1" applyBorder="1" applyAlignment="1">
      <alignment horizontal="center" vertical="center"/>
    </xf>
    <xf numFmtId="14" fontId="6" fillId="13"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6" fillId="14" borderId="1"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2" xfId="0" applyFont="1" applyFill="1" applyBorder="1" applyAlignment="1">
      <alignment horizontal="center" vertical="center" wrapText="1"/>
    </xf>
    <xf numFmtId="0" fontId="6" fillId="14" borderId="2" xfId="0" applyFont="1" applyFill="1" applyBorder="1" applyAlignment="1">
      <alignment horizontal="center" vertical="center" wrapText="1"/>
    </xf>
    <xf numFmtId="0" fontId="6" fillId="29" borderId="1" xfId="0" applyFont="1" applyFill="1" applyBorder="1" applyAlignment="1">
      <alignment horizontal="center" vertical="center" wrapText="1"/>
    </xf>
    <xf numFmtId="0" fontId="6" fillId="29" borderId="2" xfId="0" applyFont="1" applyFill="1" applyBorder="1" applyAlignment="1">
      <alignment horizontal="center" vertical="center" wrapText="1"/>
    </xf>
    <xf numFmtId="9" fontId="6" fillId="14" borderId="1" xfId="1" applyFont="1" applyFill="1" applyBorder="1" applyAlignment="1">
      <alignment horizontal="center" vertical="center" wrapText="1"/>
    </xf>
    <xf numFmtId="0" fontId="7" fillId="20" borderId="1" xfId="0" applyFont="1" applyFill="1" applyBorder="1" applyAlignment="1">
      <alignment horizontal="center" vertical="center" wrapText="1"/>
    </xf>
    <xf numFmtId="0" fontId="7" fillId="20" borderId="2" xfId="0" applyFont="1" applyFill="1" applyBorder="1" applyAlignment="1">
      <alignment horizontal="center" vertical="center" wrapText="1"/>
    </xf>
    <xf numFmtId="0" fontId="7" fillId="20" borderId="18" xfId="0" applyFont="1" applyFill="1" applyBorder="1" applyAlignment="1">
      <alignment horizontal="center" vertical="center" wrapText="1"/>
    </xf>
    <xf numFmtId="0" fontId="7" fillId="20" borderId="19" xfId="0" applyFont="1" applyFill="1" applyBorder="1" applyAlignment="1">
      <alignment horizontal="center" vertical="center" wrapText="1"/>
    </xf>
    <xf numFmtId="0" fontId="6" fillId="14" borderId="1" xfId="0" applyFont="1" applyFill="1" applyBorder="1" applyAlignment="1">
      <alignment horizontal="center" vertical="center"/>
    </xf>
    <xf numFmtId="0" fontId="6" fillId="14" borderId="0" xfId="0" applyFont="1" applyFill="1" applyAlignment="1">
      <alignment horizontal="center" vertical="center" wrapText="1"/>
    </xf>
    <xf numFmtId="0" fontId="6" fillId="29" borderId="0" xfId="0" applyFont="1" applyFill="1" applyAlignment="1">
      <alignment horizontal="center" vertical="center"/>
    </xf>
    <xf numFmtId="0" fontId="6" fillId="30" borderId="2" xfId="0" applyFont="1" applyFill="1" applyBorder="1" applyAlignment="1">
      <alignment horizontal="center" vertical="center"/>
    </xf>
    <xf numFmtId="0" fontId="6" fillId="30" borderId="18" xfId="0" applyFont="1" applyFill="1" applyBorder="1" applyAlignment="1">
      <alignment horizontal="center" vertical="center"/>
    </xf>
    <xf numFmtId="0" fontId="6" fillId="30" borderId="19" xfId="0" applyFont="1" applyFill="1" applyBorder="1" applyAlignment="1">
      <alignment horizontal="center" vertical="center"/>
    </xf>
    <xf numFmtId="0" fontId="6" fillId="30" borderId="2" xfId="0" applyFont="1" applyFill="1" applyBorder="1" applyAlignment="1">
      <alignment horizontal="center" vertical="center" wrapText="1"/>
    </xf>
    <xf numFmtId="0" fontId="6" fillId="30" borderId="18" xfId="0" applyFont="1" applyFill="1" applyBorder="1" applyAlignment="1">
      <alignment horizontal="center" vertical="center" wrapText="1"/>
    </xf>
    <xf numFmtId="0" fontId="6" fillId="30" borderId="19" xfId="0" applyFont="1" applyFill="1" applyBorder="1" applyAlignment="1">
      <alignment horizontal="center" vertical="center" wrapText="1"/>
    </xf>
    <xf numFmtId="0" fontId="6" fillId="29" borderId="18" xfId="0" applyFont="1" applyFill="1" applyBorder="1" applyAlignment="1">
      <alignment horizontal="center" vertical="center" wrapText="1"/>
    </xf>
    <xf numFmtId="14" fontId="6" fillId="13" borderId="1" xfId="0" applyNumberFormat="1" applyFont="1" applyFill="1" applyBorder="1" applyAlignment="1">
      <alignment horizontal="center" vertical="center" wrapText="1"/>
    </xf>
    <xf numFmtId="0" fontId="6" fillId="13" borderId="0" xfId="0" applyFont="1" applyFill="1" applyAlignment="1">
      <alignment horizontal="center" vertical="center" wrapText="1"/>
    </xf>
    <xf numFmtId="0" fontId="6" fillId="14" borderId="18" xfId="0" applyFont="1" applyFill="1" applyBorder="1" applyAlignment="1">
      <alignment horizontal="center" vertical="center" wrapText="1"/>
    </xf>
    <xf numFmtId="0" fontId="10" fillId="0" borderId="0" xfId="2" applyAlignment="1">
      <alignment horizontal="left"/>
    </xf>
    <xf numFmtId="0" fontId="10" fillId="4" borderId="0" xfId="2" applyFill="1" applyAlignment="1">
      <alignment horizontal="left"/>
    </xf>
    <xf numFmtId="0" fontId="11" fillId="13" borderId="0" xfId="0" applyFont="1" applyFill="1" applyAlignment="1">
      <alignment horizontal="center"/>
    </xf>
    <xf numFmtId="0" fontId="11" fillId="11" borderId="0" xfId="0" applyFont="1" applyFill="1" applyAlignment="1">
      <alignment horizontal="center"/>
    </xf>
    <xf numFmtId="0" fontId="2" fillId="15" borderId="0" xfId="0" applyFont="1" applyFill="1" applyAlignment="1">
      <alignment horizontal="center"/>
    </xf>
    <xf numFmtId="0" fontId="29" fillId="0" borderId="0" xfId="0" quotePrefix="1" applyFont="1" applyAlignment="1">
      <alignment horizontal="left" vertical="top" wrapText="1"/>
    </xf>
    <xf numFmtId="0" fontId="9" fillId="0" borderId="0" xfId="0" applyFont="1" applyAlignment="1">
      <alignment horizontal="left" vertical="center" wrapText="1"/>
    </xf>
    <xf numFmtId="0" fontId="0" fillId="0" borderId="1" xfId="0" applyBorder="1" applyAlignment="1">
      <alignment horizontal="left" wrapText="1"/>
    </xf>
    <xf numFmtId="0" fontId="0" fillId="0" borderId="2" xfId="0" applyBorder="1" applyAlignment="1">
      <alignment horizontal="left" wrapText="1"/>
    </xf>
    <xf numFmtId="0" fontId="0" fillId="0" borderId="18" xfId="0" applyBorder="1" applyAlignment="1">
      <alignment horizontal="left"/>
    </xf>
    <xf numFmtId="0" fontId="0" fillId="0" borderId="19" xfId="0" applyBorder="1" applyAlignment="1">
      <alignment horizontal="left"/>
    </xf>
    <xf numFmtId="0" fontId="0" fillId="0" borderId="18" xfId="0" applyBorder="1" applyAlignment="1">
      <alignment horizontal="left" wrapText="1"/>
    </xf>
    <xf numFmtId="0" fontId="0" fillId="0" borderId="19" xfId="0" applyBorder="1" applyAlignment="1">
      <alignment horizontal="left" wrapText="1"/>
    </xf>
    <xf numFmtId="0" fontId="2" fillId="0" borderId="18" xfId="0" applyFont="1" applyBorder="1" applyAlignment="1">
      <alignment horizontal="left"/>
    </xf>
    <xf numFmtId="0" fontId="2" fillId="0" borderId="19" xfId="0" applyFont="1" applyBorder="1" applyAlignment="1">
      <alignment horizontal="left"/>
    </xf>
    <xf numFmtId="0" fontId="2" fillId="0" borderId="9" xfId="0" applyFont="1" applyBorder="1"/>
    <xf numFmtId="0" fontId="12" fillId="13" borderId="11" xfId="0" applyFont="1" applyFill="1" applyBorder="1" applyAlignment="1">
      <alignment horizontal="center"/>
    </xf>
    <xf numFmtId="0" fontId="12" fillId="13" borderId="12" xfId="0" applyFont="1" applyFill="1" applyBorder="1" applyAlignment="1">
      <alignment horizontal="center"/>
    </xf>
    <xf numFmtId="0" fontId="12" fillId="13" borderId="13" xfId="0" applyFont="1" applyFill="1" applyBorder="1" applyAlignment="1">
      <alignment horizontal="center"/>
    </xf>
    <xf numFmtId="0" fontId="12" fillId="29" borderId="11" xfId="0" applyFont="1" applyFill="1" applyBorder="1" applyAlignment="1">
      <alignment horizontal="center"/>
    </xf>
    <xf numFmtId="0" fontId="12" fillId="29" borderId="12" xfId="0" applyFont="1" applyFill="1" applyBorder="1" applyAlignment="1">
      <alignment horizontal="center"/>
    </xf>
    <xf numFmtId="0" fontId="12" fillId="29" borderId="13" xfId="0" applyFont="1" applyFill="1" applyBorder="1" applyAlignment="1">
      <alignment horizontal="center"/>
    </xf>
    <xf numFmtId="0" fontId="13" fillId="29" borderId="11" xfId="0" applyFont="1" applyFill="1" applyBorder="1" applyAlignment="1">
      <alignment horizontal="center" vertical="center"/>
    </xf>
    <xf numFmtId="0" fontId="13" fillId="29" borderId="12" xfId="0" applyFont="1" applyFill="1" applyBorder="1" applyAlignment="1">
      <alignment horizontal="center" vertical="center"/>
    </xf>
    <xf numFmtId="0" fontId="13" fillId="29" borderId="13" xfId="0" applyFont="1" applyFill="1" applyBorder="1" applyAlignment="1">
      <alignment horizontal="center" vertical="center"/>
    </xf>
    <xf numFmtId="0" fontId="13" fillId="30" borderId="11" xfId="0" applyFont="1" applyFill="1" applyBorder="1" applyAlignment="1">
      <alignment horizontal="center" vertical="center"/>
    </xf>
    <xf numFmtId="0" fontId="13" fillId="30" borderId="12" xfId="0" applyFont="1" applyFill="1" applyBorder="1" applyAlignment="1">
      <alignment horizontal="center" vertical="center"/>
    </xf>
    <xf numFmtId="0" fontId="13" fillId="30" borderId="13" xfId="0" applyFont="1" applyFill="1" applyBorder="1" applyAlignment="1">
      <alignment horizontal="center" vertical="center"/>
    </xf>
    <xf numFmtId="0" fontId="13" fillId="13" borderId="11"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12" fillId="0" borderId="0" xfId="0" applyFont="1" applyAlignment="1">
      <alignment horizontal="center"/>
    </xf>
    <xf numFmtId="0" fontId="3" fillId="0" borderId="0" xfId="0" applyFont="1" applyAlignment="1">
      <alignment horizontal="center" wrapText="1"/>
    </xf>
    <xf numFmtId="0" fontId="9" fillId="20" borderId="11" xfId="0" applyFont="1" applyFill="1" applyBorder="1" applyAlignment="1">
      <alignment horizontal="center" vertical="center"/>
    </xf>
    <xf numFmtId="0" fontId="9" fillId="20" borderId="12" xfId="0" applyFont="1" applyFill="1" applyBorder="1" applyAlignment="1">
      <alignment horizontal="center" vertical="center"/>
    </xf>
    <xf numFmtId="0" fontId="9" fillId="20" borderId="13" xfId="0" applyFont="1" applyFill="1" applyBorder="1" applyAlignment="1">
      <alignment horizontal="center" vertical="center"/>
    </xf>
  </cellXfs>
  <cellStyles count="5">
    <cellStyle name="Hyperlink" xfId="3" builtinId="8"/>
    <cellStyle name="Input" xfId="4" builtinId="20"/>
    <cellStyle name="Normal" xfId="0" builtinId="0"/>
    <cellStyle name="Normal 4" xfId="2" xr:uid="{E73325FF-EC07-47DC-A53B-E8EEFDB4B0F1}"/>
    <cellStyle name="Percent" xfId="1" builtinId="5"/>
  </cellStyles>
  <dxfs count="3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CC"/>
        </patternFill>
      </fill>
      <border>
        <left style="thin">
          <color auto="1"/>
        </left>
        <right style="thin">
          <color auto="1"/>
        </right>
        <vertical/>
        <horizontal/>
      </border>
    </dxf>
    <dxf>
      <fill>
        <patternFill>
          <bgColor rgb="FFE8E8E8"/>
        </patternFill>
      </fill>
      <border>
        <left style="thin">
          <color auto="1"/>
        </left>
        <right style="thin">
          <color auto="1"/>
        </right>
        <vertical/>
        <horizontal/>
      </border>
    </dxf>
    <dxf>
      <fill>
        <patternFill>
          <bgColor rgb="FFFFFFCC"/>
        </patternFill>
      </fill>
    </dxf>
    <dxf>
      <fill>
        <patternFill>
          <bgColor rgb="FFFFFFCC"/>
        </patternFill>
      </fill>
    </dxf>
    <dxf>
      <font>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s>
  <tableStyles count="0" defaultTableStyle="TableStyleMedium2" defaultPivotStyle="PivotStyleLight16"/>
  <colors>
    <mruColors>
      <color rgb="FFFF00FF"/>
      <color rgb="FFE8E8E8"/>
      <color rgb="FFFFFFCC"/>
      <color rgb="FF9D1D24"/>
      <color rgb="FFF9D2BF"/>
      <color rgb="FFFFFFE5"/>
      <color rgb="FFFF9393"/>
      <color rgb="FFF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externalLink" Target="externalLinks/externalLink1.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5</xdr:col>
      <xdr:colOff>159329</xdr:colOff>
      <xdr:row>25</xdr:row>
      <xdr:rowOff>36615</xdr:rowOff>
    </xdr:from>
    <xdr:to>
      <xdr:col>6</xdr:col>
      <xdr:colOff>562099</xdr:colOff>
      <xdr:row>26</xdr:row>
      <xdr:rowOff>19794</xdr:rowOff>
    </xdr:to>
    <xdr:sp macro="[0]!SIMSTemplate" textlink="">
      <xdr:nvSpPr>
        <xdr:cNvPr id="2" name="Rectangle: Rounded Corners 1">
          <a:extLst>
            <a:ext uri="{FF2B5EF4-FFF2-40B4-BE49-F238E27FC236}">
              <a16:creationId xmlns:a16="http://schemas.microsoft.com/office/drawing/2014/main" id="{646C7AA7-06F0-46A5-ACCF-D1F87A81ABDB}"/>
            </a:ext>
          </a:extLst>
        </xdr:cNvPr>
        <xdr:cNvSpPr/>
      </xdr:nvSpPr>
      <xdr:spPr>
        <a:xfrm>
          <a:off x="5286500" y="6295901"/>
          <a:ext cx="1981199" cy="527464"/>
        </a:xfrm>
        <a:prstGeom prst="roundRect">
          <a:avLst/>
        </a:prstGeom>
        <a:solidFill>
          <a:srgbClr val="FF000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800" b="1">
              <a:latin typeface="Arial" panose="020B0604020202020204" pitchFamily="34" charset="0"/>
              <a:cs typeface="Arial" panose="020B0604020202020204" pitchFamily="34" charset="0"/>
            </a:rPr>
            <a:t>Generate SIMS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54429</xdr:colOff>
      <xdr:row>1</xdr:row>
      <xdr:rowOff>108858</xdr:rowOff>
    </xdr:from>
    <xdr:to>
      <xdr:col>6</xdr:col>
      <xdr:colOff>457200</xdr:colOff>
      <xdr:row>4</xdr:row>
      <xdr:rowOff>59379</xdr:rowOff>
    </xdr:to>
    <xdr:sp macro="[0]!BaselineLockPublish" textlink="">
      <xdr:nvSpPr>
        <xdr:cNvPr id="3" name="Rectangle: Rounded Corners 2">
          <a:extLst>
            <a:ext uri="{FF2B5EF4-FFF2-40B4-BE49-F238E27FC236}">
              <a16:creationId xmlns:a16="http://schemas.microsoft.com/office/drawing/2014/main" id="{32ADCC5A-35BC-47EB-99C1-4CC71AC7F86C}"/>
            </a:ext>
          </a:extLst>
        </xdr:cNvPr>
        <xdr:cNvSpPr/>
      </xdr:nvSpPr>
      <xdr:spPr>
        <a:xfrm>
          <a:off x="5116286" y="304801"/>
          <a:ext cx="1981200" cy="527464"/>
        </a:xfrm>
        <a:prstGeom prst="roundRect">
          <a:avLst/>
        </a:prstGeom>
        <a:solidFill>
          <a:srgbClr val="92D05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2000" b="1">
              <a:latin typeface="Arial" panose="020B0604020202020204" pitchFamily="34" charset="0"/>
              <a:cs typeface="Arial" panose="020B0604020202020204" pitchFamily="34" charset="0"/>
            </a:rPr>
            <a:t>PUBLISH</a:t>
          </a:r>
          <a:r>
            <a:rPr lang="en-US" sz="2000" b="1" baseline="0">
              <a:latin typeface="Arial" panose="020B0604020202020204" pitchFamily="34" charset="0"/>
              <a:cs typeface="Arial" panose="020B0604020202020204" pitchFamily="34" charset="0"/>
            </a:rPr>
            <a:t> IMS</a:t>
          </a:r>
          <a:endParaRPr lang="en-US" sz="2000" b="1">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honeywellprod.sharepoint.com/teams/Reposition/Shared%20Documents/Reposition/Year%20Specific/Current%20year/2025/Tracker/FAI%20&amp;%20PC/Reposition%20FAIR,%20PC%20&amp;%20TCD%20Tracker.xlsx" TargetMode="External"/><Relationship Id="rId1" Type="http://schemas.openxmlformats.org/officeDocument/2006/relationships/externalLinkPath" Target="https://honeywellprod.sharepoint.com/teams/Reposition/Shared%20Documents/Reposition/Year%20Specific/Current%20year/2025/Tracker/FAI%20&amp;%20PC/Reposition%20FAIR,%20PC%20&amp;%20TCD%20Track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 Validation &amp; MACD"/>
      <sheetName val="Drop Down"/>
      <sheetName val="Summary-Metrics and Projects"/>
      <sheetName val="Confidence Criteria"/>
      <sheetName val="powerflowtable"/>
      <sheetName val="Sheet1"/>
      <sheetName val="Sheet2"/>
      <sheetName val="Sheet3"/>
      <sheetName val="PM View-Mastersheet"/>
      <sheetName val="Date Table"/>
      <sheetName val="FAI &amp; PC detailed"/>
      <sheetName val="Cost Recovery"/>
    </sheetNames>
    <sheetDataSet>
      <sheetData sheetId="0"/>
      <sheetData sheetId="1"/>
      <sheetData sheetId="2"/>
      <sheetData sheetId="3"/>
      <sheetData sheetId="4"/>
      <sheetData sheetId="5"/>
      <sheetData sheetId="6"/>
      <sheetData sheetId="7"/>
      <sheetData sheetId="8"/>
      <sheetData sheetId="9">
        <row r="1">
          <cell r="A1" t="str">
            <v>fr</v>
          </cell>
          <cell r="B1" t="str">
            <v>Op-Ex Team</v>
          </cell>
        </row>
        <row r="2">
          <cell r="A2"/>
          <cell r="B2"/>
        </row>
        <row r="3">
          <cell r="A3"/>
          <cell r="B3"/>
        </row>
        <row r="4">
          <cell r="A4" t="str">
            <v>Tracker Id</v>
          </cell>
          <cell r="B4" t="str">
            <v>PN#</v>
          </cell>
        </row>
        <row r="5">
          <cell r="A5" t="str">
            <v>ST036761</v>
          </cell>
          <cell r="B5" t="str">
            <v>31-6381-1</v>
          </cell>
        </row>
        <row r="6">
          <cell r="A6">
            <v>109890</v>
          </cell>
          <cell r="B6" t="str">
            <v>34213235-001</v>
          </cell>
        </row>
        <row r="7">
          <cell r="A7" t="str">
            <v>ST036773</v>
          </cell>
          <cell r="B7" t="str">
            <v>60-1918-1</v>
          </cell>
        </row>
        <row r="8">
          <cell r="A8" t="str">
            <v>ST028897</v>
          </cell>
          <cell r="B8" t="str">
            <v>3101507-2</v>
          </cell>
        </row>
        <row r="9">
          <cell r="A9" t="str">
            <v>ST028899</v>
          </cell>
          <cell r="B9" t="str">
            <v>3103589-1</v>
          </cell>
        </row>
        <row r="10">
          <cell r="A10">
            <v>112127</v>
          </cell>
          <cell r="B10" t="str">
            <v>3500351-2</v>
          </cell>
        </row>
        <row r="11">
          <cell r="A11" t="str">
            <v>ST028956</v>
          </cell>
          <cell r="B11" t="str">
            <v>3500437-1</v>
          </cell>
        </row>
        <row r="12">
          <cell r="A12" t="str">
            <v>ST028957</v>
          </cell>
          <cell r="B12" t="str">
            <v>3501578-1</v>
          </cell>
        </row>
        <row r="13">
          <cell r="A13" t="str">
            <v>ST028959</v>
          </cell>
          <cell r="B13" t="str">
            <v>3502221-1</v>
          </cell>
        </row>
        <row r="14">
          <cell r="A14" t="str">
            <v>ST028961</v>
          </cell>
          <cell r="B14" t="str">
            <v>3503409-1</v>
          </cell>
        </row>
        <row r="15">
          <cell r="A15" t="str">
            <v>ST028963</v>
          </cell>
          <cell r="B15" t="str">
            <v>3503607-1</v>
          </cell>
        </row>
        <row r="16">
          <cell r="A16" t="str">
            <v>ST028964</v>
          </cell>
          <cell r="B16" t="str">
            <v>3503613-1</v>
          </cell>
        </row>
        <row r="17">
          <cell r="A17" t="str">
            <v>ST028969</v>
          </cell>
          <cell r="B17" t="str">
            <v>3503826-3</v>
          </cell>
        </row>
        <row r="18">
          <cell r="A18" t="str">
            <v>ST028974</v>
          </cell>
          <cell r="B18" t="str">
            <v>3504111-1</v>
          </cell>
        </row>
        <row r="19">
          <cell r="A19" t="str">
            <v>ST028977</v>
          </cell>
          <cell r="B19" t="str">
            <v>3504833-2</v>
          </cell>
        </row>
        <row r="20">
          <cell r="A20" t="str">
            <v>ST028979</v>
          </cell>
          <cell r="B20" t="str">
            <v>3507463-1</v>
          </cell>
        </row>
        <row r="21">
          <cell r="A21" t="str">
            <v>ST028986</v>
          </cell>
          <cell r="B21">
            <v>359870</v>
          </cell>
        </row>
        <row r="22">
          <cell r="A22" t="str">
            <v>ST028994</v>
          </cell>
          <cell r="B22" t="str">
            <v>364436-1</v>
          </cell>
        </row>
        <row r="23">
          <cell r="A23" t="str">
            <v>ST028995</v>
          </cell>
          <cell r="B23" t="str">
            <v>364436-3</v>
          </cell>
        </row>
        <row r="24">
          <cell r="A24" t="str">
            <v>ST029000</v>
          </cell>
          <cell r="B24" t="str">
            <v>3810823-3</v>
          </cell>
        </row>
        <row r="25">
          <cell r="A25" t="str">
            <v>ST029003</v>
          </cell>
          <cell r="B25" t="str">
            <v>3860018-1</v>
          </cell>
        </row>
        <row r="26">
          <cell r="A26" t="str">
            <v>ST029004</v>
          </cell>
          <cell r="B26" t="str">
            <v>3860350-2</v>
          </cell>
        </row>
        <row r="27">
          <cell r="A27" t="str">
            <v>ST029005</v>
          </cell>
          <cell r="B27" t="str">
            <v>3868027-1</v>
          </cell>
        </row>
        <row r="28">
          <cell r="A28">
            <v>112128</v>
          </cell>
          <cell r="B28" t="str">
            <v>63508305-1</v>
          </cell>
        </row>
        <row r="29">
          <cell r="A29" t="str">
            <v>ST029072</v>
          </cell>
          <cell r="B29" t="str">
            <v>63508500-1</v>
          </cell>
        </row>
        <row r="30">
          <cell r="A30">
            <v>112126</v>
          </cell>
          <cell r="B30" t="str">
            <v>3104036-113</v>
          </cell>
        </row>
        <row r="31">
          <cell r="A31">
            <v>112117</v>
          </cell>
          <cell r="B31" t="str">
            <v>3037062-1</v>
          </cell>
        </row>
        <row r="32">
          <cell r="A32" t="str">
            <v>ST028413</v>
          </cell>
          <cell r="B32" t="str">
            <v>3090555-2</v>
          </cell>
        </row>
        <row r="33">
          <cell r="A33" t="str">
            <v>ST028414</v>
          </cell>
          <cell r="B33" t="str">
            <v>3090734-1</v>
          </cell>
        </row>
        <row r="34">
          <cell r="A34" t="str">
            <v>ST028415</v>
          </cell>
          <cell r="B34" t="str">
            <v>3091070-2</v>
          </cell>
        </row>
        <row r="35">
          <cell r="A35" t="str">
            <v>ST028638</v>
          </cell>
          <cell r="B35">
            <v>2523103</v>
          </cell>
        </row>
        <row r="36">
          <cell r="A36" t="str">
            <v>ST028640</v>
          </cell>
          <cell r="B36">
            <v>2523650</v>
          </cell>
        </row>
        <row r="37">
          <cell r="A37" t="str">
            <v>ST028642</v>
          </cell>
          <cell r="B37">
            <v>2526306</v>
          </cell>
        </row>
        <row r="38">
          <cell r="A38" t="str">
            <v>ST028657</v>
          </cell>
          <cell r="B38" t="str">
            <v>2537951</v>
          </cell>
        </row>
        <row r="39">
          <cell r="A39" t="str">
            <v>ST028659</v>
          </cell>
          <cell r="B39">
            <v>2538279</v>
          </cell>
        </row>
        <row r="40">
          <cell r="A40" t="str">
            <v>ST028662</v>
          </cell>
          <cell r="B40">
            <v>2538876</v>
          </cell>
        </row>
        <row r="41">
          <cell r="A41">
            <v>112123</v>
          </cell>
          <cell r="B41">
            <v>2538899</v>
          </cell>
        </row>
        <row r="42">
          <cell r="A42" t="str">
            <v>ST028701</v>
          </cell>
          <cell r="B42" t="str">
            <v>2635037</v>
          </cell>
        </row>
        <row r="43">
          <cell r="A43" t="str">
            <v>ST028708</v>
          </cell>
          <cell r="B43" t="str">
            <v>2654705</v>
          </cell>
        </row>
        <row r="44">
          <cell r="A44" t="str">
            <v>ST028712</v>
          </cell>
          <cell r="B44">
            <v>2664762</v>
          </cell>
        </row>
        <row r="45">
          <cell r="A45" t="str">
            <v>ST028714</v>
          </cell>
          <cell r="B45">
            <v>2667235</v>
          </cell>
        </row>
        <row r="46">
          <cell r="A46">
            <v>112124</v>
          </cell>
          <cell r="B46">
            <v>2667767</v>
          </cell>
        </row>
        <row r="47">
          <cell r="A47" t="str">
            <v>ST028717</v>
          </cell>
          <cell r="B47" t="str">
            <v>2672260</v>
          </cell>
        </row>
        <row r="48">
          <cell r="A48" t="str">
            <v>ST028719</v>
          </cell>
          <cell r="B48">
            <v>2674477</v>
          </cell>
        </row>
        <row r="49">
          <cell r="A49" t="str">
            <v>ST028722</v>
          </cell>
          <cell r="B49" t="str">
            <v>2675244</v>
          </cell>
        </row>
        <row r="50">
          <cell r="A50" t="str">
            <v>ST028723</v>
          </cell>
          <cell r="B50" t="str">
            <v>2675417</v>
          </cell>
        </row>
        <row r="51">
          <cell r="A51" t="str">
            <v>ST028728</v>
          </cell>
          <cell r="B51">
            <v>2679950</v>
          </cell>
        </row>
        <row r="52">
          <cell r="A52" t="str">
            <v>ST028739</v>
          </cell>
          <cell r="B52">
            <v>2681925</v>
          </cell>
        </row>
        <row r="53">
          <cell r="A53" t="str">
            <v>ST028742</v>
          </cell>
          <cell r="B53" t="str">
            <v>2682016-001</v>
          </cell>
        </row>
        <row r="54">
          <cell r="A54" t="str">
            <v>ST028744</v>
          </cell>
          <cell r="B54">
            <v>2682200</v>
          </cell>
        </row>
        <row r="55">
          <cell r="A55" t="str">
            <v>ST028745</v>
          </cell>
          <cell r="B55">
            <v>2682201</v>
          </cell>
        </row>
        <row r="56">
          <cell r="A56">
            <v>112125</v>
          </cell>
          <cell r="B56">
            <v>2683227</v>
          </cell>
        </row>
        <row r="57">
          <cell r="A57" t="str">
            <v>ST028752</v>
          </cell>
          <cell r="B57">
            <v>2683362</v>
          </cell>
        </row>
        <row r="58">
          <cell r="A58" t="str">
            <v>ST028755</v>
          </cell>
          <cell r="B58" t="str">
            <v>2683907-001</v>
          </cell>
        </row>
        <row r="59">
          <cell r="A59" t="str">
            <v>ST028811</v>
          </cell>
          <cell r="B59">
            <v>2690238</v>
          </cell>
        </row>
        <row r="60">
          <cell r="A60" t="str">
            <v>ST028813</v>
          </cell>
          <cell r="B60" t="str">
            <v>2690782-0</v>
          </cell>
        </row>
        <row r="61">
          <cell r="A61" t="str">
            <v>ST028814</v>
          </cell>
          <cell r="B61">
            <v>2690919</v>
          </cell>
        </row>
        <row r="62">
          <cell r="A62" t="str">
            <v>ST028909</v>
          </cell>
          <cell r="B62" t="str">
            <v>3183265-1</v>
          </cell>
        </row>
        <row r="63">
          <cell r="A63" t="str">
            <v>ST028914</v>
          </cell>
          <cell r="B63" t="str">
            <v>3185565-1</v>
          </cell>
        </row>
        <row r="64">
          <cell r="A64" t="str">
            <v>ST028924</v>
          </cell>
          <cell r="B64" t="str">
            <v>3238722-1</v>
          </cell>
        </row>
        <row r="65">
          <cell r="A65" t="str">
            <v>ST028930</v>
          </cell>
          <cell r="B65" t="str">
            <v>3241805</v>
          </cell>
        </row>
        <row r="66">
          <cell r="A66" t="str">
            <v>ST028933</v>
          </cell>
          <cell r="B66">
            <v>3243043</v>
          </cell>
        </row>
        <row r="67">
          <cell r="A67" t="str">
            <v>ST029044</v>
          </cell>
          <cell r="B67" t="str">
            <v>584262-4</v>
          </cell>
        </row>
        <row r="68">
          <cell r="A68" t="str">
            <v>ST029061</v>
          </cell>
          <cell r="B68" t="str">
            <v>63000237-1</v>
          </cell>
        </row>
        <row r="69">
          <cell r="A69" t="str">
            <v>ST029115</v>
          </cell>
          <cell r="B69" t="str">
            <v>681736-5</v>
          </cell>
        </row>
        <row r="70">
          <cell r="A70" t="str">
            <v>ST029139</v>
          </cell>
          <cell r="B70" t="str">
            <v>7206829-1</v>
          </cell>
        </row>
        <row r="71">
          <cell r="A71" t="str">
            <v>ST029140</v>
          </cell>
          <cell r="B71" t="str">
            <v>7206829-2</v>
          </cell>
        </row>
        <row r="72">
          <cell r="A72" t="str">
            <v>ST029170</v>
          </cell>
          <cell r="B72" t="str">
            <v>857615-1</v>
          </cell>
        </row>
        <row r="73">
          <cell r="A73" t="str">
            <v>ST029176</v>
          </cell>
          <cell r="B73" t="str">
            <v>897141-1</v>
          </cell>
        </row>
        <row r="74">
          <cell r="A74" t="str">
            <v>ST029183</v>
          </cell>
          <cell r="B74" t="str">
            <v>901212K1</v>
          </cell>
        </row>
        <row r="75">
          <cell r="A75">
            <v>112130</v>
          </cell>
          <cell r="B75" t="str">
            <v>3072450-113</v>
          </cell>
        </row>
        <row r="76">
          <cell r="A76">
            <v>112131</v>
          </cell>
          <cell r="B76" t="str">
            <v>3103329-111</v>
          </cell>
        </row>
        <row r="77">
          <cell r="A77">
            <v>112132</v>
          </cell>
          <cell r="B77" t="str">
            <v>3103894-111</v>
          </cell>
        </row>
        <row r="78">
          <cell r="A78" t="str">
            <v>ST036353</v>
          </cell>
          <cell r="B78" t="str">
            <v>2309043-1</v>
          </cell>
        </row>
        <row r="79">
          <cell r="A79">
            <v>112153</v>
          </cell>
          <cell r="B79" t="str">
            <v>2309495-1</v>
          </cell>
        </row>
        <row r="80">
          <cell r="A80">
            <v>112154</v>
          </cell>
          <cell r="B80" t="str">
            <v>2310050-1</v>
          </cell>
        </row>
        <row r="81">
          <cell r="A81">
            <v>112155</v>
          </cell>
          <cell r="B81" t="str">
            <v>2310356-1</v>
          </cell>
        </row>
        <row r="82">
          <cell r="A82">
            <v>112156</v>
          </cell>
          <cell r="B82" t="str">
            <v>25-1105-5</v>
          </cell>
        </row>
        <row r="83">
          <cell r="A83" t="str">
            <v>ST036358</v>
          </cell>
          <cell r="B83" t="str">
            <v>25-1105-7</v>
          </cell>
        </row>
        <row r="84">
          <cell r="A84">
            <v>112157</v>
          </cell>
          <cell r="B84" t="str">
            <v>25-1734-15</v>
          </cell>
        </row>
        <row r="85">
          <cell r="A85" t="str">
            <v>ST036360</v>
          </cell>
          <cell r="B85" t="str">
            <v>25-1949-23-1</v>
          </cell>
        </row>
        <row r="86">
          <cell r="A86">
            <v>112158</v>
          </cell>
          <cell r="B86" t="str">
            <v>2707372-1</v>
          </cell>
        </row>
        <row r="87">
          <cell r="A87">
            <v>112159</v>
          </cell>
          <cell r="B87" t="str">
            <v>2707385-1</v>
          </cell>
        </row>
        <row r="88">
          <cell r="A88">
            <v>112160</v>
          </cell>
          <cell r="B88" t="str">
            <v>2707398-1</v>
          </cell>
        </row>
        <row r="89">
          <cell r="A89">
            <v>112161</v>
          </cell>
          <cell r="B89" t="str">
            <v>2707417-1</v>
          </cell>
        </row>
        <row r="90">
          <cell r="A90">
            <v>112162</v>
          </cell>
          <cell r="B90" t="str">
            <v>2707937-1</v>
          </cell>
        </row>
        <row r="91">
          <cell r="A91">
            <v>112163</v>
          </cell>
          <cell r="B91" t="str">
            <v>2707937-2</v>
          </cell>
        </row>
        <row r="92">
          <cell r="A92">
            <v>112164</v>
          </cell>
          <cell r="B92" t="str">
            <v>2707937-4</v>
          </cell>
        </row>
        <row r="93">
          <cell r="A93">
            <v>112165</v>
          </cell>
          <cell r="B93" t="str">
            <v>2707989-3</v>
          </cell>
        </row>
        <row r="94">
          <cell r="A94">
            <v>112166</v>
          </cell>
          <cell r="B94" t="str">
            <v>2708065-1</v>
          </cell>
        </row>
        <row r="95">
          <cell r="A95">
            <v>112167</v>
          </cell>
          <cell r="B95" t="str">
            <v>2708351-1</v>
          </cell>
        </row>
        <row r="96">
          <cell r="A96" t="str">
            <v>ST036374</v>
          </cell>
          <cell r="B96" t="str">
            <v>2709974-1</v>
          </cell>
        </row>
        <row r="97">
          <cell r="A97">
            <v>112168</v>
          </cell>
          <cell r="B97" t="str">
            <v>2710190-1</v>
          </cell>
        </row>
        <row r="98">
          <cell r="A98">
            <v>112169</v>
          </cell>
          <cell r="B98" t="str">
            <v>2710190-2</v>
          </cell>
        </row>
        <row r="99">
          <cell r="A99">
            <v>112170</v>
          </cell>
          <cell r="B99" t="str">
            <v>2710437-1</v>
          </cell>
        </row>
        <row r="100">
          <cell r="A100">
            <v>112171</v>
          </cell>
          <cell r="B100" t="str">
            <v>2710442-1</v>
          </cell>
        </row>
        <row r="101">
          <cell r="A101">
            <v>112172</v>
          </cell>
          <cell r="B101" t="str">
            <v>2710457-1</v>
          </cell>
        </row>
        <row r="102">
          <cell r="A102" t="str">
            <v>ST036383</v>
          </cell>
          <cell r="B102" t="str">
            <v>2710489-1</v>
          </cell>
        </row>
        <row r="103">
          <cell r="A103" t="str">
            <v>ST036385</v>
          </cell>
          <cell r="B103" t="str">
            <v>2710970-1</v>
          </cell>
        </row>
        <row r="104">
          <cell r="A104" t="str">
            <v>ST036386</v>
          </cell>
          <cell r="B104" t="str">
            <v>2710975-1</v>
          </cell>
        </row>
        <row r="105">
          <cell r="A105" t="str">
            <v>ST036387</v>
          </cell>
          <cell r="B105" t="str">
            <v>2710982-1</v>
          </cell>
        </row>
        <row r="106">
          <cell r="A106">
            <v>112173</v>
          </cell>
          <cell r="B106" t="str">
            <v>2711028-1</v>
          </cell>
        </row>
        <row r="107">
          <cell r="A107" t="str">
            <v>ST036390</v>
          </cell>
          <cell r="B107" t="str">
            <v>2711098-1</v>
          </cell>
        </row>
        <row r="108">
          <cell r="A108" t="str">
            <v>ST036391</v>
          </cell>
          <cell r="B108" t="str">
            <v>2711121-1</v>
          </cell>
        </row>
        <row r="109">
          <cell r="A109">
            <v>112174</v>
          </cell>
          <cell r="B109" t="str">
            <v>2711264-2</v>
          </cell>
        </row>
        <row r="110">
          <cell r="A110">
            <v>112175</v>
          </cell>
          <cell r="B110" t="str">
            <v>2711264-3</v>
          </cell>
        </row>
        <row r="111">
          <cell r="A111">
            <v>112176</v>
          </cell>
          <cell r="B111" t="str">
            <v>2714909-1</v>
          </cell>
        </row>
        <row r="112">
          <cell r="A112" t="str">
            <v>ST036403</v>
          </cell>
          <cell r="B112" t="str">
            <v>2714913-1</v>
          </cell>
        </row>
        <row r="113">
          <cell r="A113">
            <v>112177</v>
          </cell>
          <cell r="B113" t="str">
            <v>2743619-1</v>
          </cell>
        </row>
        <row r="114">
          <cell r="A114">
            <v>112178</v>
          </cell>
          <cell r="B114" t="str">
            <v>2743619-2</v>
          </cell>
        </row>
        <row r="115">
          <cell r="A115" t="str">
            <v>ST036412</v>
          </cell>
          <cell r="B115" t="str">
            <v>2747052-1</v>
          </cell>
        </row>
        <row r="116">
          <cell r="A116" t="str">
            <v>ST036413</v>
          </cell>
          <cell r="B116" t="str">
            <v>2747053-2</v>
          </cell>
        </row>
        <row r="117">
          <cell r="A117" t="str">
            <v>ST036414</v>
          </cell>
          <cell r="B117" t="str">
            <v>2747054-1</v>
          </cell>
        </row>
        <row r="118">
          <cell r="A118" t="str">
            <v>ST036415</v>
          </cell>
          <cell r="B118" t="str">
            <v>2747257-2</v>
          </cell>
        </row>
        <row r="119">
          <cell r="A119" t="str">
            <v>ST036416</v>
          </cell>
          <cell r="B119" t="str">
            <v>2747257-3</v>
          </cell>
        </row>
        <row r="120">
          <cell r="A120" t="str">
            <v>ST036417</v>
          </cell>
          <cell r="B120" t="str">
            <v>2747257-4</v>
          </cell>
        </row>
        <row r="121">
          <cell r="A121">
            <v>112179</v>
          </cell>
          <cell r="B121" t="str">
            <v>2747618-1</v>
          </cell>
        </row>
        <row r="122">
          <cell r="A122">
            <v>112180</v>
          </cell>
          <cell r="B122" t="str">
            <v>2783854-1</v>
          </cell>
        </row>
        <row r="123">
          <cell r="A123">
            <v>112181</v>
          </cell>
          <cell r="B123" t="str">
            <v>2784034-1</v>
          </cell>
        </row>
        <row r="124">
          <cell r="A124">
            <v>112182</v>
          </cell>
          <cell r="B124" t="str">
            <v>2784498-1</v>
          </cell>
        </row>
        <row r="125">
          <cell r="A125">
            <v>112183</v>
          </cell>
          <cell r="B125" t="str">
            <v>2786973-1</v>
          </cell>
        </row>
        <row r="126">
          <cell r="A126">
            <v>112184</v>
          </cell>
          <cell r="B126" t="str">
            <v>2788182-1</v>
          </cell>
        </row>
        <row r="127">
          <cell r="A127">
            <v>112185</v>
          </cell>
          <cell r="B127" t="str">
            <v>2788199-1</v>
          </cell>
        </row>
        <row r="128">
          <cell r="A128">
            <v>112186</v>
          </cell>
          <cell r="B128" t="str">
            <v>2788212-1</v>
          </cell>
        </row>
        <row r="129">
          <cell r="A129" t="str">
            <v>ST036373</v>
          </cell>
          <cell r="B129" t="str">
            <v>2709968-1</v>
          </cell>
        </row>
        <row r="130">
          <cell r="A130">
            <v>112187</v>
          </cell>
          <cell r="B130">
            <v>28585</v>
          </cell>
        </row>
        <row r="131">
          <cell r="A131" t="str">
            <v>ST036389</v>
          </cell>
          <cell r="B131" t="str">
            <v>2711095-1</v>
          </cell>
        </row>
        <row r="132">
          <cell r="A132" t="str">
            <v>ST036395</v>
          </cell>
          <cell r="B132" t="str">
            <v>2711777-1</v>
          </cell>
        </row>
        <row r="133">
          <cell r="A133" t="str">
            <v>ST036438</v>
          </cell>
          <cell r="B133" t="str">
            <v>3033049-1</v>
          </cell>
        </row>
        <row r="134">
          <cell r="A134" t="str">
            <v>ST036439</v>
          </cell>
          <cell r="B134" t="str">
            <v>3037058-1</v>
          </cell>
        </row>
        <row r="135">
          <cell r="A135">
            <v>112188</v>
          </cell>
          <cell r="B135" t="str">
            <v>3037105-1</v>
          </cell>
        </row>
        <row r="136">
          <cell r="A136" t="str">
            <v>ST036441</v>
          </cell>
          <cell r="B136" t="str">
            <v>3037107-1</v>
          </cell>
        </row>
        <row r="137">
          <cell r="A137" t="str">
            <v>ST036442</v>
          </cell>
          <cell r="B137" t="str">
            <v>3060168-2</v>
          </cell>
        </row>
        <row r="138">
          <cell r="A138" t="str">
            <v>ST036404</v>
          </cell>
          <cell r="B138" t="str">
            <v>2714942-1</v>
          </cell>
        </row>
        <row r="139">
          <cell r="A139">
            <v>112189</v>
          </cell>
          <cell r="B139" t="str">
            <v>3060380-1</v>
          </cell>
        </row>
        <row r="140">
          <cell r="A140">
            <v>112190</v>
          </cell>
          <cell r="B140" t="str">
            <v>3060381-1</v>
          </cell>
        </row>
        <row r="141">
          <cell r="A141">
            <v>112191</v>
          </cell>
          <cell r="B141" t="str">
            <v>3060966-1</v>
          </cell>
        </row>
        <row r="142">
          <cell r="A142">
            <v>112192</v>
          </cell>
          <cell r="B142" t="str">
            <v>3060967-1</v>
          </cell>
        </row>
        <row r="143">
          <cell r="A143" t="str">
            <v>ST036405</v>
          </cell>
          <cell r="B143" t="str">
            <v>2743618-1</v>
          </cell>
        </row>
        <row r="144">
          <cell r="A144">
            <v>112193</v>
          </cell>
          <cell r="B144" t="str">
            <v>30759-1</v>
          </cell>
        </row>
        <row r="145">
          <cell r="A145" t="str">
            <v>ST036450</v>
          </cell>
          <cell r="B145" t="str">
            <v>3091069-4</v>
          </cell>
        </row>
        <row r="146">
          <cell r="A146">
            <v>112194</v>
          </cell>
          <cell r="B146" t="str">
            <v>3101598-4</v>
          </cell>
        </row>
        <row r="147">
          <cell r="A147" t="str">
            <v>ST036452</v>
          </cell>
          <cell r="B147" t="str">
            <v>3101598-5</v>
          </cell>
        </row>
        <row r="148">
          <cell r="A148" t="str">
            <v>ST036453</v>
          </cell>
          <cell r="B148" t="str">
            <v>3101703-1</v>
          </cell>
        </row>
        <row r="149">
          <cell r="A149">
            <v>112195</v>
          </cell>
          <cell r="B149" t="str">
            <v>3101707-16</v>
          </cell>
        </row>
        <row r="150">
          <cell r="A150" t="str">
            <v>ST036409</v>
          </cell>
          <cell r="B150" t="str">
            <v>2746175-1</v>
          </cell>
        </row>
        <row r="151">
          <cell r="A151" t="str">
            <v>ST036410</v>
          </cell>
          <cell r="B151" t="str">
            <v>2746176-1</v>
          </cell>
        </row>
        <row r="152">
          <cell r="A152" t="str">
            <v>ST036457</v>
          </cell>
          <cell r="B152" t="str">
            <v>3103828-4</v>
          </cell>
        </row>
        <row r="153">
          <cell r="A153" t="str">
            <v>ST036433</v>
          </cell>
          <cell r="B153" t="str">
            <v>2805143-1</v>
          </cell>
        </row>
        <row r="154">
          <cell r="A154">
            <v>112196</v>
          </cell>
          <cell r="B154" t="str">
            <v>3179956-1</v>
          </cell>
        </row>
        <row r="155">
          <cell r="A155">
            <v>112197</v>
          </cell>
          <cell r="B155" t="str">
            <v>3181867-2</v>
          </cell>
        </row>
        <row r="156">
          <cell r="A156">
            <v>112198</v>
          </cell>
          <cell r="B156" t="str">
            <v>3183834-2</v>
          </cell>
        </row>
        <row r="157">
          <cell r="A157">
            <v>112199</v>
          </cell>
          <cell r="B157" t="str">
            <v>3185607-1</v>
          </cell>
        </row>
        <row r="158">
          <cell r="A158">
            <v>112200</v>
          </cell>
          <cell r="B158" t="str">
            <v>32882-4</v>
          </cell>
        </row>
        <row r="159">
          <cell r="A159">
            <v>112201</v>
          </cell>
          <cell r="B159" t="str">
            <v>32882-5</v>
          </cell>
        </row>
        <row r="160">
          <cell r="A160">
            <v>112202</v>
          </cell>
          <cell r="B160" t="str">
            <v>3616866-1</v>
          </cell>
        </row>
        <row r="161">
          <cell r="A161">
            <v>112203</v>
          </cell>
          <cell r="B161" t="str">
            <v>3616866-2</v>
          </cell>
        </row>
        <row r="162">
          <cell r="A162" t="str">
            <v>ST036487</v>
          </cell>
          <cell r="B162" t="str">
            <v>3624129-1</v>
          </cell>
        </row>
        <row r="163">
          <cell r="A163" t="str">
            <v>ST036488</v>
          </cell>
          <cell r="B163" t="str">
            <v>3624129-1//SS2</v>
          </cell>
        </row>
        <row r="164">
          <cell r="A164">
            <v>112204</v>
          </cell>
          <cell r="B164" t="str">
            <v>36306-3</v>
          </cell>
        </row>
        <row r="165">
          <cell r="A165" t="str">
            <v>ST036491</v>
          </cell>
          <cell r="B165" t="str">
            <v>367801-1</v>
          </cell>
        </row>
        <row r="166">
          <cell r="A166" t="str">
            <v>ST036492</v>
          </cell>
          <cell r="B166" t="str">
            <v>3810085-3</v>
          </cell>
        </row>
        <row r="167">
          <cell r="A167">
            <v>112205</v>
          </cell>
          <cell r="B167" t="str">
            <v>3810090-3</v>
          </cell>
        </row>
        <row r="168">
          <cell r="A168" t="str">
            <v>ST036436</v>
          </cell>
          <cell r="B168" t="str">
            <v>28D19-3</v>
          </cell>
        </row>
        <row r="169">
          <cell r="A169">
            <v>112206</v>
          </cell>
          <cell r="B169" t="str">
            <v>3826170-2</v>
          </cell>
        </row>
        <row r="170">
          <cell r="A170">
            <v>112207</v>
          </cell>
          <cell r="B170" t="str">
            <v>3861055-1</v>
          </cell>
        </row>
        <row r="171">
          <cell r="A171" t="str">
            <v>ST036498</v>
          </cell>
          <cell r="B171" t="str">
            <v>3861055-2</v>
          </cell>
        </row>
        <row r="172">
          <cell r="A172" t="str">
            <v>ST036455</v>
          </cell>
          <cell r="B172" t="str">
            <v>3103828-1</v>
          </cell>
        </row>
        <row r="173">
          <cell r="A173">
            <v>112208</v>
          </cell>
          <cell r="B173" t="str">
            <v>3876278-3</v>
          </cell>
        </row>
        <row r="174">
          <cell r="A174" t="str">
            <v>ST036499</v>
          </cell>
          <cell r="B174" t="str">
            <v>3876278-1</v>
          </cell>
        </row>
        <row r="175">
          <cell r="A175">
            <v>112209</v>
          </cell>
          <cell r="B175" t="str">
            <v>39E24-1</v>
          </cell>
        </row>
        <row r="176">
          <cell r="A176" t="str">
            <v>ST036503</v>
          </cell>
          <cell r="B176" t="str">
            <v>46372-1</v>
          </cell>
        </row>
        <row r="177">
          <cell r="A177" t="str">
            <v>ST036514</v>
          </cell>
          <cell r="B177" t="str">
            <v>517458-4</v>
          </cell>
        </row>
        <row r="178">
          <cell r="A178">
            <v>112210</v>
          </cell>
          <cell r="B178" t="str">
            <v>47E72-3</v>
          </cell>
        </row>
        <row r="179">
          <cell r="A179">
            <v>112211</v>
          </cell>
          <cell r="B179" t="str">
            <v>49267</v>
          </cell>
        </row>
        <row r="180">
          <cell r="A180">
            <v>112212</v>
          </cell>
          <cell r="B180" t="str">
            <v>51050733-001</v>
          </cell>
        </row>
        <row r="181">
          <cell r="A181">
            <v>112213</v>
          </cell>
          <cell r="B181" t="str">
            <v>51050734-001</v>
          </cell>
        </row>
        <row r="182">
          <cell r="A182">
            <v>112214</v>
          </cell>
          <cell r="B182" t="str">
            <v>515322-2</v>
          </cell>
        </row>
        <row r="183">
          <cell r="A183">
            <v>112215</v>
          </cell>
          <cell r="B183" t="str">
            <v>516145-3</v>
          </cell>
        </row>
        <row r="184">
          <cell r="A184" t="str">
            <v>ST036513</v>
          </cell>
          <cell r="B184" t="str">
            <v>517458-2</v>
          </cell>
        </row>
        <row r="185">
          <cell r="A185" t="str">
            <v>ST036520</v>
          </cell>
          <cell r="B185" t="str">
            <v>5810032-2</v>
          </cell>
        </row>
        <row r="186">
          <cell r="A186" t="str">
            <v>ST036515</v>
          </cell>
          <cell r="B186" t="str">
            <v>517805-2</v>
          </cell>
        </row>
        <row r="187">
          <cell r="A187">
            <v>112216</v>
          </cell>
          <cell r="B187" t="str">
            <v>519969-1</v>
          </cell>
        </row>
        <row r="188">
          <cell r="A188">
            <v>112217</v>
          </cell>
          <cell r="B188" t="str">
            <v>540-1063-1</v>
          </cell>
        </row>
        <row r="189">
          <cell r="A189" t="str">
            <v>ST036525</v>
          </cell>
          <cell r="B189" t="str">
            <v>5848922-1</v>
          </cell>
        </row>
        <row r="190">
          <cell r="A190">
            <v>112218</v>
          </cell>
          <cell r="B190" t="str">
            <v>5810032-1</v>
          </cell>
        </row>
        <row r="191">
          <cell r="A191" t="str">
            <v>ST036531</v>
          </cell>
          <cell r="B191" t="str">
            <v>5849757-1</v>
          </cell>
        </row>
        <row r="192">
          <cell r="A192">
            <v>112219</v>
          </cell>
          <cell r="B192" t="str">
            <v>5810033-1</v>
          </cell>
        </row>
        <row r="193">
          <cell r="A193">
            <v>112220</v>
          </cell>
          <cell r="B193" t="str">
            <v>5810033-2</v>
          </cell>
        </row>
        <row r="194">
          <cell r="A194">
            <v>112221</v>
          </cell>
          <cell r="B194" t="str">
            <v>5826089-4</v>
          </cell>
        </row>
        <row r="195">
          <cell r="A195">
            <v>112222</v>
          </cell>
          <cell r="B195" t="str">
            <v>5826090-4</v>
          </cell>
        </row>
        <row r="196">
          <cell r="A196" t="str">
            <v>ST036570</v>
          </cell>
          <cell r="B196" t="str">
            <v>645064-1</v>
          </cell>
        </row>
        <row r="197">
          <cell r="A197" t="str">
            <v>ST036526</v>
          </cell>
          <cell r="B197" t="str">
            <v>5849624-1</v>
          </cell>
        </row>
        <row r="198">
          <cell r="A198">
            <v>112223</v>
          </cell>
          <cell r="B198" t="str">
            <v>5849624-2</v>
          </cell>
        </row>
        <row r="199">
          <cell r="A199">
            <v>112224</v>
          </cell>
          <cell r="B199" t="str">
            <v>5849625-1</v>
          </cell>
        </row>
        <row r="200">
          <cell r="A200">
            <v>112225</v>
          </cell>
          <cell r="B200" t="str">
            <v>5849625-2</v>
          </cell>
        </row>
        <row r="201">
          <cell r="A201" t="str">
            <v>ST036530</v>
          </cell>
          <cell r="B201" t="str">
            <v>5849756-1</v>
          </cell>
        </row>
        <row r="202">
          <cell r="A202" t="str">
            <v>ST036574</v>
          </cell>
          <cell r="B202" t="str">
            <v>67040113-2</v>
          </cell>
        </row>
        <row r="203">
          <cell r="A203">
            <v>112226</v>
          </cell>
          <cell r="B203" t="str">
            <v>5849783-1</v>
          </cell>
        </row>
        <row r="204">
          <cell r="A204">
            <v>112227</v>
          </cell>
          <cell r="B204" t="str">
            <v>5849819-1</v>
          </cell>
        </row>
        <row r="205">
          <cell r="A205">
            <v>112228</v>
          </cell>
          <cell r="B205" t="str">
            <v>5849823-1</v>
          </cell>
        </row>
        <row r="206">
          <cell r="A206">
            <v>112229</v>
          </cell>
          <cell r="B206" t="str">
            <v>5849919-1</v>
          </cell>
        </row>
        <row r="207">
          <cell r="A207" t="str">
            <v>ST036536</v>
          </cell>
          <cell r="B207" t="str">
            <v>5849984-1</v>
          </cell>
        </row>
        <row r="208">
          <cell r="A208">
            <v>112230</v>
          </cell>
          <cell r="B208" t="str">
            <v>5849985-1</v>
          </cell>
        </row>
        <row r="209">
          <cell r="A209">
            <v>112231</v>
          </cell>
          <cell r="B209" t="str">
            <v>5850589-1</v>
          </cell>
        </row>
        <row r="210">
          <cell r="A210">
            <v>112232</v>
          </cell>
          <cell r="B210" t="str">
            <v>5850592-1</v>
          </cell>
        </row>
        <row r="211">
          <cell r="A211">
            <v>112233</v>
          </cell>
          <cell r="B211" t="str">
            <v>5850595-1</v>
          </cell>
        </row>
        <row r="212">
          <cell r="A212">
            <v>112234</v>
          </cell>
          <cell r="B212" t="str">
            <v>5850596-1</v>
          </cell>
        </row>
        <row r="213">
          <cell r="A213">
            <v>112235</v>
          </cell>
          <cell r="B213" t="str">
            <v>585215-1</v>
          </cell>
        </row>
        <row r="214">
          <cell r="A214">
            <v>112236</v>
          </cell>
          <cell r="B214" t="str">
            <v>585224-1</v>
          </cell>
        </row>
        <row r="215">
          <cell r="A215">
            <v>112237</v>
          </cell>
          <cell r="B215" t="str">
            <v>585244-1</v>
          </cell>
        </row>
        <row r="216">
          <cell r="A216" t="str">
            <v>ST036576</v>
          </cell>
          <cell r="B216" t="str">
            <v>67040227-1</v>
          </cell>
        </row>
        <row r="217">
          <cell r="A217" t="str">
            <v>ST036580</v>
          </cell>
          <cell r="B217" t="str">
            <v>67220318-1</v>
          </cell>
        </row>
        <row r="218">
          <cell r="A218" t="str">
            <v>ST036609</v>
          </cell>
          <cell r="B218" t="str">
            <v>868727-1</v>
          </cell>
        </row>
        <row r="219">
          <cell r="A219" t="str">
            <v>ST036549</v>
          </cell>
          <cell r="B219" t="str">
            <v>605135-2</v>
          </cell>
        </row>
        <row r="220">
          <cell r="A220">
            <v>112238</v>
          </cell>
          <cell r="B220" t="str">
            <v>605594-1</v>
          </cell>
        </row>
        <row r="221">
          <cell r="A221">
            <v>112239</v>
          </cell>
          <cell r="B221" t="str">
            <v>605594-2</v>
          </cell>
        </row>
        <row r="222">
          <cell r="A222" t="str">
            <v>ST036612</v>
          </cell>
          <cell r="B222" t="str">
            <v>894114-1</v>
          </cell>
        </row>
        <row r="223">
          <cell r="A223" t="str">
            <v>ST028401</v>
          </cell>
          <cell r="B223" t="str">
            <v>2205957-2</v>
          </cell>
        </row>
        <row r="224">
          <cell r="A224" t="str">
            <v>ST036554</v>
          </cell>
          <cell r="B224" t="str">
            <v>606513-1</v>
          </cell>
        </row>
        <row r="225">
          <cell r="A225">
            <v>112240</v>
          </cell>
          <cell r="B225" t="str">
            <v>606636-1</v>
          </cell>
        </row>
        <row r="226">
          <cell r="A226" t="str">
            <v>ST036558</v>
          </cell>
          <cell r="B226" t="str">
            <v>606969-1</v>
          </cell>
        </row>
        <row r="227">
          <cell r="A227">
            <v>112241</v>
          </cell>
          <cell r="B227" t="str">
            <v>606988-1</v>
          </cell>
        </row>
        <row r="228">
          <cell r="A228" t="str">
            <v>ST036309</v>
          </cell>
          <cell r="B228" t="str">
            <v>11-0462-3</v>
          </cell>
        </row>
        <row r="229">
          <cell r="A229" t="str">
            <v>ST036561</v>
          </cell>
          <cell r="B229" t="str">
            <v>606989-1</v>
          </cell>
        </row>
        <row r="230">
          <cell r="A230">
            <v>112242</v>
          </cell>
          <cell r="B230" t="str">
            <v>6425482-1</v>
          </cell>
        </row>
        <row r="231">
          <cell r="A231">
            <v>112243</v>
          </cell>
          <cell r="B231" t="str">
            <v>6426863-1</v>
          </cell>
        </row>
        <row r="232">
          <cell r="A232" t="str">
            <v>ST036567</v>
          </cell>
          <cell r="B232" t="str">
            <v>6426864-1</v>
          </cell>
        </row>
        <row r="233">
          <cell r="A233">
            <v>112244</v>
          </cell>
          <cell r="B233" t="str">
            <v>6428015-4</v>
          </cell>
        </row>
        <row r="234">
          <cell r="A234" t="str">
            <v>ST036314</v>
          </cell>
          <cell r="B234" t="str">
            <v>1543306-1</v>
          </cell>
        </row>
        <row r="235">
          <cell r="A235" t="str">
            <v>ST036346</v>
          </cell>
          <cell r="B235" t="str">
            <v>2215675-5</v>
          </cell>
        </row>
        <row r="236">
          <cell r="A236" t="str">
            <v>ST036572</v>
          </cell>
          <cell r="B236" t="str">
            <v>65051999-1</v>
          </cell>
        </row>
        <row r="237">
          <cell r="A237">
            <v>112245</v>
          </cell>
          <cell r="B237" t="str">
            <v>67040021-2</v>
          </cell>
        </row>
        <row r="238">
          <cell r="A238">
            <v>112246</v>
          </cell>
          <cell r="B238" t="str">
            <v>67040118-1</v>
          </cell>
        </row>
        <row r="239">
          <cell r="A239">
            <v>112247</v>
          </cell>
          <cell r="B239" t="str">
            <v>67040490-1</v>
          </cell>
        </row>
        <row r="240">
          <cell r="A240" t="str">
            <v>ST036578</v>
          </cell>
          <cell r="B240" t="str">
            <v>67041227-1</v>
          </cell>
        </row>
        <row r="241">
          <cell r="A241">
            <v>112248</v>
          </cell>
          <cell r="B241" t="str">
            <v>67041228-1</v>
          </cell>
        </row>
        <row r="242">
          <cell r="A242">
            <v>112249</v>
          </cell>
          <cell r="B242" t="str">
            <v>67221180-1</v>
          </cell>
        </row>
        <row r="243">
          <cell r="A243">
            <v>112250</v>
          </cell>
          <cell r="B243" t="str">
            <v>67221456-1</v>
          </cell>
        </row>
        <row r="244">
          <cell r="A244" t="str">
            <v>ST036583</v>
          </cell>
          <cell r="B244" t="str">
            <v>67410386-1</v>
          </cell>
        </row>
        <row r="245">
          <cell r="A245">
            <v>112251</v>
          </cell>
          <cell r="B245" t="str">
            <v>67412128-1</v>
          </cell>
        </row>
        <row r="246">
          <cell r="A246">
            <v>112252</v>
          </cell>
          <cell r="B246" t="str">
            <v>67620396-1</v>
          </cell>
        </row>
        <row r="247">
          <cell r="A247">
            <v>112253</v>
          </cell>
          <cell r="B247" t="str">
            <v>67620402-1</v>
          </cell>
        </row>
        <row r="248">
          <cell r="A248" t="str">
            <v>ST036588</v>
          </cell>
          <cell r="B248" t="str">
            <v>67620528-1</v>
          </cell>
        </row>
        <row r="249">
          <cell r="A249">
            <v>112254</v>
          </cell>
          <cell r="B249" t="str">
            <v>67620532-1</v>
          </cell>
        </row>
        <row r="250">
          <cell r="A250">
            <v>112255</v>
          </cell>
          <cell r="B250" t="str">
            <v>67620590-1</v>
          </cell>
        </row>
        <row r="251">
          <cell r="A251" t="str">
            <v>ST036593</v>
          </cell>
          <cell r="B251" t="str">
            <v>683743-2</v>
          </cell>
        </row>
        <row r="252">
          <cell r="A252" t="str">
            <v>ST036594</v>
          </cell>
          <cell r="B252" t="str">
            <v>70060125-1</v>
          </cell>
        </row>
        <row r="253">
          <cell r="A253" t="str">
            <v>ST036595</v>
          </cell>
          <cell r="B253" t="str">
            <v>70060126-1</v>
          </cell>
        </row>
        <row r="254">
          <cell r="A254">
            <v>112256</v>
          </cell>
          <cell r="B254" t="str">
            <v>7511825-901</v>
          </cell>
        </row>
        <row r="255">
          <cell r="A255" t="str">
            <v>ST036601</v>
          </cell>
          <cell r="B255" t="str">
            <v>804136-2</v>
          </cell>
        </row>
        <row r="256">
          <cell r="A256">
            <v>112257</v>
          </cell>
          <cell r="B256" t="str">
            <v>804203-2</v>
          </cell>
        </row>
        <row r="257">
          <cell r="A257" t="str">
            <v>ST036603</v>
          </cell>
          <cell r="B257" t="str">
            <v>804203-4</v>
          </cell>
        </row>
        <row r="258">
          <cell r="A258">
            <v>112258</v>
          </cell>
          <cell r="B258" t="str">
            <v>81C41-1</v>
          </cell>
        </row>
        <row r="259">
          <cell r="A259">
            <v>112259</v>
          </cell>
          <cell r="B259" t="str">
            <v>81C41-3</v>
          </cell>
        </row>
        <row r="260">
          <cell r="A260">
            <v>112260</v>
          </cell>
          <cell r="B260" t="str">
            <v>883794-1</v>
          </cell>
        </row>
        <row r="261">
          <cell r="A261" t="str">
            <v>ST036614</v>
          </cell>
          <cell r="B261" t="str">
            <v>895898-3</v>
          </cell>
        </row>
        <row r="262">
          <cell r="A262">
            <v>112261</v>
          </cell>
          <cell r="B262" t="str">
            <v>897411-1</v>
          </cell>
        </row>
        <row r="263">
          <cell r="A263" t="str">
            <v>ST036616</v>
          </cell>
          <cell r="B263">
            <v>9998672</v>
          </cell>
        </row>
        <row r="264">
          <cell r="A264">
            <v>112262</v>
          </cell>
          <cell r="B264" t="str">
            <v>L8742827-1</v>
          </cell>
        </row>
        <row r="265">
          <cell r="A265">
            <v>112263</v>
          </cell>
          <cell r="B265" t="str">
            <v>MFG2-5226</v>
          </cell>
        </row>
        <row r="266">
          <cell r="A266">
            <v>112264</v>
          </cell>
          <cell r="B266" t="str">
            <v>MFG3-3499</v>
          </cell>
        </row>
        <row r="267">
          <cell r="A267" t="str">
            <v>ST036620</v>
          </cell>
          <cell r="B267" t="str">
            <v>MFG3-7504</v>
          </cell>
        </row>
        <row r="268">
          <cell r="A268" t="str">
            <v>ST036621</v>
          </cell>
          <cell r="B268" t="str">
            <v>MFG3-7505</v>
          </cell>
        </row>
        <row r="269">
          <cell r="A269" t="str">
            <v>ST032773</v>
          </cell>
          <cell r="B269" t="str">
            <v>3507876-1</v>
          </cell>
        </row>
        <row r="270">
          <cell r="A270" t="str">
            <v>ST032753</v>
          </cell>
          <cell r="B270" t="str">
            <v>1540650-1</v>
          </cell>
        </row>
        <row r="271">
          <cell r="A271" t="str">
            <v>ST032762</v>
          </cell>
          <cell r="B271" t="str">
            <v>3180422-1</v>
          </cell>
        </row>
        <row r="272">
          <cell r="A272">
            <v>112129</v>
          </cell>
          <cell r="B272" t="str">
            <v>3174774-2</v>
          </cell>
        </row>
        <row r="273">
          <cell r="A273" t="str">
            <v>ST036310</v>
          </cell>
          <cell r="B273" t="str">
            <v>1110320-2</v>
          </cell>
        </row>
        <row r="274">
          <cell r="A274" t="str">
            <v>ST036318</v>
          </cell>
          <cell r="B274" t="str">
            <v>1588849-1</v>
          </cell>
        </row>
        <row r="275">
          <cell r="A275" t="str">
            <v>ST036458</v>
          </cell>
          <cell r="B275" t="str">
            <v>3165680-2</v>
          </cell>
        </row>
        <row r="276">
          <cell r="A276" t="str">
            <v>ST036461</v>
          </cell>
          <cell r="B276" t="str">
            <v>3177172-1</v>
          </cell>
        </row>
        <row r="277">
          <cell r="A277" t="str">
            <v>ST036464</v>
          </cell>
          <cell r="B277" t="str">
            <v>3179512-2</v>
          </cell>
        </row>
        <row r="278">
          <cell r="A278" t="str">
            <v>ST036466</v>
          </cell>
          <cell r="B278" t="str">
            <v>3180414-1</v>
          </cell>
        </row>
        <row r="279">
          <cell r="A279" t="str">
            <v>ST036467</v>
          </cell>
          <cell r="B279" t="str">
            <v>3180610-1</v>
          </cell>
        </row>
        <row r="280">
          <cell r="A280" t="str">
            <v>ST036471</v>
          </cell>
          <cell r="B280" t="str">
            <v>3237969-1</v>
          </cell>
        </row>
        <row r="281">
          <cell r="A281" t="str">
            <v>ST036562</v>
          </cell>
          <cell r="B281" t="str">
            <v>63004149-3</v>
          </cell>
        </row>
        <row r="282">
          <cell r="A282" t="str">
            <v>ST036597</v>
          </cell>
          <cell r="B282" t="str">
            <v>7205175-2</v>
          </cell>
        </row>
        <row r="283">
          <cell r="A283" t="str">
            <v>ST028418</v>
          </cell>
          <cell r="B283" t="str">
            <v>3167967-3</v>
          </cell>
        </row>
        <row r="284">
          <cell r="A284">
            <v>112121</v>
          </cell>
          <cell r="B284" t="str">
            <v>63003133-3</v>
          </cell>
        </row>
        <row r="285">
          <cell r="A285" t="str">
            <v>ST028457</v>
          </cell>
          <cell r="B285" t="str">
            <v>6425368-1</v>
          </cell>
        </row>
        <row r="286">
          <cell r="A286">
            <v>112122</v>
          </cell>
          <cell r="B286" t="str">
            <v>6426177-3</v>
          </cell>
        </row>
        <row r="287">
          <cell r="A287" t="str">
            <v>ST028459</v>
          </cell>
          <cell r="B287" t="str">
            <v>6430604-1</v>
          </cell>
        </row>
        <row r="288">
          <cell r="A288" t="str">
            <v>ST028461</v>
          </cell>
          <cell r="B288" t="str">
            <v>65052666-1</v>
          </cell>
        </row>
        <row r="289">
          <cell r="A289" t="str">
            <v>ST028462</v>
          </cell>
          <cell r="B289" t="str">
            <v>67410222-3</v>
          </cell>
        </row>
        <row r="290">
          <cell r="A290" t="str">
            <v>ST028471</v>
          </cell>
          <cell r="B290" t="str">
            <v>7205174-1</v>
          </cell>
        </row>
        <row r="291">
          <cell r="A291" t="str">
            <v>ST028971</v>
          </cell>
          <cell r="B291" t="str">
            <v>3503925-1</v>
          </cell>
        </row>
        <row r="292">
          <cell r="A292" t="str">
            <v>ST029076</v>
          </cell>
          <cell r="B292" t="str">
            <v>65053298-1</v>
          </cell>
        </row>
        <row r="293">
          <cell r="A293" t="str">
            <v>ST036743</v>
          </cell>
          <cell r="B293" t="str">
            <v>2613087</v>
          </cell>
        </row>
        <row r="294">
          <cell r="A294" t="str">
            <v>ST036744</v>
          </cell>
          <cell r="B294" t="str">
            <v>2654790</v>
          </cell>
        </row>
        <row r="295">
          <cell r="A295" t="str">
            <v>ST036745</v>
          </cell>
          <cell r="B295" t="str">
            <v>AS1895/5-600</v>
          </cell>
        </row>
        <row r="296">
          <cell r="A296" t="str">
            <v>ST036746</v>
          </cell>
          <cell r="B296" t="str">
            <v>AS1895/6-600</v>
          </cell>
        </row>
        <row r="297">
          <cell r="A297" t="str">
            <v>ST028756</v>
          </cell>
          <cell r="B297" t="str">
            <v>2683907-003</v>
          </cell>
        </row>
        <row r="298">
          <cell r="A298" t="str">
            <v>ST028635</v>
          </cell>
          <cell r="B298">
            <v>2520388</v>
          </cell>
        </row>
        <row r="299">
          <cell r="A299" t="str">
            <v>ST028968</v>
          </cell>
          <cell r="B299" t="str">
            <v>3503826-1</v>
          </cell>
        </row>
        <row r="300">
          <cell r="A300" t="str">
            <v>ST036460</v>
          </cell>
          <cell r="B300" t="str">
            <v>3176846-2</v>
          </cell>
        </row>
        <row r="301">
          <cell r="A301" t="str">
            <v>ST036462</v>
          </cell>
          <cell r="B301" t="str">
            <v>3177429-1</v>
          </cell>
        </row>
        <row r="302">
          <cell r="A302" t="str">
            <v>ST036459</v>
          </cell>
          <cell r="B302" t="str">
            <v>3165701-1</v>
          </cell>
        </row>
        <row r="303">
          <cell r="A303" t="str">
            <v>ST028653</v>
          </cell>
          <cell r="B303">
            <v>2529752</v>
          </cell>
        </row>
        <row r="304">
          <cell r="A304" t="str">
            <v>ST028416</v>
          </cell>
          <cell r="B304" t="str">
            <v>3092033-2</v>
          </cell>
        </row>
        <row r="305">
          <cell r="A305" t="str">
            <v>ST036348</v>
          </cell>
          <cell r="B305" t="str">
            <v>2300874-1</v>
          </cell>
        </row>
        <row r="306">
          <cell r="A306" t="str">
            <v>ST036304</v>
          </cell>
          <cell r="B306" t="str">
            <v>088-00622-0001</v>
          </cell>
        </row>
        <row r="307">
          <cell r="A307" t="str">
            <v>ST036375</v>
          </cell>
          <cell r="B307" t="str">
            <v>2709981-1</v>
          </cell>
        </row>
        <row r="308">
          <cell r="A308" t="str">
            <v>ST036501</v>
          </cell>
          <cell r="B308">
            <v>39451</v>
          </cell>
        </row>
        <row r="309">
          <cell r="A309" t="str">
            <v>ST036548</v>
          </cell>
          <cell r="B309" t="str">
            <v>585287-1</v>
          </cell>
        </row>
        <row r="310">
          <cell r="A310" t="str">
            <v>ST036556</v>
          </cell>
          <cell r="B310" t="str">
            <v>606529-1</v>
          </cell>
        </row>
        <row r="311">
          <cell r="A311" t="str">
            <v>ST036560</v>
          </cell>
          <cell r="B311" t="str">
            <v>606988-2</v>
          </cell>
        </row>
        <row r="312">
          <cell r="A312" t="str">
            <v>ST036335</v>
          </cell>
          <cell r="B312" t="str">
            <v>2205793-1</v>
          </cell>
        </row>
        <row r="313">
          <cell r="A313" t="str">
            <v>ST036340</v>
          </cell>
          <cell r="B313" t="str">
            <v>2208994-1</v>
          </cell>
        </row>
        <row r="314">
          <cell r="A314" t="str">
            <v>ST036329</v>
          </cell>
          <cell r="B314" t="str">
            <v>2050963-1</v>
          </cell>
        </row>
        <row r="315">
          <cell r="A315" t="str">
            <v>ST036371</v>
          </cell>
          <cell r="B315" t="str">
            <v>2708350-1</v>
          </cell>
        </row>
        <row r="316">
          <cell r="A316" t="str">
            <v>ST036381</v>
          </cell>
          <cell r="B316" t="str">
            <v>2710488-1</v>
          </cell>
        </row>
        <row r="317">
          <cell r="A317" t="str">
            <v>ST036382</v>
          </cell>
          <cell r="B317" t="str">
            <v>2710488-2</v>
          </cell>
        </row>
        <row r="318">
          <cell r="A318" t="str">
            <v>ST036424</v>
          </cell>
          <cell r="B318" t="str">
            <v>2786162-1</v>
          </cell>
        </row>
        <row r="319">
          <cell r="A319" t="str">
            <v>ST036434</v>
          </cell>
          <cell r="B319" t="str">
            <v>2805496-1</v>
          </cell>
        </row>
        <row r="320">
          <cell r="A320" t="str">
            <v>ST036437</v>
          </cell>
          <cell r="B320" t="str">
            <v>3033045-1</v>
          </cell>
        </row>
        <row r="321">
          <cell r="A321" t="str">
            <v>ST036443</v>
          </cell>
          <cell r="B321" t="str">
            <v>3060245-1</v>
          </cell>
        </row>
        <row r="322">
          <cell r="A322" t="str">
            <v>ST036448</v>
          </cell>
          <cell r="B322" t="str">
            <v>3070348-1</v>
          </cell>
        </row>
        <row r="323">
          <cell r="A323" t="str">
            <v>ST036456</v>
          </cell>
          <cell r="B323" t="str">
            <v>3103828-2</v>
          </cell>
        </row>
        <row r="324">
          <cell r="A324" t="str">
            <v>ST036463</v>
          </cell>
          <cell r="B324" t="str">
            <v>3178208-1</v>
          </cell>
        </row>
        <row r="325">
          <cell r="A325" t="str">
            <v>ST036494</v>
          </cell>
          <cell r="B325" t="str">
            <v>3810688-1</v>
          </cell>
        </row>
        <row r="326">
          <cell r="A326" t="str">
            <v>ST036504</v>
          </cell>
          <cell r="B326" t="str">
            <v>47237-3</v>
          </cell>
        </row>
        <row r="327">
          <cell r="A327" t="str">
            <v>ST036518</v>
          </cell>
          <cell r="B327" t="str">
            <v>540-1543-1</v>
          </cell>
        </row>
        <row r="328">
          <cell r="A328" t="str">
            <v>ST036546</v>
          </cell>
          <cell r="B328" t="str">
            <v>585259-1</v>
          </cell>
        </row>
        <row r="329">
          <cell r="A329" t="str">
            <v>ST036547</v>
          </cell>
          <cell r="B329" t="str">
            <v>585259-2</v>
          </cell>
        </row>
        <row r="330">
          <cell r="A330" t="str">
            <v>ST036552</v>
          </cell>
          <cell r="B330" t="str">
            <v>606394-1</v>
          </cell>
        </row>
        <row r="331">
          <cell r="A331" t="str">
            <v>ST036555</v>
          </cell>
          <cell r="B331" t="str">
            <v>606514-1</v>
          </cell>
        </row>
        <row r="332">
          <cell r="A332" t="str">
            <v>ST036569</v>
          </cell>
          <cell r="B332" t="str">
            <v>6430309-1</v>
          </cell>
        </row>
        <row r="333">
          <cell r="A333" t="str">
            <v>ST036571</v>
          </cell>
          <cell r="B333" t="str">
            <v>65051943-1</v>
          </cell>
        </row>
        <row r="334">
          <cell r="A334" t="str">
            <v>ST036585</v>
          </cell>
          <cell r="B334" t="str">
            <v>67620395-1</v>
          </cell>
        </row>
        <row r="335">
          <cell r="A335" t="str">
            <v>ST036596</v>
          </cell>
          <cell r="B335">
            <v>7018394</v>
          </cell>
        </row>
        <row r="336">
          <cell r="A336" t="str">
            <v>ST036600</v>
          </cell>
          <cell r="B336" t="str">
            <v>7511825-902</v>
          </cell>
        </row>
        <row r="337">
          <cell r="A337" t="str">
            <v>ST036606</v>
          </cell>
          <cell r="B337" t="str">
            <v>82E21-1</v>
          </cell>
        </row>
        <row r="338">
          <cell r="A338" t="str">
            <v>ST036610</v>
          </cell>
          <cell r="B338" t="str">
            <v>869224-2</v>
          </cell>
        </row>
        <row r="339">
          <cell r="A339" t="str">
            <v>ST036613</v>
          </cell>
          <cell r="B339" t="str">
            <v>895459-3</v>
          </cell>
        </row>
        <row r="340">
          <cell r="A340" t="str">
            <v>ST036322</v>
          </cell>
          <cell r="B340">
            <v>172278</v>
          </cell>
        </row>
        <row r="341">
          <cell r="A341" t="str">
            <v>ST036323</v>
          </cell>
          <cell r="B341" t="str">
            <v>193148-1</v>
          </cell>
        </row>
        <row r="342">
          <cell r="A342" t="str">
            <v>ST036330</v>
          </cell>
          <cell r="B342" t="str">
            <v>2050980-1</v>
          </cell>
        </row>
        <row r="343">
          <cell r="A343" t="str">
            <v>ST036347</v>
          </cell>
          <cell r="B343" t="str">
            <v>2220117-1</v>
          </cell>
        </row>
        <row r="344">
          <cell r="A344" t="str">
            <v>ST036320</v>
          </cell>
          <cell r="B344" t="str">
            <v>1597560-2</v>
          </cell>
        </row>
        <row r="345">
          <cell r="A345" t="str">
            <v>ST028566</v>
          </cell>
          <cell r="B345" t="str">
            <v>2204455-1</v>
          </cell>
        </row>
        <row r="346">
          <cell r="A346" t="str">
            <v>ST028807</v>
          </cell>
          <cell r="B346">
            <v>2689149</v>
          </cell>
        </row>
        <row r="347">
          <cell r="A347" t="str">
            <v>ST028943</v>
          </cell>
          <cell r="B347" t="str">
            <v>328-S-40</v>
          </cell>
        </row>
        <row r="348">
          <cell r="A348" t="str">
            <v>ST036411</v>
          </cell>
          <cell r="B348" t="str">
            <v>2747051-1</v>
          </cell>
        </row>
        <row r="349">
          <cell r="A349" t="str">
            <v>ST028406</v>
          </cell>
          <cell r="B349">
            <v>2616962</v>
          </cell>
        </row>
        <row r="350">
          <cell r="A350" t="str">
            <v>ST028918</v>
          </cell>
          <cell r="B350" t="str">
            <v>32-4511-1</v>
          </cell>
        </row>
        <row r="351">
          <cell r="A351" t="str">
            <v>ST028637</v>
          </cell>
          <cell r="B351">
            <v>2521951</v>
          </cell>
        </row>
        <row r="352">
          <cell r="A352" t="str">
            <v>ST036553</v>
          </cell>
          <cell r="B352" t="str">
            <v>606414-1</v>
          </cell>
        </row>
        <row r="353">
          <cell r="A353" t="str">
            <v>ST036608</v>
          </cell>
          <cell r="B353" t="str">
            <v>867789-1</v>
          </cell>
        </row>
        <row r="354">
          <cell r="A354" t="str">
            <v>ST028652</v>
          </cell>
          <cell r="B354">
            <v>2529677</v>
          </cell>
        </row>
        <row r="355">
          <cell r="A355" t="str">
            <v>ST029184</v>
          </cell>
          <cell r="B355" t="str">
            <v>901613K1</v>
          </cell>
        </row>
        <row r="356">
          <cell r="A356" t="str">
            <v>ST036408</v>
          </cell>
          <cell r="B356" t="str">
            <v>2743620-1</v>
          </cell>
        </row>
        <row r="357">
          <cell r="A357" t="str">
            <v>ST036742</v>
          </cell>
          <cell r="B357" t="str">
            <v>2610596</v>
          </cell>
        </row>
        <row r="358">
          <cell r="A358" t="str">
            <v>ST028412</v>
          </cell>
          <cell r="B358" t="str">
            <v>3075293-1</v>
          </cell>
        </row>
        <row r="359">
          <cell r="A359" t="str">
            <v>ST028925</v>
          </cell>
          <cell r="B359">
            <v>3240770</v>
          </cell>
        </row>
        <row r="360">
          <cell r="A360" t="str">
            <v>ST028456</v>
          </cell>
          <cell r="B360" t="str">
            <v>63004265-1</v>
          </cell>
        </row>
        <row r="361">
          <cell r="A361" t="str">
            <v>ST028816</v>
          </cell>
          <cell r="B361" t="str">
            <v>2691361</v>
          </cell>
        </row>
        <row r="362">
          <cell r="A362" t="str">
            <v>ST029171</v>
          </cell>
          <cell r="B362" t="str">
            <v>865015-3</v>
          </cell>
        </row>
        <row r="363">
          <cell r="A363" t="str">
            <v>ST029172</v>
          </cell>
          <cell r="B363" t="str">
            <v>866194-1</v>
          </cell>
        </row>
        <row r="364">
          <cell r="A364">
            <v>112134</v>
          </cell>
          <cell r="B364">
            <v>12336893</v>
          </cell>
        </row>
        <row r="365">
          <cell r="A365">
            <v>112135</v>
          </cell>
          <cell r="B365" t="str">
            <v>1531850-2</v>
          </cell>
        </row>
        <row r="366">
          <cell r="A366">
            <v>112136</v>
          </cell>
          <cell r="B366" t="str">
            <v>1580089-1</v>
          </cell>
        </row>
        <row r="367">
          <cell r="A367" t="str">
            <v>ST036316</v>
          </cell>
          <cell r="B367" t="str">
            <v>1582809-1</v>
          </cell>
        </row>
        <row r="368">
          <cell r="A368" t="str">
            <v>ST036317</v>
          </cell>
          <cell r="B368" t="str">
            <v>1588848-1</v>
          </cell>
        </row>
        <row r="369">
          <cell r="A369">
            <v>112138</v>
          </cell>
          <cell r="B369" t="str">
            <v>16-2737-1</v>
          </cell>
        </row>
        <row r="370">
          <cell r="A370" t="str">
            <v>ST036324</v>
          </cell>
          <cell r="B370" t="str">
            <v>193148-3</v>
          </cell>
        </row>
        <row r="371">
          <cell r="A371">
            <v>112139</v>
          </cell>
          <cell r="B371" t="str">
            <v>2011623-1</v>
          </cell>
        </row>
        <row r="372">
          <cell r="A372" t="str">
            <v>ST036326</v>
          </cell>
          <cell r="B372" t="str">
            <v>2011990-1</v>
          </cell>
        </row>
        <row r="373">
          <cell r="A373">
            <v>112140</v>
          </cell>
          <cell r="B373" t="str">
            <v>2050268-1</v>
          </cell>
        </row>
        <row r="374">
          <cell r="A374">
            <v>112142</v>
          </cell>
          <cell r="B374" t="str">
            <v>2201727-2</v>
          </cell>
        </row>
        <row r="375">
          <cell r="A375" t="str">
            <v>ST036332</v>
          </cell>
          <cell r="B375" t="str">
            <v>2202803-1</v>
          </cell>
        </row>
        <row r="376">
          <cell r="A376">
            <v>112143</v>
          </cell>
          <cell r="B376" t="str">
            <v>2205287-1</v>
          </cell>
        </row>
        <row r="377">
          <cell r="A377" t="str">
            <v>ST036349</v>
          </cell>
          <cell r="B377" t="str">
            <v>2304190-1</v>
          </cell>
        </row>
        <row r="378">
          <cell r="A378" t="str">
            <v>ST036350</v>
          </cell>
          <cell r="B378" t="str">
            <v>2306403-1</v>
          </cell>
        </row>
        <row r="379">
          <cell r="A379">
            <v>112152</v>
          </cell>
          <cell r="B379" t="str">
            <v>2308535-1</v>
          </cell>
        </row>
        <row r="380">
          <cell r="A380" t="str">
            <v>ST028874</v>
          </cell>
          <cell r="B380" t="str">
            <v>3-500-091-01</v>
          </cell>
        </row>
        <row r="381">
          <cell r="A381">
            <v>112118</v>
          </cell>
          <cell r="B381" t="str">
            <v>3165699-1</v>
          </cell>
        </row>
        <row r="382">
          <cell r="A382">
            <v>112119</v>
          </cell>
          <cell r="B382" t="str">
            <v>3168574-4</v>
          </cell>
        </row>
        <row r="383">
          <cell r="A383">
            <v>112120</v>
          </cell>
          <cell r="B383" t="str">
            <v>3176861-2</v>
          </cell>
        </row>
        <row r="384">
          <cell r="A384" t="str">
            <v>ST029075</v>
          </cell>
          <cell r="B384" t="str">
            <v>65053114-2</v>
          </cell>
        </row>
        <row r="385">
          <cell r="A385">
            <v>112133</v>
          </cell>
          <cell r="B385">
            <v>1112183</v>
          </cell>
        </row>
        <row r="386">
          <cell r="A386">
            <v>112137</v>
          </cell>
          <cell r="B386" t="str">
            <v>1594596-1</v>
          </cell>
        </row>
        <row r="387">
          <cell r="A387">
            <v>112141</v>
          </cell>
          <cell r="B387" t="str">
            <v>2050811-1</v>
          </cell>
        </row>
        <row r="388">
          <cell r="A388">
            <v>112144</v>
          </cell>
          <cell r="B388" t="str">
            <v>2205475-1</v>
          </cell>
        </row>
        <row r="389">
          <cell r="A389" t="str">
            <v>ST036336</v>
          </cell>
          <cell r="B389" t="str">
            <v>2206839-1</v>
          </cell>
        </row>
        <row r="390">
          <cell r="A390" t="str">
            <v>ST036337</v>
          </cell>
          <cell r="B390" t="str">
            <v>2208748-1</v>
          </cell>
        </row>
        <row r="391">
          <cell r="A391">
            <v>112145</v>
          </cell>
          <cell r="B391" t="str">
            <v>2208967-1</v>
          </cell>
        </row>
        <row r="392">
          <cell r="A392">
            <v>112146</v>
          </cell>
          <cell r="B392" t="str">
            <v>2208972-1</v>
          </cell>
        </row>
        <row r="393">
          <cell r="A393" t="str">
            <v>ST036341</v>
          </cell>
          <cell r="B393" t="str">
            <v>2209263-1</v>
          </cell>
        </row>
        <row r="394">
          <cell r="A394">
            <v>112147</v>
          </cell>
          <cell r="B394" t="str">
            <v>2210162-1</v>
          </cell>
        </row>
        <row r="395">
          <cell r="A395">
            <v>112148</v>
          </cell>
          <cell r="B395" t="str">
            <v>2210227-1</v>
          </cell>
        </row>
        <row r="396">
          <cell r="A396">
            <v>112149</v>
          </cell>
          <cell r="B396" t="str">
            <v>2210316-1</v>
          </cell>
        </row>
        <row r="397">
          <cell r="A397">
            <v>112150</v>
          </cell>
          <cell r="B397" t="str">
            <v>2210348-1</v>
          </cell>
        </row>
        <row r="398">
          <cell r="A398">
            <v>112151</v>
          </cell>
          <cell r="B398" t="str">
            <v>2307594-1</v>
          </cell>
        </row>
        <row r="399">
          <cell r="A399" t="str">
            <v>ST036305</v>
          </cell>
          <cell r="B399" t="str">
            <v>088-00701-0000</v>
          </cell>
        </row>
        <row r="400">
          <cell r="A400" t="str">
            <v>ST036306</v>
          </cell>
          <cell r="B400" t="str">
            <v>088-00701-0001</v>
          </cell>
        </row>
        <row r="401">
          <cell r="A401" t="str">
            <v>ST036307</v>
          </cell>
          <cell r="B401" t="str">
            <v>11-0461-1</v>
          </cell>
        </row>
        <row r="402">
          <cell r="A402" t="str">
            <v>ST036308</v>
          </cell>
          <cell r="B402" t="str">
            <v>11-0461-7</v>
          </cell>
        </row>
        <row r="403">
          <cell r="A403" t="str">
            <v>ST036303</v>
          </cell>
          <cell r="B403" t="str">
            <v>088-00622-0000</v>
          </cell>
        </row>
        <row r="404">
          <cell r="A404">
            <v>112265</v>
          </cell>
          <cell r="B404">
            <v>8002752</v>
          </cell>
        </row>
        <row r="405">
          <cell r="A405">
            <v>112500</v>
          </cell>
          <cell r="B405" t="str">
            <v>974353-5</v>
          </cell>
        </row>
        <row r="406">
          <cell r="A406">
            <v>112499</v>
          </cell>
          <cell r="B406" t="str">
            <v>881787-22</v>
          </cell>
        </row>
        <row r="407">
          <cell r="A407">
            <v>112498</v>
          </cell>
          <cell r="B407" t="str">
            <v>881787-21</v>
          </cell>
        </row>
        <row r="408">
          <cell r="A408">
            <v>112497</v>
          </cell>
          <cell r="B408" t="str">
            <v>859989-8</v>
          </cell>
        </row>
        <row r="409">
          <cell r="A409">
            <v>112496</v>
          </cell>
          <cell r="B409" t="str">
            <v>859989-79</v>
          </cell>
        </row>
        <row r="410">
          <cell r="A410">
            <v>112495</v>
          </cell>
          <cell r="B410" t="str">
            <v>859989-77</v>
          </cell>
        </row>
        <row r="411">
          <cell r="A411">
            <v>112494</v>
          </cell>
          <cell r="B411" t="str">
            <v>859989-70</v>
          </cell>
        </row>
        <row r="412">
          <cell r="A412">
            <v>112493</v>
          </cell>
          <cell r="B412" t="str">
            <v>859989-65</v>
          </cell>
        </row>
        <row r="413">
          <cell r="A413">
            <v>112492</v>
          </cell>
          <cell r="B413" t="str">
            <v>859989-5</v>
          </cell>
        </row>
        <row r="414">
          <cell r="A414">
            <v>112491</v>
          </cell>
          <cell r="B414" t="str">
            <v>859989-12</v>
          </cell>
        </row>
        <row r="415">
          <cell r="A415">
            <v>112490</v>
          </cell>
          <cell r="B415" t="str">
            <v>857374-15</v>
          </cell>
        </row>
        <row r="416">
          <cell r="A416">
            <v>112489</v>
          </cell>
          <cell r="B416" t="str">
            <v>7398033-1</v>
          </cell>
        </row>
        <row r="417">
          <cell r="A417">
            <v>112488</v>
          </cell>
          <cell r="B417" t="str">
            <v>7206388-1</v>
          </cell>
        </row>
        <row r="418">
          <cell r="A418">
            <v>112487</v>
          </cell>
          <cell r="B418" t="str">
            <v>7205178-1</v>
          </cell>
        </row>
        <row r="419">
          <cell r="A419">
            <v>112486</v>
          </cell>
          <cell r="B419" t="str">
            <v>63001912-1</v>
          </cell>
        </row>
        <row r="420">
          <cell r="A420">
            <v>112485</v>
          </cell>
          <cell r="B420" t="str">
            <v>63001090-7</v>
          </cell>
        </row>
        <row r="421">
          <cell r="A421">
            <v>112484</v>
          </cell>
          <cell r="B421" t="str">
            <v>63001090-6</v>
          </cell>
        </row>
        <row r="422">
          <cell r="A422">
            <v>112483</v>
          </cell>
          <cell r="B422" t="str">
            <v>63001090-4</v>
          </cell>
        </row>
        <row r="423">
          <cell r="A423">
            <v>112482</v>
          </cell>
          <cell r="B423" t="str">
            <v>63000865-1</v>
          </cell>
        </row>
        <row r="424">
          <cell r="A424">
            <v>112481</v>
          </cell>
          <cell r="B424" t="str">
            <v>63000846-1</v>
          </cell>
        </row>
        <row r="425">
          <cell r="A425">
            <v>112480</v>
          </cell>
          <cell r="B425" t="str">
            <v>63000843-1</v>
          </cell>
        </row>
        <row r="426">
          <cell r="A426">
            <v>112479</v>
          </cell>
          <cell r="B426" t="str">
            <v>63000415-1</v>
          </cell>
        </row>
        <row r="427">
          <cell r="A427">
            <v>112478</v>
          </cell>
          <cell r="B427" t="str">
            <v>63000024-5</v>
          </cell>
        </row>
        <row r="428">
          <cell r="A428">
            <v>112477</v>
          </cell>
          <cell r="B428" t="str">
            <v>63000024-4</v>
          </cell>
        </row>
        <row r="429">
          <cell r="A429">
            <v>112476</v>
          </cell>
          <cell r="B429" t="str">
            <v>63000024-3</v>
          </cell>
        </row>
        <row r="430">
          <cell r="A430">
            <v>112475</v>
          </cell>
          <cell r="B430" t="str">
            <v>63000023-3</v>
          </cell>
        </row>
        <row r="431">
          <cell r="A431">
            <v>112474</v>
          </cell>
          <cell r="B431" t="str">
            <v>3185844-1</v>
          </cell>
        </row>
        <row r="432">
          <cell r="A432">
            <v>112473</v>
          </cell>
          <cell r="B432" t="str">
            <v>3185552-1</v>
          </cell>
        </row>
        <row r="433">
          <cell r="A433">
            <v>112472</v>
          </cell>
          <cell r="B433" t="str">
            <v>3181785-1</v>
          </cell>
        </row>
        <row r="434">
          <cell r="A434">
            <v>112471</v>
          </cell>
          <cell r="B434" t="str">
            <v>3179509-1</v>
          </cell>
        </row>
        <row r="435">
          <cell r="A435">
            <v>112470</v>
          </cell>
          <cell r="B435" t="str">
            <v>3179417-2</v>
          </cell>
        </row>
        <row r="436">
          <cell r="A436">
            <v>112469</v>
          </cell>
          <cell r="B436" t="str">
            <v>3176812-4</v>
          </cell>
        </row>
        <row r="437">
          <cell r="A437">
            <v>112468</v>
          </cell>
          <cell r="B437" t="str">
            <v>3176289-2</v>
          </cell>
        </row>
        <row r="438">
          <cell r="A438">
            <v>112467</v>
          </cell>
          <cell r="B438" t="str">
            <v>3172879-2</v>
          </cell>
        </row>
        <row r="439">
          <cell r="A439">
            <v>112466</v>
          </cell>
          <cell r="B439" t="str">
            <v>974353-7</v>
          </cell>
        </row>
        <row r="440">
          <cell r="A440">
            <v>112465</v>
          </cell>
          <cell r="B440" t="str">
            <v>974353-6</v>
          </cell>
        </row>
        <row r="441">
          <cell r="A441">
            <v>112464</v>
          </cell>
          <cell r="B441" t="str">
            <v>974353-4</v>
          </cell>
        </row>
        <row r="442">
          <cell r="A442">
            <v>112463</v>
          </cell>
          <cell r="B442" t="str">
            <v>941V114</v>
          </cell>
        </row>
        <row r="443">
          <cell r="A443">
            <v>112462</v>
          </cell>
          <cell r="B443" t="str">
            <v>882290-1</v>
          </cell>
        </row>
        <row r="444">
          <cell r="A444">
            <v>112461</v>
          </cell>
          <cell r="B444" t="str">
            <v>881787-41</v>
          </cell>
        </row>
        <row r="445">
          <cell r="A445">
            <v>112460</v>
          </cell>
          <cell r="B445" t="str">
            <v>881787-26</v>
          </cell>
        </row>
        <row r="446">
          <cell r="A446">
            <v>112459</v>
          </cell>
          <cell r="B446" t="str">
            <v>881787-23</v>
          </cell>
        </row>
        <row r="447">
          <cell r="A447">
            <v>112458</v>
          </cell>
          <cell r="B447" t="str">
            <v>881256-5</v>
          </cell>
        </row>
        <row r="448">
          <cell r="A448">
            <v>112457</v>
          </cell>
          <cell r="B448" t="str">
            <v>881256-13</v>
          </cell>
        </row>
        <row r="449">
          <cell r="A449">
            <v>112456</v>
          </cell>
          <cell r="B449" t="str">
            <v>859989-9</v>
          </cell>
        </row>
        <row r="450">
          <cell r="A450">
            <v>112455</v>
          </cell>
          <cell r="B450" t="str">
            <v>859989-80</v>
          </cell>
        </row>
        <row r="451">
          <cell r="A451">
            <v>112454</v>
          </cell>
          <cell r="B451" t="str">
            <v>859989-76</v>
          </cell>
        </row>
        <row r="452">
          <cell r="A452">
            <v>112453</v>
          </cell>
          <cell r="B452" t="str">
            <v>859989-74</v>
          </cell>
        </row>
        <row r="453">
          <cell r="A453">
            <v>112452</v>
          </cell>
          <cell r="B453" t="str">
            <v>859989-73</v>
          </cell>
        </row>
        <row r="454">
          <cell r="A454">
            <v>112451</v>
          </cell>
          <cell r="B454" t="str">
            <v>859989-71</v>
          </cell>
        </row>
        <row r="455">
          <cell r="A455">
            <v>112450</v>
          </cell>
          <cell r="B455" t="str">
            <v>859989-68</v>
          </cell>
        </row>
        <row r="456">
          <cell r="A456">
            <v>112449</v>
          </cell>
          <cell r="B456" t="str">
            <v>859989-67</v>
          </cell>
        </row>
        <row r="457">
          <cell r="A457">
            <v>112448</v>
          </cell>
          <cell r="B457" t="str">
            <v>859989-64</v>
          </cell>
        </row>
        <row r="458">
          <cell r="A458">
            <v>112447</v>
          </cell>
          <cell r="B458" t="str">
            <v>859989-60</v>
          </cell>
        </row>
        <row r="459">
          <cell r="A459">
            <v>112446</v>
          </cell>
          <cell r="B459" t="str">
            <v>859989-59</v>
          </cell>
        </row>
        <row r="460">
          <cell r="A460">
            <v>112445</v>
          </cell>
          <cell r="B460" t="str">
            <v>859989-58</v>
          </cell>
        </row>
        <row r="461">
          <cell r="A461">
            <v>112444</v>
          </cell>
          <cell r="B461" t="str">
            <v>859989-57</v>
          </cell>
        </row>
        <row r="462">
          <cell r="A462">
            <v>112443</v>
          </cell>
          <cell r="B462" t="str">
            <v>859989-53</v>
          </cell>
        </row>
        <row r="463">
          <cell r="A463">
            <v>112442</v>
          </cell>
          <cell r="B463" t="str">
            <v>859989-46</v>
          </cell>
        </row>
        <row r="464">
          <cell r="A464">
            <v>112441</v>
          </cell>
          <cell r="B464" t="str">
            <v>859989-45</v>
          </cell>
        </row>
        <row r="465">
          <cell r="A465">
            <v>112440</v>
          </cell>
          <cell r="B465" t="str">
            <v>859989-44</v>
          </cell>
        </row>
        <row r="466">
          <cell r="A466">
            <v>112439</v>
          </cell>
          <cell r="B466" t="str">
            <v>859989-41</v>
          </cell>
        </row>
        <row r="467">
          <cell r="A467">
            <v>112438</v>
          </cell>
          <cell r="B467" t="str">
            <v>859989-40</v>
          </cell>
        </row>
        <row r="468">
          <cell r="A468">
            <v>112437</v>
          </cell>
          <cell r="B468" t="str">
            <v>859989-39</v>
          </cell>
        </row>
        <row r="469">
          <cell r="A469">
            <v>112436</v>
          </cell>
          <cell r="B469" t="str">
            <v>859989-38</v>
          </cell>
        </row>
        <row r="470">
          <cell r="A470">
            <v>112435</v>
          </cell>
          <cell r="B470" t="str">
            <v>859989-35</v>
          </cell>
        </row>
        <row r="471">
          <cell r="A471">
            <v>112434</v>
          </cell>
          <cell r="B471" t="str">
            <v>859989-34</v>
          </cell>
        </row>
        <row r="472">
          <cell r="A472">
            <v>112433</v>
          </cell>
          <cell r="B472" t="str">
            <v>859989-33</v>
          </cell>
        </row>
        <row r="473">
          <cell r="A473">
            <v>112432</v>
          </cell>
          <cell r="B473" t="str">
            <v>859989-29</v>
          </cell>
        </row>
        <row r="474">
          <cell r="A474">
            <v>112431</v>
          </cell>
          <cell r="B474" t="str">
            <v>859989-28</v>
          </cell>
        </row>
        <row r="475">
          <cell r="A475">
            <v>112430</v>
          </cell>
          <cell r="B475" t="str">
            <v>859989-27</v>
          </cell>
        </row>
        <row r="476">
          <cell r="A476">
            <v>112429</v>
          </cell>
          <cell r="B476" t="str">
            <v>859989-24</v>
          </cell>
        </row>
        <row r="477">
          <cell r="A477">
            <v>112428</v>
          </cell>
          <cell r="B477" t="str">
            <v>859989-20</v>
          </cell>
        </row>
        <row r="478">
          <cell r="A478">
            <v>112427</v>
          </cell>
          <cell r="B478" t="str">
            <v>859989-11</v>
          </cell>
        </row>
        <row r="479">
          <cell r="A479">
            <v>112426</v>
          </cell>
          <cell r="B479" t="str">
            <v>858224-1</v>
          </cell>
        </row>
        <row r="480">
          <cell r="A480">
            <v>112425</v>
          </cell>
          <cell r="B480" t="str">
            <v>857374-7</v>
          </cell>
        </row>
        <row r="481">
          <cell r="A481">
            <v>112424</v>
          </cell>
          <cell r="B481" t="str">
            <v>857374-3</v>
          </cell>
        </row>
        <row r="482">
          <cell r="A482">
            <v>112423</v>
          </cell>
          <cell r="B482" t="str">
            <v>857374-14</v>
          </cell>
        </row>
        <row r="483">
          <cell r="A483">
            <v>112422</v>
          </cell>
          <cell r="B483" t="str">
            <v>83E01-1</v>
          </cell>
        </row>
        <row r="484">
          <cell r="A484">
            <v>112421</v>
          </cell>
          <cell r="B484" t="str">
            <v>82E95-1</v>
          </cell>
        </row>
        <row r="485">
          <cell r="A485">
            <v>112420</v>
          </cell>
          <cell r="B485" t="str">
            <v>82E94-1</v>
          </cell>
        </row>
        <row r="486">
          <cell r="A486">
            <v>112419</v>
          </cell>
          <cell r="B486" t="str">
            <v>82E91-1</v>
          </cell>
        </row>
        <row r="487">
          <cell r="A487">
            <v>112418</v>
          </cell>
          <cell r="B487" t="str">
            <v>81E49-1</v>
          </cell>
        </row>
        <row r="488">
          <cell r="A488">
            <v>112417</v>
          </cell>
          <cell r="B488" t="str">
            <v>81E48-1</v>
          </cell>
        </row>
        <row r="489">
          <cell r="A489">
            <v>112416</v>
          </cell>
          <cell r="B489" t="str">
            <v>81E47-1</v>
          </cell>
        </row>
        <row r="490">
          <cell r="A490">
            <v>112415</v>
          </cell>
          <cell r="B490" t="str">
            <v>81E00-1</v>
          </cell>
        </row>
        <row r="491">
          <cell r="A491">
            <v>112414</v>
          </cell>
          <cell r="B491" t="str">
            <v>80E98-1</v>
          </cell>
        </row>
        <row r="492">
          <cell r="A492">
            <v>112413</v>
          </cell>
          <cell r="B492" t="str">
            <v>801372-2</v>
          </cell>
        </row>
        <row r="493">
          <cell r="A493">
            <v>112412</v>
          </cell>
          <cell r="B493" t="str">
            <v>801372-1</v>
          </cell>
        </row>
        <row r="494">
          <cell r="A494">
            <v>112411</v>
          </cell>
          <cell r="B494" t="str">
            <v>79E34-1</v>
          </cell>
        </row>
        <row r="495">
          <cell r="A495">
            <v>112410</v>
          </cell>
          <cell r="B495" t="str">
            <v>73D64</v>
          </cell>
        </row>
        <row r="496">
          <cell r="A496">
            <v>112409</v>
          </cell>
          <cell r="B496" t="str">
            <v>7206624-1</v>
          </cell>
        </row>
        <row r="497">
          <cell r="A497">
            <v>112408</v>
          </cell>
          <cell r="B497" t="str">
            <v>7206307-2</v>
          </cell>
        </row>
        <row r="498">
          <cell r="A498">
            <v>112407</v>
          </cell>
          <cell r="B498" t="str">
            <v>7206307-1</v>
          </cell>
        </row>
        <row r="499">
          <cell r="A499">
            <v>112406</v>
          </cell>
          <cell r="B499" t="str">
            <v>7206111-1</v>
          </cell>
        </row>
        <row r="500">
          <cell r="A500">
            <v>112405</v>
          </cell>
          <cell r="B500" t="str">
            <v>7205858-1</v>
          </cell>
        </row>
        <row r="501">
          <cell r="A501">
            <v>112404</v>
          </cell>
          <cell r="B501" t="str">
            <v>7205203-2</v>
          </cell>
        </row>
        <row r="502">
          <cell r="A502" t="str">
            <v>ST039581</v>
          </cell>
          <cell r="B502" t="str">
            <v>70131326-1//SS2</v>
          </cell>
        </row>
        <row r="503">
          <cell r="A503">
            <v>112403</v>
          </cell>
          <cell r="B503" t="str">
            <v>664761-8</v>
          </cell>
        </row>
        <row r="504">
          <cell r="A504">
            <v>112402</v>
          </cell>
          <cell r="B504" t="str">
            <v>63005306-1</v>
          </cell>
        </row>
        <row r="505">
          <cell r="A505">
            <v>112401</v>
          </cell>
          <cell r="B505" t="str">
            <v>63004012-2</v>
          </cell>
        </row>
        <row r="506">
          <cell r="A506">
            <v>112400</v>
          </cell>
          <cell r="B506" t="str">
            <v>63003615-1</v>
          </cell>
        </row>
        <row r="507">
          <cell r="A507">
            <v>112399</v>
          </cell>
          <cell r="B507" t="str">
            <v>63002956-2</v>
          </cell>
        </row>
        <row r="508">
          <cell r="A508">
            <v>112398</v>
          </cell>
          <cell r="B508" t="str">
            <v>63002927-2</v>
          </cell>
        </row>
        <row r="509">
          <cell r="A509">
            <v>112397</v>
          </cell>
          <cell r="B509" t="str">
            <v>63002919-1</v>
          </cell>
        </row>
        <row r="510">
          <cell r="A510">
            <v>112396</v>
          </cell>
          <cell r="B510" t="str">
            <v>63002889-6</v>
          </cell>
        </row>
        <row r="511">
          <cell r="A511">
            <v>112395</v>
          </cell>
          <cell r="B511" t="str">
            <v>63002871-6</v>
          </cell>
        </row>
        <row r="512">
          <cell r="A512">
            <v>112394</v>
          </cell>
          <cell r="B512" t="str">
            <v>63002310-1</v>
          </cell>
        </row>
        <row r="513">
          <cell r="A513">
            <v>112393</v>
          </cell>
          <cell r="B513" t="str">
            <v>63001090-1</v>
          </cell>
        </row>
        <row r="514">
          <cell r="A514">
            <v>112392</v>
          </cell>
          <cell r="B514" t="str">
            <v>63000868-1</v>
          </cell>
        </row>
        <row r="515">
          <cell r="A515">
            <v>112391</v>
          </cell>
          <cell r="B515" t="str">
            <v>63000867-1</v>
          </cell>
        </row>
        <row r="516">
          <cell r="A516">
            <v>112390</v>
          </cell>
          <cell r="B516" t="str">
            <v>63000866-1</v>
          </cell>
        </row>
        <row r="517">
          <cell r="A517">
            <v>112389</v>
          </cell>
          <cell r="B517" t="str">
            <v>63000788-1</v>
          </cell>
        </row>
        <row r="518">
          <cell r="A518">
            <v>112388</v>
          </cell>
          <cell r="B518" t="str">
            <v>63000632-1</v>
          </cell>
        </row>
        <row r="519">
          <cell r="A519">
            <v>112387</v>
          </cell>
          <cell r="B519" t="str">
            <v>63000629-1</v>
          </cell>
        </row>
        <row r="520">
          <cell r="A520">
            <v>112386</v>
          </cell>
          <cell r="B520" t="str">
            <v>63000627-1</v>
          </cell>
        </row>
        <row r="521">
          <cell r="A521">
            <v>112385</v>
          </cell>
          <cell r="B521" t="str">
            <v>63000441-2</v>
          </cell>
        </row>
        <row r="522">
          <cell r="A522">
            <v>112384</v>
          </cell>
          <cell r="B522" t="str">
            <v>63000394-1</v>
          </cell>
        </row>
        <row r="523">
          <cell r="A523">
            <v>112383</v>
          </cell>
          <cell r="B523" t="str">
            <v>63000216-1</v>
          </cell>
        </row>
        <row r="524">
          <cell r="A524">
            <v>112382</v>
          </cell>
          <cell r="B524" t="str">
            <v>63000031-2</v>
          </cell>
        </row>
        <row r="525">
          <cell r="A525">
            <v>112381</v>
          </cell>
          <cell r="B525" t="str">
            <v>540-1250-2</v>
          </cell>
        </row>
        <row r="526">
          <cell r="A526">
            <v>112380</v>
          </cell>
          <cell r="B526" t="str">
            <v>540-1247-2</v>
          </cell>
        </row>
        <row r="527">
          <cell r="A527">
            <v>112379</v>
          </cell>
          <cell r="B527" t="str">
            <v>540-1241-2</v>
          </cell>
        </row>
        <row r="528">
          <cell r="A528">
            <v>112378</v>
          </cell>
          <cell r="B528" t="str">
            <v>540-0772-1</v>
          </cell>
        </row>
        <row r="529">
          <cell r="A529">
            <v>112377</v>
          </cell>
          <cell r="B529" t="str">
            <v>540-0703-1</v>
          </cell>
        </row>
        <row r="530">
          <cell r="A530">
            <v>112376</v>
          </cell>
          <cell r="B530" t="str">
            <v>540-0694-1</v>
          </cell>
        </row>
        <row r="531">
          <cell r="A531">
            <v>112375</v>
          </cell>
          <cell r="B531" t="str">
            <v>540-0640-1</v>
          </cell>
        </row>
        <row r="532">
          <cell r="A532">
            <v>112374</v>
          </cell>
          <cell r="B532" t="str">
            <v>540-0589-1</v>
          </cell>
        </row>
        <row r="533">
          <cell r="A533">
            <v>112373</v>
          </cell>
          <cell r="B533" t="str">
            <v>41E10-1</v>
          </cell>
        </row>
        <row r="534">
          <cell r="A534">
            <v>112372</v>
          </cell>
          <cell r="B534" t="str">
            <v>4-081-276-01</v>
          </cell>
        </row>
        <row r="535">
          <cell r="A535">
            <v>112371</v>
          </cell>
          <cell r="B535" t="str">
            <v>3504551-2</v>
          </cell>
        </row>
        <row r="536">
          <cell r="A536">
            <v>112370</v>
          </cell>
          <cell r="B536" t="str">
            <v>3237768-1</v>
          </cell>
        </row>
        <row r="537">
          <cell r="A537">
            <v>112369</v>
          </cell>
          <cell r="B537" t="str">
            <v>3233823-3</v>
          </cell>
        </row>
        <row r="538">
          <cell r="A538">
            <v>112368</v>
          </cell>
          <cell r="B538" t="str">
            <v>3185852-1</v>
          </cell>
        </row>
        <row r="539">
          <cell r="A539">
            <v>112367</v>
          </cell>
          <cell r="B539" t="str">
            <v>3185841-1</v>
          </cell>
        </row>
        <row r="540">
          <cell r="A540">
            <v>112366</v>
          </cell>
          <cell r="B540" t="str">
            <v>3185578-2</v>
          </cell>
        </row>
        <row r="541">
          <cell r="A541">
            <v>112365</v>
          </cell>
          <cell r="B541" t="str">
            <v>3184882-2</v>
          </cell>
        </row>
        <row r="542">
          <cell r="A542">
            <v>112364</v>
          </cell>
          <cell r="B542" t="str">
            <v>3184882-1</v>
          </cell>
        </row>
        <row r="543">
          <cell r="A543">
            <v>112363</v>
          </cell>
          <cell r="B543" t="str">
            <v>3184657-1</v>
          </cell>
        </row>
        <row r="544">
          <cell r="A544">
            <v>112362</v>
          </cell>
          <cell r="B544" t="str">
            <v>3184656-1</v>
          </cell>
        </row>
        <row r="545">
          <cell r="A545">
            <v>112361</v>
          </cell>
          <cell r="B545" t="str">
            <v>3184528-1</v>
          </cell>
        </row>
        <row r="546">
          <cell r="A546">
            <v>112360</v>
          </cell>
          <cell r="B546" t="str">
            <v>3184349-1</v>
          </cell>
        </row>
        <row r="547">
          <cell r="A547">
            <v>112359</v>
          </cell>
          <cell r="B547" t="str">
            <v>3184298-1</v>
          </cell>
        </row>
        <row r="548">
          <cell r="A548">
            <v>112358</v>
          </cell>
          <cell r="B548" t="str">
            <v>3184062-1</v>
          </cell>
        </row>
        <row r="549">
          <cell r="A549">
            <v>112357</v>
          </cell>
          <cell r="B549" t="str">
            <v>3184061-3</v>
          </cell>
        </row>
        <row r="550">
          <cell r="A550">
            <v>112356</v>
          </cell>
          <cell r="B550" t="str">
            <v>3184061-1</v>
          </cell>
        </row>
        <row r="551">
          <cell r="A551">
            <v>112355</v>
          </cell>
          <cell r="B551" t="str">
            <v>3183889-1</v>
          </cell>
        </row>
        <row r="552">
          <cell r="A552">
            <v>112354</v>
          </cell>
          <cell r="B552" t="str">
            <v>3183623-1</v>
          </cell>
        </row>
        <row r="553">
          <cell r="A553">
            <v>112353</v>
          </cell>
          <cell r="B553" t="str">
            <v>3183622-1</v>
          </cell>
        </row>
        <row r="554">
          <cell r="A554">
            <v>112352</v>
          </cell>
          <cell r="B554" t="str">
            <v>3183621-1</v>
          </cell>
        </row>
        <row r="555">
          <cell r="A555">
            <v>112351</v>
          </cell>
          <cell r="B555" t="str">
            <v>3183264-1</v>
          </cell>
        </row>
        <row r="556">
          <cell r="A556">
            <v>112350</v>
          </cell>
          <cell r="B556" t="str">
            <v>3183263-1</v>
          </cell>
        </row>
        <row r="557">
          <cell r="A557">
            <v>112349</v>
          </cell>
          <cell r="B557" t="str">
            <v>3181988-2</v>
          </cell>
        </row>
        <row r="558">
          <cell r="A558">
            <v>112348</v>
          </cell>
          <cell r="B558" t="str">
            <v>3181459-1</v>
          </cell>
        </row>
        <row r="559">
          <cell r="A559">
            <v>112347</v>
          </cell>
          <cell r="B559" t="str">
            <v>3181453-1</v>
          </cell>
        </row>
        <row r="560">
          <cell r="A560">
            <v>112346</v>
          </cell>
          <cell r="B560" t="str">
            <v>3181438-1</v>
          </cell>
        </row>
        <row r="561">
          <cell r="A561">
            <v>112345</v>
          </cell>
          <cell r="B561" t="str">
            <v>3181385-1</v>
          </cell>
        </row>
        <row r="562">
          <cell r="A562">
            <v>112344</v>
          </cell>
          <cell r="B562" t="str">
            <v>3181236-1</v>
          </cell>
        </row>
        <row r="563">
          <cell r="A563">
            <v>112343</v>
          </cell>
          <cell r="B563" t="str">
            <v>3181165-1</v>
          </cell>
        </row>
        <row r="564">
          <cell r="A564">
            <v>112342</v>
          </cell>
          <cell r="B564" t="str">
            <v>3180324-1</v>
          </cell>
        </row>
        <row r="565">
          <cell r="A565">
            <v>112341</v>
          </cell>
          <cell r="B565" t="str">
            <v>3180321-2</v>
          </cell>
        </row>
        <row r="566">
          <cell r="A566">
            <v>112340</v>
          </cell>
          <cell r="B566" t="str">
            <v>3180019-1</v>
          </cell>
        </row>
        <row r="567">
          <cell r="A567">
            <v>112339</v>
          </cell>
          <cell r="B567" t="str">
            <v>3180013-8</v>
          </cell>
        </row>
        <row r="568">
          <cell r="A568">
            <v>112338</v>
          </cell>
          <cell r="B568" t="str">
            <v>3180013-7</v>
          </cell>
        </row>
        <row r="569">
          <cell r="A569">
            <v>112337</v>
          </cell>
          <cell r="B569" t="str">
            <v>3180013-3</v>
          </cell>
        </row>
        <row r="570">
          <cell r="A570">
            <v>112336</v>
          </cell>
          <cell r="B570" t="str">
            <v>3179816-1</v>
          </cell>
        </row>
        <row r="571">
          <cell r="A571">
            <v>112335</v>
          </cell>
          <cell r="B571" t="str">
            <v>3179755-1</v>
          </cell>
        </row>
        <row r="572">
          <cell r="A572">
            <v>112334</v>
          </cell>
          <cell r="B572" t="str">
            <v>3179726-1</v>
          </cell>
        </row>
        <row r="573">
          <cell r="A573">
            <v>112333</v>
          </cell>
          <cell r="B573" t="str">
            <v>3179705-2</v>
          </cell>
        </row>
        <row r="574">
          <cell r="A574">
            <v>112332</v>
          </cell>
          <cell r="B574" t="str">
            <v>3179705-1</v>
          </cell>
        </row>
        <row r="575">
          <cell r="A575">
            <v>112331</v>
          </cell>
          <cell r="B575" t="str">
            <v>3179656-1</v>
          </cell>
        </row>
        <row r="576">
          <cell r="A576">
            <v>112330</v>
          </cell>
          <cell r="B576" t="str">
            <v>3179387-3</v>
          </cell>
        </row>
        <row r="577">
          <cell r="A577">
            <v>112329</v>
          </cell>
          <cell r="B577" t="str">
            <v>3179387-2</v>
          </cell>
        </row>
        <row r="578">
          <cell r="A578">
            <v>112328</v>
          </cell>
          <cell r="B578" t="str">
            <v>3179386-3</v>
          </cell>
        </row>
        <row r="579">
          <cell r="A579">
            <v>112327</v>
          </cell>
          <cell r="B579" t="str">
            <v>3179386-2</v>
          </cell>
        </row>
        <row r="580">
          <cell r="A580">
            <v>112326</v>
          </cell>
          <cell r="B580" t="str">
            <v>3178469-1</v>
          </cell>
        </row>
        <row r="581">
          <cell r="A581">
            <v>112325</v>
          </cell>
          <cell r="B581" t="str">
            <v>3178234-1</v>
          </cell>
        </row>
        <row r="582">
          <cell r="A582">
            <v>112324</v>
          </cell>
          <cell r="B582" t="str">
            <v>3177980-3</v>
          </cell>
        </row>
        <row r="583">
          <cell r="A583">
            <v>112323</v>
          </cell>
          <cell r="B583" t="str">
            <v>3177980-2</v>
          </cell>
        </row>
        <row r="584">
          <cell r="A584">
            <v>112322</v>
          </cell>
          <cell r="B584" t="str">
            <v>3177980-1</v>
          </cell>
        </row>
        <row r="585">
          <cell r="A585">
            <v>112321</v>
          </cell>
          <cell r="B585" t="str">
            <v>3177905-1</v>
          </cell>
        </row>
        <row r="586">
          <cell r="A586">
            <v>112320</v>
          </cell>
          <cell r="B586" t="str">
            <v>3177892-1</v>
          </cell>
        </row>
        <row r="587">
          <cell r="A587">
            <v>112319</v>
          </cell>
          <cell r="B587" t="str">
            <v>3177891-1</v>
          </cell>
        </row>
        <row r="588">
          <cell r="A588">
            <v>112318</v>
          </cell>
          <cell r="B588" t="str">
            <v>3177890-1</v>
          </cell>
        </row>
        <row r="589">
          <cell r="A589">
            <v>112317</v>
          </cell>
          <cell r="B589" t="str">
            <v>3177889-1</v>
          </cell>
        </row>
        <row r="590">
          <cell r="A590">
            <v>112316</v>
          </cell>
          <cell r="B590" t="str">
            <v>3177438-1</v>
          </cell>
        </row>
        <row r="591">
          <cell r="A591">
            <v>112315</v>
          </cell>
          <cell r="B591" t="str">
            <v>3177136-1</v>
          </cell>
        </row>
        <row r="592">
          <cell r="A592">
            <v>112314</v>
          </cell>
          <cell r="B592" t="str">
            <v>3177071-1</v>
          </cell>
        </row>
        <row r="593">
          <cell r="A593">
            <v>112313</v>
          </cell>
          <cell r="B593" t="str">
            <v>3176617-1</v>
          </cell>
        </row>
        <row r="594">
          <cell r="A594">
            <v>112312</v>
          </cell>
          <cell r="B594" t="str">
            <v>3176616-1</v>
          </cell>
        </row>
        <row r="595">
          <cell r="A595">
            <v>112311</v>
          </cell>
          <cell r="B595" t="str">
            <v>3176473-1</v>
          </cell>
        </row>
        <row r="596">
          <cell r="A596">
            <v>112310</v>
          </cell>
          <cell r="B596" t="str">
            <v>3176343-2</v>
          </cell>
        </row>
        <row r="597">
          <cell r="A597">
            <v>112309</v>
          </cell>
          <cell r="B597" t="str">
            <v>3176343-1</v>
          </cell>
        </row>
        <row r="598">
          <cell r="A598">
            <v>112308</v>
          </cell>
          <cell r="B598" t="str">
            <v>3176306-6</v>
          </cell>
        </row>
        <row r="599">
          <cell r="A599">
            <v>112307</v>
          </cell>
          <cell r="B599" t="str">
            <v>3176306-5</v>
          </cell>
        </row>
        <row r="600">
          <cell r="A600">
            <v>112306</v>
          </cell>
          <cell r="B600" t="str">
            <v>3176306-4</v>
          </cell>
        </row>
        <row r="601">
          <cell r="A601">
            <v>112305</v>
          </cell>
          <cell r="B601" t="str">
            <v>3176289-1</v>
          </cell>
        </row>
        <row r="602">
          <cell r="A602">
            <v>112304</v>
          </cell>
          <cell r="B602" t="str">
            <v>3174599-2</v>
          </cell>
        </row>
        <row r="603">
          <cell r="A603">
            <v>112303</v>
          </cell>
          <cell r="B603" t="str">
            <v>3174599-1</v>
          </cell>
        </row>
        <row r="604">
          <cell r="A604">
            <v>112302</v>
          </cell>
          <cell r="B604" t="str">
            <v>3173939-5</v>
          </cell>
        </row>
        <row r="605">
          <cell r="A605">
            <v>112301</v>
          </cell>
          <cell r="B605" t="str">
            <v>3173939-2</v>
          </cell>
        </row>
        <row r="606">
          <cell r="A606">
            <v>112300</v>
          </cell>
          <cell r="B606" t="str">
            <v>3172879-1</v>
          </cell>
        </row>
        <row r="607">
          <cell r="A607">
            <v>112299</v>
          </cell>
          <cell r="B607" t="str">
            <v>3171622-3</v>
          </cell>
        </row>
        <row r="608">
          <cell r="A608">
            <v>112298</v>
          </cell>
          <cell r="B608" t="str">
            <v>3171618-1</v>
          </cell>
        </row>
        <row r="609">
          <cell r="A609">
            <v>112297</v>
          </cell>
          <cell r="B609" t="str">
            <v>3171476-6</v>
          </cell>
        </row>
        <row r="610">
          <cell r="A610">
            <v>112296</v>
          </cell>
          <cell r="B610" t="str">
            <v>3171476-5</v>
          </cell>
        </row>
        <row r="611">
          <cell r="A611">
            <v>112295</v>
          </cell>
          <cell r="B611" t="str">
            <v>3171476-2</v>
          </cell>
        </row>
        <row r="612">
          <cell r="A612">
            <v>112294</v>
          </cell>
          <cell r="B612" t="str">
            <v>3171476-1</v>
          </cell>
        </row>
        <row r="613">
          <cell r="A613">
            <v>112293</v>
          </cell>
          <cell r="B613" t="str">
            <v>3170746-7</v>
          </cell>
        </row>
        <row r="614">
          <cell r="A614">
            <v>112292</v>
          </cell>
          <cell r="B614" t="str">
            <v>3170404-2</v>
          </cell>
        </row>
        <row r="615">
          <cell r="A615">
            <v>112291</v>
          </cell>
          <cell r="B615" t="str">
            <v>3170031-1</v>
          </cell>
        </row>
        <row r="616">
          <cell r="A616">
            <v>112290</v>
          </cell>
          <cell r="B616" t="str">
            <v>3169853-1</v>
          </cell>
        </row>
        <row r="617">
          <cell r="A617">
            <v>112289</v>
          </cell>
          <cell r="B617" t="str">
            <v>3169487-4</v>
          </cell>
        </row>
        <row r="618">
          <cell r="A618">
            <v>112288</v>
          </cell>
          <cell r="B618" t="str">
            <v>3169487-3</v>
          </cell>
        </row>
        <row r="619">
          <cell r="A619">
            <v>112287</v>
          </cell>
          <cell r="B619" t="str">
            <v>3168727-2</v>
          </cell>
        </row>
        <row r="620">
          <cell r="A620">
            <v>112286</v>
          </cell>
          <cell r="B620" t="str">
            <v>3168724-1</v>
          </cell>
        </row>
        <row r="621">
          <cell r="A621">
            <v>112285</v>
          </cell>
          <cell r="B621" t="str">
            <v>3164790-5</v>
          </cell>
        </row>
        <row r="622">
          <cell r="A622">
            <v>112284</v>
          </cell>
          <cell r="B622" t="str">
            <v>3163549-5</v>
          </cell>
        </row>
        <row r="623">
          <cell r="A623">
            <v>112283</v>
          </cell>
          <cell r="B623" t="str">
            <v>3163268-9</v>
          </cell>
        </row>
        <row r="624">
          <cell r="A624">
            <v>112282</v>
          </cell>
          <cell r="B624" t="str">
            <v>3163268-8</v>
          </cell>
        </row>
        <row r="625">
          <cell r="A625">
            <v>112281</v>
          </cell>
          <cell r="B625" t="str">
            <v>3163268-4</v>
          </cell>
        </row>
        <row r="626">
          <cell r="A626">
            <v>112280</v>
          </cell>
          <cell r="B626" t="str">
            <v>3163268-2</v>
          </cell>
        </row>
        <row r="627">
          <cell r="A627">
            <v>112279</v>
          </cell>
          <cell r="B627" t="str">
            <v>3163268-11</v>
          </cell>
        </row>
        <row r="628">
          <cell r="A628">
            <v>112278</v>
          </cell>
          <cell r="B628" t="str">
            <v>3163268-10</v>
          </cell>
        </row>
        <row r="629">
          <cell r="A629">
            <v>112277</v>
          </cell>
          <cell r="B629" t="str">
            <v>3163268-1</v>
          </cell>
        </row>
        <row r="630">
          <cell r="A630">
            <v>112276</v>
          </cell>
          <cell r="B630" t="str">
            <v>3162926-8</v>
          </cell>
        </row>
        <row r="631">
          <cell r="A631">
            <v>112275</v>
          </cell>
          <cell r="B631" t="str">
            <v>3162926-5</v>
          </cell>
        </row>
        <row r="632">
          <cell r="A632">
            <v>112274</v>
          </cell>
          <cell r="B632" t="str">
            <v>3162926-4</v>
          </cell>
        </row>
        <row r="633">
          <cell r="A633">
            <v>112273</v>
          </cell>
          <cell r="B633" t="str">
            <v>3162926-3</v>
          </cell>
        </row>
        <row r="634">
          <cell r="A634">
            <v>112272</v>
          </cell>
          <cell r="B634" t="str">
            <v>3160737-1</v>
          </cell>
        </row>
        <row r="635">
          <cell r="A635">
            <v>112271</v>
          </cell>
          <cell r="B635" t="str">
            <v>3092047-4</v>
          </cell>
        </row>
        <row r="636">
          <cell r="A636">
            <v>112270</v>
          </cell>
          <cell r="B636" t="str">
            <v>3035100-2</v>
          </cell>
        </row>
        <row r="637">
          <cell r="A637">
            <v>112269</v>
          </cell>
          <cell r="B637" t="str">
            <v>118334-4</v>
          </cell>
        </row>
        <row r="638">
          <cell r="A638">
            <v>112268</v>
          </cell>
          <cell r="B638" t="str">
            <v>118334-3</v>
          </cell>
        </row>
        <row r="639">
          <cell r="A639">
            <v>112267</v>
          </cell>
          <cell r="B639" t="str">
            <v>1110V0514</v>
          </cell>
        </row>
        <row r="640">
          <cell r="A640">
            <v>112266</v>
          </cell>
          <cell r="B640" t="str">
            <v>1058V0201</v>
          </cell>
        </row>
        <row r="641">
          <cell r="A641" t="str">
            <v>ST040335</v>
          </cell>
          <cell r="B641" t="str">
            <v>3238673-1</v>
          </cell>
        </row>
        <row r="642">
          <cell r="A642" t="str">
            <v>ST040336</v>
          </cell>
          <cell r="B642" t="str">
            <v>3238674-1</v>
          </cell>
        </row>
        <row r="643">
          <cell r="A643" t="str">
            <v>ST028382</v>
          </cell>
          <cell r="B643" t="str">
            <v>146402-2</v>
          </cell>
        </row>
        <row r="644">
          <cell r="A644" t="str">
            <v>ST028390</v>
          </cell>
          <cell r="B644" t="str">
            <v>1532650-3</v>
          </cell>
        </row>
        <row r="645">
          <cell r="A645" t="str">
            <v>ST028391</v>
          </cell>
          <cell r="B645" t="str">
            <v>1549243-2</v>
          </cell>
        </row>
        <row r="646">
          <cell r="A646" t="str">
            <v>ST028392</v>
          </cell>
          <cell r="B646" t="str">
            <v>1580453-1</v>
          </cell>
        </row>
        <row r="647">
          <cell r="A647" t="str">
            <v>ST028397</v>
          </cell>
          <cell r="B647" t="str">
            <v>2205783-3</v>
          </cell>
        </row>
        <row r="648">
          <cell r="A648" t="str">
            <v>ST028398</v>
          </cell>
          <cell r="B648" t="str">
            <v>2205783-4</v>
          </cell>
        </row>
        <row r="649">
          <cell r="A649" t="str">
            <v>ST028399</v>
          </cell>
          <cell r="B649" t="str">
            <v>2205793-2</v>
          </cell>
        </row>
        <row r="650">
          <cell r="A650" t="str">
            <v>ST028400</v>
          </cell>
          <cell r="B650" t="str">
            <v>2205956-2</v>
          </cell>
        </row>
        <row r="651">
          <cell r="A651" t="str">
            <v>ST028402</v>
          </cell>
          <cell r="B651" t="str">
            <v>2215479-1</v>
          </cell>
        </row>
        <row r="652">
          <cell r="A652" t="str">
            <v>ST028403</v>
          </cell>
          <cell r="B652" t="str">
            <v>2215627-3</v>
          </cell>
        </row>
        <row r="653">
          <cell r="A653" t="str">
            <v>ST028404</v>
          </cell>
          <cell r="B653" t="str">
            <v>2215628-3</v>
          </cell>
        </row>
        <row r="654">
          <cell r="A654" t="str">
            <v>ST028405</v>
          </cell>
          <cell r="B654" t="str">
            <v>2215628-4</v>
          </cell>
        </row>
        <row r="655">
          <cell r="A655" t="str">
            <v>ST028419</v>
          </cell>
          <cell r="B655" t="str">
            <v>3168574-2</v>
          </cell>
        </row>
        <row r="656">
          <cell r="A656" t="str">
            <v>ST028421</v>
          </cell>
          <cell r="B656" t="str">
            <v>3174774-1</v>
          </cell>
        </row>
        <row r="657">
          <cell r="A657" t="str">
            <v>ST028422</v>
          </cell>
          <cell r="B657" t="str">
            <v>3175313-1</v>
          </cell>
        </row>
        <row r="658">
          <cell r="A658" t="str">
            <v>ST028424</v>
          </cell>
          <cell r="B658" t="str">
            <v>3179512-3</v>
          </cell>
        </row>
        <row r="659">
          <cell r="A659" t="str">
            <v>ST028426</v>
          </cell>
          <cell r="B659" t="str">
            <v>3179516-1</v>
          </cell>
        </row>
        <row r="660">
          <cell r="A660" t="str">
            <v>ST028432</v>
          </cell>
          <cell r="B660" t="str">
            <v>3507663-1</v>
          </cell>
        </row>
        <row r="661">
          <cell r="A661" t="str">
            <v>ST028433</v>
          </cell>
          <cell r="B661" t="str">
            <v>3507874-1</v>
          </cell>
        </row>
        <row r="662">
          <cell r="A662" t="str">
            <v>ST028434</v>
          </cell>
          <cell r="B662" t="str">
            <v>3610898-1</v>
          </cell>
        </row>
        <row r="663">
          <cell r="A663" t="str">
            <v>ST028435</v>
          </cell>
          <cell r="B663" t="str">
            <v>3810794-2</v>
          </cell>
        </row>
        <row r="664">
          <cell r="A664" t="str">
            <v>ST028436</v>
          </cell>
          <cell r="B664" t="str">
            <v>3826680-2</v>
          </cell>
        </row>
        <row r="665">
          <cell r="A665" t="str">
            <v>ST028437</v>
          </cell>
          <cell r="B665" t="str">
            <v>3827041-1</v>
          </cell>
        </row>
        <row r="666">
          <cell r="A666" t="str">
            <v>ST028463</v>
          </cell>
          <cell r="B666" t="str">
            <v>67412851-1</v>
          </cell>
        </row>
        <row r="667">
          <cell r="A667" t="str">
            <v>ST028468</v>
          </cell>
          <cell r="B667" t="str">
            <v>7002268-7</v>
          </cell>
        </row>
        <row r="668">
          <cell r="A668" t="str">
            <v>ST028469</v>
          </cell>
          <cell r="B668" t="str">
            <v>7002269-3</v>
          </cell>
        </row>
        <row r="669">
          <cell r="A669" t="str">
            <v>ST028470</v>
          </cell>
          <cell r="B669" t="str">
            <v>7029946-1</v>
          </cell>
        </row>
        <row r="670">
          <cell r="A670" t="str">
            <v>ST028508</v>
          </cell>
          <cell r="B670" t="str">
            <v>1549240-1</v>
          </cell>
        </row>
        <row r="671">
          <cell r="A671" t="str">
            <v>ST028515</v>
          </cell>
          <cell r="B671" t="str">
            <v>1581044-1</v>
          </cell>
        </row>
        <row r="672">
          <cell r="A672" t="str">
            <v>ST028516</v>
          </cell>
          <cell r="B672" t="str">
            <v>1581340-1</v>
          </cell>
        </row>
        <row r="673">
          <cell r="A673" t="str">
            <v>ST028520</v>
          </cell>
          <cell r="B673" t="str">
            <v>1595480-1</v>
          </cell>
        </row>
        <row r="674">
          <cell r="A674" t="str">
            <v>ST028528</v>
          </cell>
          <cell r="B674" t="str">
            <v>189145</v>
          </cell>
        </row>
        <row r="675">
          <cell r="A675" t="str">
            <v>ST028530</v>
          </cell>
          <cell r="B675" t="str">
            <v>192162</v>
          </cell>
        </row>
        <row r="676">
          <cell r="A676" t="str">
            <v>ST028534</v>
          </cell>
          <cell r="B676" t="str">
            <v>195990</v>
          </cell>
        </row>
        <row r="677">
          <cell r="A677" t="str">
            <v>ST028578</v>
          </cell>
          <cell r="B677" t="str">
            <v>2210228-3</v>
          </cell>
        </row>
        <row r="678">
          <cell r="A678" t="str">
            <v>ST028593</v>
          </cell>
          <cell r="B678" t="str">
            <v>2302327-1</v>
          </cell>
        </row>
        <row r="679">
          <cell r="A679" t="str">
            <v>ST028644</v>
          </cell>
          <cell r="B679" t="str">
            <v>2529552</v>
          </cell>
        </row>
        <row r="680">
          <cell r="A680" t="str">
            <v>ST028650</v>
          </cell>
          <cell r="B680" t="str">
            <v>2529669</v>
          </cell>
        </row>
        <row r="681">
          <cell r="A681" t="str">
            <v>ST028660</v>
          </cell>
          <cell r="B681" t="str">
            <v>2538792</v>
          </cell>
        </row>
        <row r="682">
          <cell r="A682" t="str">
            <v>ST028687</v>
          </cell>
          <cell r="B682" t="str">
            <v>2608063</v>
          </cell>
        </row>
        <row r="683">
          <cell r="A683" t="str">
            <v>ST028698</v>
          </cell>
          <cell r="B683" t="str">
            <v>2616986</v>
          </cell>
        </row>
        <row r="684">
          <cell r="A684" t="str">
            <v>ST028699</v>
          </cell>
          <cell r="B684" t="str">
            <v>2627060</v>
          </cell>
        </row>
        <row r="685">
          <cell r="A685" t="str">
            <v>ST028700</v>
          </cell>
          <cell r="B685" t="str">
            <v>2632779</v>
          </cell>
        </row>
        <row r="686">
          <cell r="A686" t="str">
            <v>ST028703</v>
          </cell>
          <cell r="B686" t="str">
            <v>2650978</v>
          </cell>
        </row>
        <row r="687">
          <cell r="A687" t="str">
            <v>ST028707</v>
          </cell>
          <cell r="B687" t="str">
            <v>2654696</v>
          </cell>
        </row>
        <row r="688">
          <cell r="A688" t="str">
            <v>ST028713</v>
          </cell>
          <cell r="B688" t="str">
            <v>2665427</v>
          </cell>
        </row>
        <row r="689">
          <cell r="A689" t="str">
            <v>ST028720</v>
          </cell>
          <cell r="B689" t="str">
            <v>2674685</v>
          </cell>
        </row>
        <row r="690">
          <cell r="A690" t="str">
            <v>ST028729</v>
          </cell>
          <cell r="B690" t="str">
            <v>2680778</v>
          </cell>
        </row>
        <row r="691">
          <cell r="A691" t="str">
            <v>ST028730</v>
          </cell>
          <cell r="B691" t="str">
            <v>2681220-005</v>
          </cell>
        </row>
        <row r="692">
          <cell r="A692" t="str">
            <v>ST028732</v>
          </cell>
          <cell r="B692" t="str">
            <v>2681747</v>
          </cell>
        </row>
        <row r="693">
          <cell r="A693" t="str">
            <v>ST028735</v>
          </cell>
          <cell r="B693" t="str">
            <v>2681872-018</v>
          </cell>
        </row>
        <row r="694">
          <cell r="A694" t="str">
            <v>ST028738</v>
          </cell>
          <cell r="B694" t="str">
            <v>2681872-030</v>
          </cell>
        </row>
        <row r="695">
          <cell r="A695" t="str">
            <v>ST028747</v>
          </cell>
          <cell r="B695" t="str">
            <v>2682742</v>
          </cell>
        </row>
        <row r="696">
          <cell r="A696" t="str">
            <v>ST028760</v>
          </cell>
          <cell r="B696" t="str">
            <v>2684805-003</v>
          </cell>
        </row>
        <row r="697">
          <cell r="A697" t="str">
            <v>ST028761</v>
          </cell>
          <cell r="B697" t="str">
            <v>2684805-004</v>
          </cell>
        </row>
        <row r="698">
          <cell r="A698" t="str">
            <v>ST028766</v>
          </cell>
          <cell r="B698" t="str">
            <v>2684805-016</v>
          </cell>
        </row>
        <row r="699">
          <cell r="A699" t="str">
            <v>ST028769</v>
          </cell>
          <cell r="B699" t="str">
            <v>2684805-045</v>
          </cell>
        </row>
        <row r="700">
          <cell r="A700" t="str">
            <v>ST028770</v>
          </cell>
          <cell r="B700" t="str">
            <v>2684805-101</v>
          </cell>
        </row>
        <row r="701">
          <cell r="A701" t="str">
            <v>ST028776</v>
          </cell>
          <cell r="B701" t="str">
            <v>2684805-115</v>
          </cell>
        </row>
        <row r="702">
          <cell r="A702" t="str">
            <v>ST028777</v>
          </cell>
          <cell r="B702" t="str">
            <v>2684805-116</v>
          </cell>
        </row>
        <row r="703">
          <cell r="A703" t="str">
            <v>ST028783</v>
          </cell>
          <cell r="B703" t="str">
            <v>2684843</v>
          </cell>
        </row>
        <row r="704">
          <cell r="A704" t="str">
            <v>ST028785</v>
          </cell>
          <cell r="B704" t="str">
            <v>2686588</v>
          </cell>
        </row>
        <row r="705">
          <cell r="A705" t="str">
            <v>ST028786</v>
          </cell>
          <cell r="B705" t="str">
            <v>2686664</v>
          </cell>
        </row>
        <row r="706">
          <cell r="A706" t="str">
            <v>ST028798</v>
          </cell>
          <cell r="B706" t="str">
            <v>2688442-026</v>
          </cell>
        </row>
        <row r="707">
          <cell r="A707" t="str">
            <v>ST028805</v>
          </cell>
          <cell r="B707" t="str">
            <v>2689143-026</v>
          </cell>
        </row>
        <row r="708">
          <cell r="A708" t="str">
            <v>ST028810</v>
          </cell>
          <cell r="B708" t="str">
            <v>2690198</v>
          </cell>
        </row>
        <row r="709">
          <cell r="A709" t="str">
            <v>ST028812</v>
          </cell>
          <cell r="B709" t="str">
            <v>2690482</v>
          </cell>
        </row>
        <row r="710">
          <cell r="A710" t="str">
            <v>ST028880</v>
          </cell>
          <cell r="B710" t="str">
            <v>3060189-1</v>
          </cell>
        </row>
        <row r="711">
          <cell r="A711" t="str">
            <v>ST028885</v>
          </cell>
          <cell r="B711" t="str">
            <v>3070666-1</v>
          </cell>
        </row>
        <row r="712">
          <cell r="A712" t="str">
            <v>ST028896</v>
          </cell>
          <cell r="B712" t="str">
            <v>31-7602-2</v>
          </cell>
        </row>
        <row r="713">
          <cell r="A713" t="str">
            <v>ST028904</v>
          </cell>
          <cell r="B713" t="str">
            <v>3167966-9</v>
          </cell>
        </row>
        <row r="714">
          <cell r="A714" t="str">
            <v>ST028908</v>
          </cell>
          <cell r="B714" t="str">
            <v>3180945-1</v>
          </cell>
        </row>
        <row r="715">
          <cell r="A715" t="str">
            <v>ST028923</v>
          </cell>
          <cell r="B715" t="str">
            <v>3238457-3</v>
          </cell>
        </row>
        <row r="716">
          <cell r="A716" t="str">
            <v>ST028931</v>
          </cell>
          <cell r="B716" t="str">
            <v>3241806</v>
          </cell>
        </row>
        <row r="717">
          <cell r="A717" t="str">
            <v>ST028932</v>
          </cell>
          <cell r="B717" t="str">
            <v>3242039</v>
          </cell>
        </row>
        <row r="718">
          <cell r="A718" t="str">
            <v>ST028937</v>
          </cell>
          <cell r="B718" t="str">
            <v>3243953</v>
          </cell>
        </row>
        <row r="719">
          <cell r="A719" t="str">
            <v>ST028955</v>
          </cell>
          <cell r="B719" t="str">
            <v>3500395-5</v>
          </cell>
        </row>
        <row r="720">
          <cell r="A720" t="str">
            <v>ST028958</v>
          </cell>
          <cell r="B720" t="str">
            <v>3501687-1</v>
          </cell>
        </row>
        <row r="721">
          <cell r="A721" t="str">
            <v>ST028960</v>
          </cell>
          <cell r="B721" t="str">
            <v>3503175-1</v>
          </cell>
        </row>
        <row r="722">
          <cell r="A722" t="str">
            <v>ST028965</v>
          </cell>
          <cell r="B722" t="str">
            <v>3503662-2</v>
          </cell>
        </row>
        <row r="723">
          <cell r="A723" t="str">
            <v>ST028967</v>
          </cell>
          <cell r="B723" t="str">
            <v>3503823-2</v>
          </cell>
        </row>
        <row r="724">
          <cell r="A724" t="str">
            <v>ST028972</v>
          </cell>
          <cell r="B724" t="str">
            <v>3503962-1</v>
          </cell>
        </row>
        <row r="725">
          <cell r="A725" t="str">
            <v>ST028976</v>
          </cell>
          <cell r="B725" t="str">
            <v>3504759-1</v>
          </cell>
        </row>
        <row r="726">
          <cell r="A726" t="str">
            <v>ST028978</v>
          </cell>
          <cell r="B726" t="str">
            <v>3507208-1</v>
          </cell>
        </row>
        <row r="727">
          <cell r="A727" t="str">
            <v>ST028980</v>
          </cell>
          <cell r="B727" t="str">
            <v>3507472-1</v>
          </cell>
        </row>
        <row r="728">
          <cell r="A728" t="str">
            <v>ST028981</v>
          </cell>
          <cell r="B728" t="str">
            <v>3507538-1</v>
          </cell>
        </row>
        <row r="729">
          <cell r="A729" t="str">
            <v>ST028989</v>
          </cell>
          <cell r="B729" t="str">
            <v>3616296-1</v>
          </cell>
        </row>
        <row r="730">
          <cell r="A730" t="str">
            <v>ST029008</v>
          </cell>
          <cell r="B730" t="str">
            <v>3888345-1</v>
          </cell>
        </row>
        <row r="731">
          <cell r="A731" t="str">
            <v>ST029060</v>
          </cell>
          <cell r="B731" t="str">
            <v>626973</v>
          </cell>
        </row>
        <row r="732">
          <cell r="A732" t="str">
            <v>ST029066</v>
          </cell>
          <cell r="B732" t="str">
            <v>63005305-1</v>
          </cell>
        </row>
        <row r="733">
          <cell r="A733" t="str">
            <v>ST029068</v>
          </cell>
          <cell r="B733" t="str">
            <v>63508300-1</v>
          </cell>
        </row>
        <row r="734">
          <cell r="A734" t="str">
            <v>ST029070</v>
          </cell>
          <cell r="B734" t="str">
            <v>63508321-1</v>
          </cell>
        </row>
        <row r="735">
          <cell r="A735" t="str">
            <v>ST029071</v>
          </cell>
          <cell r="B735" t="str">
            <v>63508326-1</v>
          </cell>
        </row>
        <row r="736">
          <cell r="A736" t="str">
            <v>ST029074</v>
          </cell>
          <cell r="B736" t="str">
            <v>65051311-1</v>
          </cell>
        </row>
        <row r="737">
          <cell r="A737" t="str">
            <v>ST029125</v>
          </cell>
          <cell r="B737" t="str">
            <v>MP7016683-866K</v>
          </cell>
        </row>
        <row r="738">
          <cell r="A738" t="str">
            <v>ST029126</v>
          </cell>
          <cell r="B738" t="str">
            <v>7016683-966K</v>
          </cell>
        </row>
        <row r="739">
          <cell r="A739" t="str">
            <v>ST029132</v>
          </cell>
          <cell r="B739" t="str">
            <v>7027110-804K</v>
          </cell>
        </row>
        <row r="740">
          <cell r="A740" t="str">
            <v>ST029133</v>
          </cell>
          <cell r="B740" t="str">
            <v>7027110-904K</v>
          </cell>
        </row>
        <row r="741">
          <cell r="A741" t="str">
            <v>ST029173</v>
          </cell>
          <cell r="B741" t="str">
            <v>886001-1</v>
          </cell>
        </row>
        <row r="742">
          <cell r="A742" t="str">
            <v>ST029174</v>
          </cell>
          <cell r="B742" t="str">
            <v>886005-1</v>
          </cell>
        </row>
        <row r="743">
          <cell r="A743" t="str">
            <v>ST029179</v>
          </cell>
          <cell r="B743" t="str">
            <v>897319-1</v>
          </cell>
        </row>
        <row r="744">
          <cell r="A744" t="str">
            <v>ST032465</v>
          </cell>
          <cell r="B744" t="str">
            <v>2050973-1</v>
          </cell>
        </row>
        <row r="745">
          <cell r="A745" t="str">
            <v>ST032573</v>
          </cell>
          <cell r="B745" t="str">
            <v>SCD-90401215</v>
          </cell>
        </row>
        <row r="746">
          <cell r="A746" t="str">
            <v>ST032575</v>
          </cell>
          <cell r="B746" t="str">
            <v>SCD-90406174</v>
          </cell>
        </row>
        <row r="747">
          <cell r="A747" t="str">
            <v>ST032759</v>
          </cell>
          <cell r="B747" t="str">
            <v>1547873-1</v>
          </cell>
        </row>
        <row r="748">
          <cell r="A748" t="str">
            <v>ST032761</v>
          </cell>
          <cell r="B748" t="str">
            <v>3180246-1</v>
          </cell>
        </row>
        <row r="749">
          <cell r="A749" t="str">
            <v>ST032771</v>
          </cell>
          <cell r="B749" t="str">
            <v>3181301-2</v>
          </cell>
        </row>
        <row r="750">
          <cell r="A750">
            <v>112501</v>
          </cell>
          <cell r="B750" t="str">
            <v>137-045-9212</v>
          </cell>
        </row>
        <row r="751">
          <cell r="A751">
            <v>112502</v>
          </cell>
          <cell r="B751">
            <v>2663900</v>
          </cell>
        </row>
        <row r="752">
          <cell r="A752">
            <v>112503</v>
          </cell>
          <cell r="B752">
            <v>2663909</v>
          </cell>
        </row>
        <row r="753">
          <cell r="A753">
            <v>112504</v>
          </cell>
          <cell r="B753">
            <v>2663911</v>
          </cell>
        </row>
        <row r="754">
          <cell r="A754">
            <v>112505</v>
          </cell>
          <cell r="B754">
            <v>2663913</v>
          </cell>
        </row>
        <row r="755">
          <cell r="A755">
            <v>112506</v>
          </cell>
          <cell r="B755">
            <v>2664004</v>
          </cell>
        </row>
        <row r="756">
          <cell r="A756">
            <v>112507</v>
          </cell>
          <cell r="B756">
            <v>2669795</v>
          </cell>
        </row>
        <row r="757">
          <cell r="A757">
            <v>112508</v>
          </cell>
          <cell r="B757">
            <v>2669796</v>
          </cell>
        </row>
        <row r="758">
          <cell r="A758">
            <v>112509</v>
          </cell>
          <cell r="B758">
            <v>2671719</v>
          </cell>
        </row>
        <row r="759">
          <cell r="A759">
            <v>112510</v>
          </cell>
          <cell r="B759">
            <v>2684997</v>
          </cell>
        </row>
        <row r="760">
          <cell r="A760">
            <v>112511</v>
          </cell>
          <cell r="B760">
            <v>2686237</v>
          </cell>
        </row>
        <row r="761">
          <cell r="A761">
            <v>112512</v>
          </cell>
          <cell r="B761">
            <v>2686238</v>
          </cell>
        </row>
        <row r="762">
          <cell r="A762">
            <v>112513</v>
          </cell>
          <cell r="B762" t="str">
            <v>3179383-1</v>
          </cell>
        </row>
        <row r="763">
          <cell r="A763">
            <v>112514</v>
          </cell>
          <cell r="B763" t="str">
            <v>3233109-2</v>
          </cell>
        </row>
        <row r="764">
          <cell r="A764">
            <v>112515</v>
          </cell>
          <cell r="B764" t="str">
            <v>3234414-1</v>
          </cell>
        </row>
        <row r="765">
          <cell r="A765">
            <v>112516</v>
          </cell>
          <cell r="B765" t="str">
            <v>3237114-1</v>
          </cell>
        </row>
        <row r="766">
          <cell r="A766">
            <v>112517</v>
          </cell>
          <cell r="B766" t="str">
            <v>3238331-1</v>
          </cell>
        </row>
        <row r="767">
          <cell r="A767">
            <v>112518</v>
          </cell>
          <cell r="B767" t="str">
            <v>3501156-1</v>
          </cell>
        </row>
        <row r="768">
          <cell r="A768">
            <v>112519</v>
          </cell>
          <cell r="B768" t="str">
            <v>3501731-1</v>
          </cell>
        </row>
        <row r="769">
          <cell r="A769">
            <v>112520</v>
          </cell>
          <cell r="B769" t="str">
            <v>3502858-2</v>
          </cell>
        </row>
        <row r="770">
          <cell r="A770">
            <v>112521</v>
          </cell>
          <cell r="B770">
            <v>352572</v>
          </cell>
        </row>
        <row r="771">
          <cell r="A771">
            <v>112522</v>
          </cell>
          <cell r="B771" t="str">
            <v>358472-1</v>
          </cell>
        </row>
        <row r="772">
          <cell r="A772">
            <v>112523</v>
          </cell>
          <cell r="B772" t="str">
            <v>358612-1</v>
          </cell>
        </row>
        <row r="773">
          <cell r="A773">
            <v>112524</v>
          </cell>
          <cell r="B773" t="str">
            <v>358964-1</v>
          </cell>
        </row>
        <row r="774">
          <cell r="A774">
            <v>112525</v>
          </cell>
          <cell r="B774" t="str">
            <v>358969-1</v>
          </cell>
        </row>
        <row r="775">
          <cell r="A775">
            <v>112526</v>
          </cell>
          <cell r="B775">
            <v>369049</v>
          </cell>
        </row>
        <row r="776">
          <cell r="A776">
            <v>112527</v>
          </cell>
          <cell r="B776">
            <v>605013</v>
          </cell>
        </row>
        <row r="777">
          <cell r="A777">
            <v>112528</v>
          </cell>
          <cell r="B777" t="str">
            <v>606724-1</v>
          </cell>
        </row>
        <row r="778">
          <cell r="A778">
            <v>112529</v>
          </cell>
          <cell r="B778" t="str">
            <v>645057-1</v>
          </cell>
        </row>
        <row r="779">
          <cell r="A779">
            <v>108498</v>
          </cell>
          <cell r="B779" t="str">
            <v>B7321</v>
          </cell>
        </row>
        <row r="780">
          <cell r="A780" t="str">
            <v>ST034260</v>
          </cell>
          <cell r="B780" t="str">
            <v>5850497-1KIT</v>
          </cell>
        </row>
        <row r="781">
          <cell r="A781" t="str">
            <v>ST034403</v>
          </cell>
          <cell r="B781" t="str">
            <v>67041352-345</v>
          </cell>
        </row>
        <row r="782">
          <cell r="A782" t="str">
            <v>ST034422</v>
          </cell>
          <cell r="B782" t="str">
            <v>67041352-383</v>
          </cell>
        </row>
        <row r="783">
          <cell r="A783" t="str">
            <v>ST034329</v>
          </cell>
          <cell r="B783" t="str">
            <v>61-3627-1</v>
          </cell>
        </row>
        <row r="784">
          <cell r="A784" t="str">
            <v>ST034282</v>
          </cell>
          <cell r="B784" t="str">
            <v>60-2241-3</v>
          </cell>
        </row>
        <row r="785">
          <cell r="A785" t="str">
            <v>ST034323</v>
          </cell>
          <cell r="B785" t="str">
            <v>61-2310-1</v>
          </cell>
        </row>
        <row r="786">
          <cell r="A786">
            <v>108458</v>
          </cell>
          <cell r="B786" t="str">
            <v>67041352-321</v>
          </cell>
        </row>
        <row r="787">
          <cell r="A787" t="str">
            <v>ST034399</v>
          </cell>
          <cell r="B787" t="str">
            <v>67041352-337</v>
          </cell>
        </row>
        <row r="788">
          <cell r="A788" t="str">
            <v>ST034086</v>
          </cell>
          <cell r="B788" t="str">
            <v>31-2836-1</v>
          </cell>
        </row>
        <row r="789">
          <cell r="A789" t="str">
            <v>ST034242</v>
          </cell>
          <cell r="B789" t="str">
            <v>5850467-28</v>
          </cell>
        </row>
        <row r="790">
          <cell r="A790" t="str">
            <v>ST034406</v>
          </cell>
          <cell r="B790" t="str">
            <v>67041352-351</v>
          </cell>
        </row>
        <row r="791">
          <cell r="A791" t="str">
            <v>ST034421</v>
          </cell>
          <cell r="B791" t="str">
            <v>67041352-381</v>
          </cell>
        </row>
        <row r="792">
          <cell r="A792" t="str">
            <v>ST034013</v>
          </cell>
          <cell r="B792" t="str">
            <v>10306-1</v>
          </cell>
        </row>
        <row r="793">
          <cell r="A793" t="str">
            <v>ST034277</v>
          </cell>
          <cell r="B793" t="str">
            <v>60-0936-1</v>
          </cell>
        </row>
        <row r="794">
          <cell r="A794" t="str">
            <v>ST034415</v>
          </cell>
          <cell r="B794" t="str">
            <v>67041352-369</v>
          </cell>
        </row>
        <row r="795">
          <cell r="A795" t="str">
            <v>ST034532</v>
          </cell>
          <cell r="B795" t="str">
            <v>A2436</v>
          </cell>
        </row>
        <row r="796">
          <cell r="A796" t="str">
            <v>ST034094</v>
          </cell>
          <cell r="B796" t="str">
            <v>31-3358-1</v>
          </cell>
        </row>
        <row r="797">
          <cell r="A797" t="str">
            <v>ST034332</v>
          </cell>
          <cell r="B797" t="str">
            <v>61-3759-1</v>
          </cell>
        </row>
        <row r="798">
          <cell r="A798" t="str">
            <v>ST034385</v>
          </cell>
          <cell r="B798" t="str">
            <v>67041352-303</v>
          </cell>
        </row>
        <row r="799">
          <cell r="A799" t="str">
            <v>ST034405</v>
          </cell>
          <cell r="B799" t="str">
            <v>67041352-349</v>
          </cell>
        </row>
        <row r="800">
          <cell r="A800" t="str">
            <v>ST034179</v>
          </cell>
          <cell r="B800" t="str">
            <v>46-1644-1</v>
          </cell>
        </row>
        <row r="801">
          <cell r="A801" t="str">
            <v>ST034264</v>
          </cell>
          <cell r="B801" t="str">
            <v>5850625-1KIT</v>
          </cell>
        </row>
        <row r="802">
          <cell r="A802" t="str">
            <v>ST034291</v>
          </cell>
          <cell r="B802" t="str">
            <v>60-2746-9</v>
          </cell>
        </row>
        <row r="803">
          <cell r="A803" t="str">
            <v>ST034326</v>
          </cell>
          <cell r="B803" t="str">
            <v>61-3361-1</v>
          </cell>
        </row>
        <row r="804">
          <cell r="A804" t="str">
            <v>ST034480</v>
          </cell>
          <cell r="B804" t="str">
            <v>72325414-1</v>
          </cell>
        </row>
        <row r="805">
          <cell r="A805">
            <v>108509</v>
          </cell>
          <cell r="B805" t="str">
            <v>67620534-3</v>
          </cell>
        </row>
        <row r="806">
          <cell r="A806" t="str">
            <v>ST034063</v>
          </cell>
          <cell r="B806" t="str">
            <v>25-0394-3</v>
          </cell>
        </row>
        <row r="807">
          <cell r="A807" t="str">
            <v>ST034139</v>
          </cell>
          <cell r="B807" t="str">
            <v>31-8530-1</v>
          </cell>
        </row>
        <row r="808">
          <cell r="A808" t="str">
            <v>ST034257</v>
          </cell>
          <cell r="B808" t="str">
            <v>5850494-2KIT</v>
          </cell>
        </row>
        <row r="809">
          <cell r="A809" t="str">
            <v>ST034265</v>
          </cell>
          <cell r="B809" t="str">
            <v>5850626-1KIT</v>
          </cell>
        </row>
        <row r="810">
          <cell r="A810" t="str">
            <v>ST034388</v>
          </cell>
          <cell r="B810" t="str">
            <v>67041352-315</v>
          </cell>
        </row>
        <row r="811">
          <cell r="A811" t="str">
            <v>ST034489</v>
          </cell>
          <cell r="B811" t="str">
            <v>72326212-3</v>
          </cell>
        </row>
        <row r="812">
          <cell r="A812" t="str">
            <v>ST034160</v>
          </cell>
          <cell r="B812" t="str">
            <v>41-1424-3</v>
          </cell>
        </row>
        <row r="813">
          <cell r="A813" t="str">
            <v>ST034384</v>
          </cell>
          <cell r="B813" t="str">
            <v>67041352-301</v>
          </cell>
        </row>
        <row r="814">
          <cell r="A814" t="str">
            <v>ST034395</v>
          </cell>
          <cell r="B814" t="str">
            <v>67041352-329</v>
          </cell>
        </row>
        <row r="815">
          <cell r="A815" t="str">
            <v>ST034416</v>
          </cell>
          <cell r="B815" t="str">
            <v>67041352-371</v>
          </cell>
        </row>
        <row r="816">
          <cell r="A816" t="str">
            <v>ST034557</v>
          </cell>
          <cell r="B816" t="str">
            <v>A7341</v>
          </cell>
        </row>
        <row r="817">
          <cell r="A817" t="str">
            <v>ST034100</v>
          </cell>
          <cell r="B817" t="str">
            <v>31-4498-1</v>
          </cell>
        </row>
        <row r="818">
          <cell r="A818" t="str">
            <v>ST034104</v>
          </cell>
          <cell r="B818" t="str">
            <v>31-5025-3</v>
          </cell>
        </row>
        <row r="819">
          <cell r="A819" t="str">
            <v>ST034240</v>
          </cell>
          <cell r="B819" t="str">
            <v>5850467-26</v>
          </cell>
        </row>
        <row r="820">
          <cell r="A820" t="str">
            <v>ST034241</v>
          </cell>
          <cell r="B820" t="str">
            <v>5850467-27</v>
          </cell>
        </row>
        <row r="821">
          <cell r="A821" t="str">
            <v>ST034243</v>
          </cell>
          <cell r="B821" t="str">
            <v>5850467-29</v>
          </cell>
        </row>
        <row r="822">
          <cell r="A822" t="str">
            <v>ST034267</v>
          </cell>
          <cell r="B822" t="str">
            <v>5850629-1KIT</v>
          </cell>
        </row>
        <row r="823">
          <cell r="A823" t="str">
            <v>ST034393</v>
          </cell>
          <cell r="B823" t="str">
            <v>67041352-325</v>
          </cell>
        </row>
        <row r="824">
          <cell r="A824" t="str">
            <v>ST034397</v>
          </cell>
          <cell r="B824" t="str">
            <v>67041352-333</v>
          </cell>
        </row>
        <row r="825">
          <cell r="A825" t="str">
            <v>ST034575</v>
          </cell>
          <cell r="B825" t="str">
            <v>B8267-1</v>
          </cell>
        </row>
        <row r="826">
          <cell r="A826" t="str">
            <v>ST036940</v>
          </cell>
          <cell r="B826" t="str">
            <v>A2109-6</v>
          </cell>
        </row>
        <row r="827">
          <cell r="A827" t="str">
            <v>ST037724</v>
          </cell>
          <cell r="B827" t="str">
            <v>31-8225-1</v>
          </cell>
        </row>
        <row r="828">
          <cell r="A828" t="str">
            <v>ST034084</v>
          </cell>
          <cell r="B828" t="str">
            <v>31-2347-1</v>
          </cell>
        </row>
        <row r="829">
          <cell r="A829" t="str">
            <v>ST034238</v>
          </cell>
          <cell r="B829" t="str">
            <v>5850467-23</v>
          </cell>
        </row>
        <row r="830">
          <cell r="A830" t="str">
            <v>ST034247</v>
          </cell>
          <cell r="B830" t="str">
            <v>5850467-33</v>
          </cell>
        </row>
        <row r="831">
          <cell r="A831" t="str">
            <v>ST034314</v>
          </cell>
          <cell r="B831" t="str">
            <v>61-1827-5</v>
          </cell>
        </row>
        <row r="832">
          <cell r="A832" t="str">
            <v>ST034404</v>
          </cell>
          <cell r="B832" t="str">
            <v>67041352-347</v>
          </cell>
        </row>
        <row r="833">
          <cell r="A833" t="str">
            <v>ST034419</v>
          </cell>
          <cell r="B833" t="str">
            <v>67041352-377</v>
          </cell>
        </row>
        <row r="834">
          <cell r="A834" t="str">
            <v>ST034553</v>
          </cell>
          <cell r="B834" t="str">
            <v>A6398</v>
          </cell>
        </row>
        <row r="835">
          <cell r="A835" t="str">
            <v>ST036130</v>
          </cell>
          <cell r="B835" t="str">
            <v>31-4720-1</v>
          </cell>
        </row>
        <row r="836">
          <cell r="A836">
            <v>108257</v>
          </cell>
          <cell r="B836" t="str">
            <v xml:space="preserve">2011623-2 </v>
          </cell>
        </row>
        <row r="837">
          <cell r="A837">
            <v>108266</v>
          </cell>
          <cell r="B837" t="str">
            <v xml:space="preserve">2707937-5 </v>
          </cell>
        </row>
        <row r="838">
          <cell r="A838">
            <v>108278</v>
          </cell>
          <cell r="B838" t="str">
            <v>305347-1</v>
          </cell>
        </row>
        <row r="839">
          <cell r="A839">
            <v>108279</v>
          </cell>
          <cell r="B839" t="str">
            <v>305847-1</v>
          </cell>
        </row>
        <row r="840">
          <cell r="A840">
            <v>108280</v>
          </cell>
          <cell r="B840" t="str">
            <v>3060762-3</v>
          </cell>
        </row>
        <row r="841">
          <cell r="A841" t="str">
            <v>ST034206</v>
          </cell>
          <cell r="B841" t="str">
            <v>51-0631-3</v>
          </cell>
        </row>
        <row r="842">
          <cell r="A842" t="str">
            <v>ST034210</v>
          </cell>
          <cell r="B842" t="str">
            <v>51-0797-1</v>
          </cell>
        </row>
        <row r="843">
          <cell r="A843">
            <v>108284</v>
          </cell>
          <cell r="B843" t="str">
            <v>3254113-3</v>
          </cell>
        </row>
        <row r="844">
          <cell r="A844">
            <v>108291</v>
          </cell>
          <cell r="B844" t="str">
            <v xml:space="preserve">43439-4 </v>
          </cell>
        </row>
        <row r="845">
          <cell r="A845" t="str">
            <v>ST029117</v>
          </cell>
          <cell r="B845" t="str">
            <v>695055-902</v>
          </cell>
        </row>
        <row r="846">
          <cell r="A846" t="str">
            <v>ST029137</v>
          </cell>
          <cell r="B846" t="str">
            <v>70721691-2</v>
          </cell>
        </row>
        <row r="847">
          <cell r="A847" t="str">
            <v>ST034012</v>
          </cell>
          <cell r="B847" t="str">
            <v>10306</v>
          </cell>
        </row>
        <row r="848">
          <cell r="A848">
            <v>108483</v>
          </cell>
          <cell r="B848" t="str">
            <v>8534126-41</v>
          </cell>
        </row>
        <row r="849">
          <cell r="A849" t="str">
            <v>ST034014</v>
          </cell>
          <cell r="B849" t="str">
            <v>10306-9</v>
          </cell>
        </row>
        <row r="850">
          <cell r="A850">
            <v>108508</v>
          </cell>
          <cell r="B850" t="str">
            <v>60-0512-1</v>
          </cell>
        </row>
        <row r="851">
          <cell r="A851" t="str">
            <v>ST034016</v>
          </cell>
          <cell r="B851" t="str">
            <v>10452</v>
          </cell>
        </row>
        <row r="852">
          <cell r="A852" t="str">
            <v>ST034017</v>
          </cell>
          <cell r="B852" t="str">
            <v>10638</v>
          </cell>
        </row>
        <row r="853">
          <cell r="A853" t="str">
            <v>ST036939</v>
          </cell>
          <cell r="B853" t="str">
            <v>A1262</v>
          </cell>
        </row>
        <row r="854">
          <cell r="A854" t="str">
            <v>ST034020</v>
          </cell>
          <cell r="B854" t="str">
            <v>10933-1</v>
          </cell>
        </row>
        <row r="855">
          <cell r="A855" t="str">
            <v>ST034245</v>
          </cell>
          <cell r="B855" t="str">
            <v>5850467-31</v>
          </cell>
        </row>
        <row r="856">
          <cell r="A856" t="str">
            <v>ST034389</v>
          </cell>
          <cell r="B856" t="str">
            <v>67041352-317</v>
          </cell>
        </row>
        <row r="857">
          <cell r="A857" t="str">
            <v>ST034392</v>
          </cell>
          <cell r="B857" t="str">
            <v>67041352-323</v>
          </cell>
        </row>
        <row r="858">
          <cell r="A858">
            <v>108402</v>
          </cell>
          <cell r="B858" t="str">
            <v>11-3438-5</v>
          </cell>
        </row>
        <row r="859">
          <cell r="A859" t="str">
            <v>ST034025</v>
          </cell>
          <cell r="B859" t="str">
            <v>11-4516-1</v>
          </cell>
        </row>
        <row r="860">
          <cell r="A860" t="str">
            <v>ST034026</v>
          </cell>
          <cell r="B860" t="str">
            <v>11-5396-3</v>
          </cell>
        </row>
        <row r="861">
          <cell r="A861" t="str">
            <v>ST034027</v>
          </cell>
          <cell r="B861" t="str">
            <v>11-5653-1</v>
          </cell>
        </row>
        <row r="862">
          <cell r="A862" t="str">
            <v>ST034028</v>
          </cell>
          <cell r="B862" t="str">
            <v>11-5897-1</v>
          </cell>
        </row>
        <row r="863">
          <cell r="A863" t="str">
            <v>ST034029</v>
          </cell>
          <cell r="B863" t="str">
            <v>11-5929-1</v>
          </cell>
        </row>
        <row r="864">
          <cell r="A864" t="str">
            <v>ST034030</v>
          </cell>
          <cell r="B864" t="str">
            <v>1104867-39</v>
          </cell>
        </row>
        <row r="865">
          <cell r="A865" t="str">
            <v>ST034031</v>
          </cell>
          <cell r="B865" t="str">
            <v>11253</v>
          </cell>
        </row>
        <row r="866">
          <cell r="A866">
            <v>108406</v>
          </cell>
          <cell r="B866" t="str">
            <v>1531446-6</v>
          </cell>
        </row>
        <row r="867">
          <cell r="A867" t="str">
            <v>ST034033</v>
          </cell>
          <cell r="B867" t="str">
            <v>12198</v>
          </cell>
        </row>
        <row r="868">
          <cell r="A868">
            <v>108403</v>
          </cell>
          <cell r="B868" t="str">
            <v>12313</v>
          </cell>
        </row>
        <row r="869">
          <cell r="A869">
            <v>108404</v>
          </cell>
          <cell r="B869">
            <v>12744</v>
          </cell>
        </row>
        <row r="870">
          <cell r="A870">
            <v>108405</v>
          </cell>
          <cell r="B870">
            <v>12871</v>
          </cell>
        </row>
        <row r="871">
          <cell r="A871" t="str">
            <v>ST034037</v>
          </cell>
          <cell r="B871" t="str">
            <v>12934</v>
          </cell>
        </row>
        <row r="872">
          <cell r="A872" t="str">
            <v>ST034164</v>
          </cell>
          <cell r="B872" t="str">
            <v>41-1471-1</v>
          </cell>
        </row>
        <row r="873">
          <cell r="A873" t="str">
            <v>ST034319</v>
          </cell>
          <cell r="B873" t="str">
            <v>61-2044-1</v>
          </cell>
        </row>
        <row r="874">
          <cell r="A874" t="str">
            <v>ST034040</v>
          </cell>
          <cell r="B874">
            <v>15369</v>
          </cell>
        </row>
        <row r="875">
          <cell r="A875">
            <v>108407</v>
          </cell>
          <cell r="B875" t="str">
            <v>1546501-2</v>
          </cell>
        </row>
        <row r="876">
          <cell r="A876">
            <v>108408</v>
          </cell>
          <cell r="B876" t="str">
            <v>1546616-1</v>
          </cell>
        </row>
        <row r="877">
          <cell r="A877" t="str">
            <v>ST034043</v>
          </cell>
          <cell r="B877" t="str">
            <v>15571</v>
          </cell>
        </row>
        <row r="878">
          <cell r="A878">
            <v>108409</v>
          </cell>
          <cell r="B878" t="str">
            <v>1582810-1</v>
          </cell>
        </row>
        <row r="879">
          <cell r="A879">
            <v>108410</v>
          </cell>
          <cell r="B879" t="str">
            <v>16-0460-1</v>
          </cell>
        </row>
        <row r="880">
          <cell r="A880">
            <v>108479</v>
          </cell>
          <cell r="B880" t="str">
            <v>72326213-1</v>
          </cell>
        </row>
        <row r="881">
          <cell r="A881" t="str">
            <v>ST034558</v>
          </cell>
          <cell r="B881" t="str">
            <v>A7632</v>
          </cell>
        </row>
        <row r="882">
          <cell r="A882">
            <v>108411</v>
          </cell>
          <cell r="B882" t="str">
            <v>16-2424-1</v>
          </cell>
        </row>
        <row r="883">
          <cell r="A883" t="str">
            <v>ST034049</v>
          </cell>
          <cell r="B883" t="str">
            <v>16-2657-1</v>
          </cell>
        </row>
        <row r="884">
          <cell r="A884" t="str">
            <v>ST034050</v>
          </cell>
          <cell r="B884" t="str">
            <v>16-2684-1</v>
          </cell>
        </row>
        <row r="885">
          <cell r="A885" t="str">
            <v>ST034137</v>
          </cell>
          <cell r="B885" t="str">
            <v>31-8306-1</v>
          </cell>
        </row>
        <row r="886">
          <cell r="A886">
            <v>108412</v>
          </cell>
          <cell r="B886" t="str">
            <v>2310702-1</v>
          </cell>
        </row>
        <row r="887">
          <cell r="A887">
            <v>108413</v>
          </cell>
          <cell r="B887" t="str">
            <v>2311425-1</v>
          </cell>
        </row>
        <row r="888">
          <cell r="A888" t="str">
            <v>ST034054</v>
          </cell>
          <cell r="B888" t="str">
            <v>2311455-1</v>
          </cell>
        </row>
        <row r="889">
          <cell r="A889">
            <v>108414</v>
          </cell>
          <cell r="B889" t="str">
            <v>2353199-11//DEV</v>
          </cell>
        </row>
        <row r="890">
          <cell r="A890">
            <v>108415</v>
          </cell>
          <cell r="B890" t="str">
            <v>2353199-13//DEV</v>
          </cell>
        </row>
        <row r="891">
          <cell r="A891">
            <v>108416</v>
          </cell>
          <cell r="B891" t="str">
            <v>2353199-15//DEV</v>
          </cell>
        </row>
        <row r="892">
          <cell r="A892">
            <v>108417</v>
          </cell>
          <cell r="B892" t="str">
            <v>2353199-17//DEV</v>
          </cell>
        </row>
        <row r="893">
          <cell r="A893">
            <v>108418</v>
          </cell>
          <cell r="B893" t="str">
            <v>2353199-3//DEV</v>
          </cell>
        </row>
        <row r="894">
          <cell r="A894">
            <v>108419</v>
          </cell>
          <cell r="B894" t="str">
            <v>2353199-5//DEV</v>
          </cell>
        </row>
        <row r="895">
          <cell r="A895">
            <v>108420</v>
          </cell>
          <cell r="B895" t="str">
            <v>2353199-7//DEV</v>
          </cell>
        </row>
        <row r="896">
          <cell r="A896">
            <v>108421</v>
          </cell>
          <cell r="B896" t="str">
            <v>2353199-9//DEV</v>
          </cell>
        </row>
        <row r="897">
          <cell r="A897" t="str">
            <v>ST034248</v>
          </cell>
          <cell r="B897" t="str">
            <v>5850467-34</v>
          </cell>
        </row>
        <row r="898">
          <cell r="A898" t="str">
            <v>ST034253</v>
          </cell>
          <cell r="B898" t="str">
            <v>5850467-41</v>
          </cell>
        </row>
        <row r="899">
          <cell r="A899">
            <v>108422</v>
          </cell>
          <cell r="B899" t="str">
            <v>25-1897-23</v>
          </cell>
        </row>
        <row r="900">
          <cell r="A900" t="str">
            <v>ST034066</v>
          </cell>
          <cell r="B900" t="str">
            <v>2788625-1</v>
          </cell>
        </row>
        <row r="901">
          <cell r="A901" t="str">
            <v>ST034068</v>
          </cell>
          <cell r="B901" t="str">
            <v>31-0251-1</v>
          </cell>
        </row>
        <row r="902">
          <cell r="A902">
            <v>108423</v>
          </cell>
          <cell r="B902" t="str">
            <v>31-0251-3</v>
          </cell>
        </row>
        <row r="903">
          <cell r="A903">
            <v>108424</v>
          </cell>
          <cell r="B903" t="str">
            <v>31-0733-1</v>
          </cell>
        </row>
        <row r="904">
          <cell r="A904" t="str">
            <v>ST034071</v>
          </cell>
          <cell r="B904" t="str">
            <v>31-0870-1</v>
          </cell>
        </row>
        <row r="905">
          <cell r="A905" t="str">
            <v>ST034440</v>
          </cell>
          <cell r="B905" t="str">
            <v>67222229-17</v>
          </cell>
        </row>
        <row r="906">
          <cell r="A906" t="str">
            <v>ST034459</v>
          </cell>
          <cell r="B906" t="str">
            <v>67222229-9</v>
          </cell>
        </row>
        <row r="907">
          <cell r="A907" t="str">
            <v>ST034074</v>
          </cell>
          <cell r="B907" t="str">
            <v>31-0920-3</v>
          </cell>
        </row>
        <row r="908">
          <cell r="A908" t="str">
            <v>ST034075</v>
          </cell>
          <cell r="B908" t="str">
            <v>31-0920-5</v>
          </cell>
        </row>
        <row r="909">
          <cell r="A909">
            <v>108425</v>
          </cell>
          <cell r="B909" t="str">
            <v>31-1365-1</v>
          </cell>
        </row>
        <row r="910">
          <cell r="A910" t="str">
            <v>ST034435</v>
          </cell>
          <cell r="B910" t="str">
            <v>67222229-12</v>
          </cell>
        </row>
        <row r="911">
          <cell r="A911" t="str">
            <v>ST034079</v>
          </cell>
          <cell r="B911" t="str">
            <v>31-1493-7</v>
          </cell>
        </row>
        <row r="912">
          <cell r="A912" t="str">
            <v>ST034080</v>
          </cell>
          <cell r="B912" t="str">
            <v>31-1493-9</v>
          </cell>
        </row>
        <row r="913">
          <cell r="A913" t="str">
            <v>ST034436</v>
          </cell>
          <cell r="B913" t="str">
            <v>67222229-13</v>
          </cell>
        </row>
        <row r="914">
          <cell r="A914" t="str">
            <v>ST034082</v>
          </cell>
          <cell r="B914" t="str">
            <v>31-1875-3</v>
          </cell>
        </row>
        <row r="915">
          <cell r="A915" t="str">
            <v>ST034447</v>
          </cell>
          <cell r="B915" t="str">
            <v>67222229-23</v>
          </cell>
        </row>
        <row r="916">
          <cell r="A916" t="str">
            <v>ST034450</v>
          </cell>
          <cell r="B916" t="str">
            <v>67222229-26</v>
          </cell>
        </row>
        <row r="917">
          <cell r="A917" t="str">
            <v>ST034085</v>
          </cell>
          <cell r="B917" t="str">
            <v>31-2835-1</v>
          </cell>
        </row>
        <row r="918">
          <cell r="A918" t="str">
            <v>ST034452</v>
          </cell>
          <cell r="B918" t="str">
            <v>67222229-28</v>
          </cell>
        </row>
        <row r="919">
          <cell r="A919">
            <v>108426</v>
          </cell>
          <cell r="B919" t="str">
            <v>31-3173-3</v>
          </cell>
        </row>
        <row r="920">
          <cell r="A920" t="str">
            <v>ST034088</v>
          </cell>
          <cell r="B920" t="str">
            <v>31-3185-1</v>
          </cell>
        </row>
        <row r="921">
          <cell r="A921" t="str">
            <v>ST034453</v>
          </cell>
          <cell r="B921" t="str">
            <v>67222229-3</v>
          </cell>
        </row>
        <row r="922">
          <cell r="A922" t="str">
            <v>ST034090</v>
          </cell>
          <cell r="B922" t="str">
            <v>31-3250-1</v>
          </cell>
        </row>
        <row r="923">
          <cell r="A923" t="str">
            <v>ST034205</v>
          </cell>
          <cell r="B923" t="str">
            <v>51-0631-1</v>
          </cell>
        </row>
        <row r="924">
          <cell r="A924" t="str">
            <v>ST034244</v>
          </cell>
          <cell r="B924" t="str">
            <v>5850467-30</v>
          </cell>
        </row>
        <row r="925">
          <cell r="A925" t="str">
            <v>ST034093</v>
          </cell>
          <cell r="B925" t="str">
            <v>31-3252-1</v>
          </cell>
        </row>
        <row r="926">
          <cell r="A926" t="str">
            <v>ST034434</v>
          </cell>
          <cell r="B926" t="str">
            <v>67222229-11</v>
          </cell>
        </row>
        <row r="927">
          <cell r="A927" t="str">
            <v>ST034443</v>
          </cell>
          <cell r="B927" t="str">
            <v>67222229-2</v>
          </cell>
        </row>
        <row r="928">
          <cell r="A928" t="str">
            <v>ST034449</v>
          </cell>
          <cell r="B928" t="str">
            <v>67222229-25</v>
          </cell>
        </row>
        <row r="929">
          <cell r="A929" t="str">
            <v>ST034097</v>
          </cell>
          <cell r="B929" t="str">
            <v>31-3691-1</v>
          </cell>
        </row>
        <row r="930">
          <cell r="A930" t="str">
            <v>ST034099</v>
          </cell>
          <cell r="B930" t="str">
            <v>31-3945-5</v>
          </cell>
        </row>
        <row r="931">
          <cell r="A931" t="str">
            <v>ST034113</v>
          </cell>
          <cell r="B931" t="str">
            <v>31-5694-1</v>
          </cell>
        </row>
        <row r="932">
          <cell r="A932">
            <v>108427</v>
          </cell>
          <cell r="B932" t="str">
            <v>31-4542-3</v>
          </cell>
        </row>
        <row r="933">
          <cell r="A933" t="str">
            <v>ST034103</v>
          </cell>
          <cell r="B933" t="str">
            <v>31-4746-1</v>
          </cell>
        </row>
        <row r="934">
          <cell r="A934" t="str">
            <v>ST034148</v>
          </cell>
          <cell r="B934" t="str">
            <v>31-9564-1</v>
          </cell>
        </row>
        <row r="935">
          <cell r="A935" t="str">
            <v>ST034207</v>
          </cell>
          <cell r="B935" t="str">
            <v>51-0635-1</v>
          </cell>
        </row>
        <row r="936">
          <cell r="A936" t="str">
            <v>ST034106</v>
          </cell>
          <cell r="B936" t="str">
            <v>31-5231-1</v>
          </cell>
        </row>
        <row r="937">
          <cell r="A937" t="str">
            <v>ST034107</v>
          </cell>
          <cell r="B937" t="str">
            <v>31-5231-3</v>
          </cell>
        </row>
        <row r="938">
          <cell r="A938" t="str">
            <v>ST034208</v>
          </cell>
          <cell r="B938" t="str">
            <v>51-0635-3</v>
          </cell>
        </row>
        <row r="939">
          <cell r="A939" t="str">
            <v>ST034307</v>
          </cell>
          <cell r="B939" t="str">
            <v>61-0481-1</v>
          </cell>
        </row>
        <row r="940">
          <cell r="A940" t="str">
            <v>ST034433</v>
          </cell>
          <cell r="B940" t="str">
            <v>67222229-10</v>
          </cell>
        </row>
        <row r="941">
          <cell r="A941" t="str">
            <v>ST034111</v>
          </cell>
          <cell r="B941" t="str">
            <v>31-5479-1</v>
          </cell>
        </row>
        <row r="942">
          <cell r="A942" t="str">
            <v>ST034451</v>
          </cell>
          <cell r="B942" t="str">
            <v>67222229-27</v>
          </cell>
        </row>
        <row r="943">
          <cell r="A943" t="str">
            <v>ST034556</v>
          </cell>
          <cell r="B943" t="str">
            <v>A7062-1</v>
          </cell>
        </row>
        <row r="944">
          <cell r="A944" t="str">
            <v>ST034114</v>
          </cell>
          <cell r="B944" t="str">
            <v>31-5761-1</v>
          </cell>
        </row>
        <row r="945">
          <cell r="A945" t="str">
            <v>ST034448</v>
          </cell>
          <cell r="B945" t="str">
            <v>67222229-24</v>
          </cell>
        </row>
        <row r="946">
          <cell r="A946" t="str">
            <v>ST034116</v>
          </cell>
          <cell r="B946" t="str">
            <v>31-6611-3</v>
          </cell>
        </row>
        <row r="947">
          <cell r="A947" t="str">
            <v>ST034565</v>
          </cell>
          <cell r="B947" t="str">
            <v>A9157-1</v>
          </cell>
        </row>
        <row r="948">
          <cell r="A948" t="str">
            <v>ST034301</v>
          </cell>
          <cell r="B948" t="str">
            <v>6009415-4</v>
          </cell>
        </row>
        <row r="949">
          <cell r="A949" t="str">
            <v>ST034119</v>
          </cell>
          <cell r="B949" t="str">
            <v>31-6817-1</v>
          </cell>
        </row>
        <row r="950">
          <cell r="A950" t="str">
            <v>ST034305</v>
          </cell>
          <cell r="B950" t="str">
            <v>6009434-9</v>
          </cell>
        </row>
        <row r="951">
          <cell r="A951" t="str">
            <v>ST034122</v>
          </cell>
          <cell r="B951" t="str">
            <v>31-7573-1</v>
          </cell>
        </row>
        <row r="952">
          <cell r="A952" t="str">
            <v>ST034161</v>
          </cell>
          <cell r="B952" t="str">
            <v>41-1425-3</v>
          </cell>
        </row>
        <row r="953">
          <cell r="A953">
            <v>108428</v>
          </cell>
          <cell r="B953" t="str">
            <v>31-7707-1</v>
          </cell>
        </row>
        <row r="954">
          <cell r="A954">
            <v>108474</v>
          </cell>
          <cell r="B954" t="str">
            <v>71-1373-1</v>
          </cell>
        </row>
        <row r="955">
          <cell r="A955">
            <v>108522</v>
          </cell>
          <cell r="B955" t="str">
            <v>67040708-1KIT</v>
          </cell>
        </row>
        <row r="956">
          <cell r="A956" t="str">
            <v>ST034123</v>
          </cell>
          <cell r="B956" t="str">
            <v>31-7654-1</v>
          </cell>
        </row>
        <row r="957">
          <cell r="A957" t="str">
            <v>ST034129</v>
          </cell>
          <cell r="B957" t="str">
            <v>31-7817-3</v>
          </cell>
        </row>
        <row r="958">
          <cell r="A958" t="str">
            <v>ST034471</v>
          </cell>
          <cell r="B958" t="str">
            <v>71-1373-3</v>
          </cell>
        </row>
        <row r="959">
          <cell r="A959" t="str">
            <v>ST034174</v>
          </cell>
          <cell r="B959" t="str">
            <v>46-1601-1</v>
          </cell>
        </row>
        <row r="960">
          <cell r="A960" t="str">
            <v>ST034132</v>
          </cell>
          <cell r="B960" t="str">
            <v>31-7818-6</v>
          </cell>
        </row>
        <row r="961">
          <cell r="A961" t="str">
            <v>ST034133</v>
          </cell>
          <cell r="B961" t="str">
            <v>31-7848-3</v>
          </cell>
        </row>
        <row r="962">
          <cell r="A962" t="str">
            <v>ST034239</v>
          </cell>
          <cell r="B962" t="str">
            <v>5850467-24</v>
          </cell>
        </row>
        <row r="963">
          <cell r="A963" t="str">
            <v>ST034541</v>
          </cell>
          <cell r="B963" t="str">
            <v>A4439-1</v>
          </cell>
        </row>
        <row r="964">
          <cell r="A964" t="str">
            <v>ST034136</v>
          </cell>
          <cell r="B964" t="str">
            <v>31-8152-1</v>
          </cell>
        </row>
        <row r="965">
          <cell r="A965" t="str">
            <v>ST036918</v>
          </cell>
          <cell r="B965" t="str">
            <v>31-6381-1</v>
          </cell>
        </row>
        <row r="966">
          <cell r="A966" t="str">
            <v>ST034120</v>
          </cell>
          <cell r="B966" t="str">
            <v>31-6905-1</v>
          </cell>
        </row>
        <row r="967">
          <cell r="A967" t="str">
            <v>ST034318</v>
          </cell>
          <cell r="B967" t="str">
            <v>61-2043-1</v>
          </cell>
        </row>
        <row r="968">
          <cell r="A968" t="str">
            <v>ST034432</v>
          </cell>
          <cell r="B968" t="str">
            <v>67222229-1</v>
          </cell>
        </row>
        <row r="969">
          <cell r="A969">
            <v>108429</v>
          </cell>
          <cell r="B969" t="str">
            <v>31-8555-1</v>
          </cell>
        </row>
        <row r="970">
          <cell r="A970" t="str">
            <v>ST034519</v>
          </cell>
          <cell r="B970" t="str">
            <v>91-1412-1</v>
          </cell>
        </row>
        <row r="971">
          <cell r="A971" t="str">
            <v>ST034542</v>
          </cell>
          <cell r="B971" t="str">
            <v>A4489</v>
          </cell>
        </row>
        <row r="972">
          <cell r="A972" t="str">
            <v>ST034144</v>
          </cell>
          <cell r="B972" t="str">
            <v>31-8899-1</v>
          </cell>
        </row>
        <row r="973">
          <cell r="A973" t="str">
            <v>ST034145</v>
          </cell>
          <cell r="B973" t="str">
            <v>31-8948-1</v>
          </cell>
        </row>
        <row r="974">
          <cell r="A974" t="str">
            <v>ST034146</v>
          </cell>
          <cell r="B974" t="str">
            <v>31-8950-1</v>
          </cell>
        </row>
        <row r="975">
          <cell r="A975" t="str">
            <v>ST034178</v>
          </cell>
          <cell r="B975" t="str">
            <v>46-1631-1</v>
          </cell>
        </row>
        <row r="976">
          <cell r="A976" t="str">
            <v>ST034430</v>
          </cell>
          <cell r="B976" t="str">
            <v>67220316-1</v>
          </cell>
        </row>
        <row r="977">
          <cell r="A977" t="str">
            <v>ST034115</v>
          </cell>
          <cell r="B977" t="str">
            <v>31-6224-3</v>
          </cell>
        </row>
        <row r="978">
          <cell r="A978" t="str">
            <v>ST034249</v>
          </cell>
          <cell r="B978" t="str">
            <v>5850467-35</v>
          </cell>
        </row>
        <row r="979">
          <cell r="A979" t="str">
            <v>ST034153</v>
          </cell>
          <cell r="B979" t="str">
            <v>32-4659-1</v>
          </cell>
        </row>
        <row r="980">
          <cell r="A980" t="str">
            <v>ST034155</v>
          </cell>
          <cell r="B980" t="str">
            <v>36112</v>
          </cell>
        </row>
        <row r="981">
          <cell r="A981" t="str">
            <v>ST034156</v>
          </cell>
          <cell r="B981">
            <v>4008006</v>
          </cell>
        </row>
        <row r="982">
          <cell r="A982" t="str">
            <v>ST034157</v>
          </cell>
          <cell r="B982" t="str">
            <v>4008007:5040</v>
          </cell>
        </row>
        <row r="983">
          <cell r="A983" t="str">
            <v>ST034280</v>
          </cell>
          <cell r="B983" t="str">
            <v>60-1679-1</v>
          </cell>
        </row>
        <row r="984">
          <cell r="A984" t="str">
            <v>ST034503</v>
          </cell>
          <cell r="B984" t="str">
            <v>72614206-1</v>
          </cell>
        </row>
        <row r="985">
          <cell r="A985" t="str">
            <v>ST034109</v>
          </cell>
          <cell r="B985" t="str">
            <v>31-5274-1</v>
          </cell>
        </row>
        <row r="986">
          <cell r="A986" t="str">
            <v>ST034158</v>
          </cell>
          <cell r="B986" t="str">
            <v>41-0559-1</v>
          </cell>
        </row>
        <row r="987">
          <cell r="A987" t="str">
            <v>ST034530</v>
          </cell>
          <cell r="B987" t="str">
            <v>A2364</v>
          </cell>
        </row>
        <row r="988">
          <cell r="A988" t="str">
            <v>ST034163</v>
          </cell>
          <cell r="B988" t="str">
            <v>41-1470-1</v>
          </cell>
        </row>
        <row r="989">
          <cell r="A989" t="str">
            <v>ST034190</v>
          </cell>
          <cell r="B989" t="str">
            <v>46-4071-1</v>
          </cell>
        </row>
        <row r="990">
          <cell r="A990" t="str">
            <v>ST034290</v>
          </cell>
          <cell r="B990" t="str">
            <v>60-2746-3</v>
          </cell>
        </row>
        <row r="991">
          <cell r="A991">
            <v>108449</v>
          </cell>
          <cell r="B991" t="str">
            <v>61-3755-1</v>
          </cell>
        </row>
        <row r="992">
          <cell r="A992" t="str">
            <v>ST034544</v>
          </cell>
          <cell r="B992" t="str">
            <v>A4838-3</v>
          </cell>
        </row>
        <row r="993">
          <cell r="A993" t="str">
            <v>ST034169</v>
          </cell>
          <cell r="B993" t="str">
            <v>46-0548-1</v>
          </cell>
        </row>
        <row r="994">
          <cell r="A994" t="str">
            <v>ST034191</v>
          </cell>
          <cell r="B994" t="str">
            <v>46-4081-1</v>
          </cell>
        </row>
        <row r="995">
          <cell r="A995" t="str">
            <v>ST034171</v>
          </cell>
          <cell r="B995" t="str">
            <v>46-0548-9</v>
          </cell>
        </row>
        <row r="996">
          <cell r="A996" t="str">
            <v>ST034211</v>
          </cell>
          <cell r="B996" t="str">
            <v>51-0797-3</v>
          </cell>
        </row>
        <row r="997">
          <cell r="A997" t="str">
            <v>ST034316</v>
          </cell>
          <cell r="B997" t="str">
            <v>61-1954-1</v>
          </cell>
        </row>
        <row r="998">
          <cell r="A998" t="str">
            <v>ST034529</v>
          </cell>
          <cell r="B998" t="str">
            <v>A2312</v>
          </cell>
        </row>
        <row r="999">
          <cell r="A999" t="str">
            <v>ST034536</v>
          </cell>
          <cell r="B999" t="str">
            <v>A3649</v>
          </cell>
        </row>
        <row r="1000">
          <cell r="A1000" t="str">
            <v>ST034186</v>
          </cell>
          <cell r="B1000" t="str">
            <v>46-3660-1</v>
          </cell>
        </row>
        <row r="1001">
          <cell r="A1001" t="str">
            <v>ST034485</v>
          </cell>
          <cell r="B1001" t="str">
            <v>72326042-1</v>
          </cell>
        </row>
        <row r="1002">
          <cell r="A1002" t="str">
            <v>ST034259</v>
          </cell>
          <cell r="B1002" t="str">
            <v>5850496-2KIT</v>
          </cell>
        </row>
        <row r="1003">
          <cell r="A1003" t="str">
            <v>ST034331</v>
          </cell>
          <cell r="B1003" t="str">
            <v>61-3755-3</v>
          </cell>
        </row>
        <row r="1004">
          <cell r="A1004" t="str">
            <v>ST034396</v>
          </cell>
          <cell r="B1004" t="str">
            <v>67041352-331</v>
          </cell>
        </row>
        <row r="1005">
          <cell r="A1005" t="str">
            <v>ST034182</v>
          </cell>
          <cell r="B1005" t="str">
            <v>46-2905-1</v>
          </cell>
        </row>
        <row r="1006">
          <cell r="A1006" t="str">
            <v>ST034183</v>
          </cell>
          <cell r="B1006" t="str">
            <v>46-2925-1</v>
          </cell>
        </row>
        <row r="1007">
          <cell r="A1007" t="str">
            <v>ST034217</v>
          </cell>
          <cell r="B1007" t="str">
            <v>56-0321-1</v>
          </cell>
        </row>
        <row r="1008">
          <cell r="A1008" t="str">
            <v>ST034302</v>
          </cell>
          <cell r="B1008" t="str">
            <v>6009434-5</v>
          </cell>
        </row>
        <row r="1009">
          <cell r="A1009" t="str">
            <v>ST034312</v>
          </cell>
          <cell r="B1009" t="str">
            <v>61-1827-1</v>
          </cell>
        </row>
        <row r="1010">
          <cell r="A1010">
            <v>108431</v>
          </cell>
          <cell r="B1010" t="str">
            <v>46-3677-1</v>
          </cell>
        </row>
        <row r="1011">
          <cell r="A1011" t="str">
            <v>ST034188</v>
          </cell>
          <cell r="B1011" t="str">
            <v>46-3968-1</v>
          </cell>
        </row>
        <row r="1012">
          <cell r="A1012" t="str">
            <v>ST034189</v>
          </cell>
          <cell r="B1012" t="str">
            <v>46-3974-1</v>
          </cell>
        </row>
        <row r="1013">
          <cell r="A1013" t="str">
            <v>ST034313</v>
          </cell>
          <cell r="B1013" t="str">
            <v>61-1827-3</v>
          </cell>
        </row>
        <row r="1014">
          <cell r="A1014" t="str">
            <v>ST034321</v>
          </cell>
          <cell r="B1014" t="str">
            <v>61-2104-1</v>
          </cell>
        </row>
        <row r="1015">
          <cell r="A1015" t="str">
            <v>ST034192</v>
          </cell>
          <cell r="B1015" t="str">
            <v>500-6044-002</v>
          </cell>
        </row>
        <row r="1016">
          <cell r="A1016">
            <v>108432</v>
          </cell>
          <cell r="B1016" t="str">
            <v>500-6044-011</v>
          </cell>
        </row>
        <row r="1017">
          <cell r="A1017">
            <v>108433</v>
          </cell>
          <cell r="B1017" t="str">
            <v>500-6044-012</v>
          </cell>
        </row>
        <row r="1018">
          <cell r="A1018" t="str">
            <v>ST034167</v>
          </cell>
          <cell r="B1018" t="str">
            <v>46-0324-1</v>
          </cell>
        </row>
        <row r="1019">
          <cell r="A1019" t="str">
            <v>ST034196</v>
          </cell>
          <cell r="B1019" t="str">
            <v>51-0308-1</v>
          </cell>
        </row>
        <row r="1020">
          <cell r="A1020" t="str">
            <v>ST034197</v>
          </cell>
          <cell r="B1020" t="str">
            <v>51-0313-3</v>
          </cell>
        </row>
        <row r="1021">
          <cell r="A1021" t="str">
            <v>ST034250</v>
          </cell>
          <cell r="B1021" t="str">
            <v>5850467-36</v>
          </cell>
        </row>
        <row r="1022">
          <cell r="A1022" t="str">
            <v>ST034200</v>
          </cell>
          <cell r="B1022" t="str">
            <v>51-0395-1</v>
          </cell>
        </row>
        <row r="1023">
          <cell r="A1023" t="str">
            <v>ST034201</v>
          </cell>
          <cell r="B1023" t="str">
            <v>51-0482-1</v>
          </cell>
        </row>
        <row r="1024">
          <cell r="A1024" t="str">
            <v>ST034202</v>
          </cell>
          <cell r="B1024" t="str">
            <v>51-0484-1</v>
          </cell>
        </row>
        <row r="1025">
          <cell r="A1025" t="str">
            <v>ST034203</v>
          </cell>
          <cell r="B1025" t="str">
            <v>51-0542-1</v>
          </cell>
        </row>
        <row r="1026">
          <cell r="A1026" t="str">
            <v>ST034381</v>
          </cell>
          <cell r="B1026" t="str">
            <v>67041186-5</v>
          </cell>
        </row>
        <row r="1027">
          <cell r="A1027" t="str">
            <v>ST034304</v>
          </cell>
          <cell r="B1027" t="str">
            <v>6009434-8</v>
          </cell>
        </row>
        <row r="1028">
          <cell r="A1028" t="str">
            <v>ST034337</v>
          </cell>
          <cell r="B1028" t="str">
            <v>61-4099-1</v>
          </cell>
        </row>
        <row r="1029">
          <cell r="A1029" t="str">
            <v>ST034126</v>
          </cell>
          <cell r="B1029" t="str">
            <v>31-7763-1</v>
          </cell>
        </row>
        <row r="1030">
          <cell r="A1030" t="str">
            <v>ST034251</v>
          </cell>
          <cell r="B1030" t="str">
            <v>5850467-39</v>
          </cell>
        </row>
        <row r="1031">
          <cell r="A1031" t="str">
            <v>ST034368</v>
          </cell>
          <cell r="B1031" t="str">
            <v>67040284-1KIT</v>
          </cell>
        </row>
        <row r="1032">
          <cell r="A1032" t="str">
            <v>ST034484</v>
          </cell>
          <cell r="B1032" t="str">
            <v>72326010-1</v>
          </cell>
        </row>
        <row r="1033">
          <cell r="A1033" t="str">
            <v>ST034546</v>
          </cell>
          <cell r="B1033" t="str">
            <v>A5291-2</v>
          </cell>
        </row>
        <row r="1034">
          <cell r="A1034" t="str">
            <v>ST034212</v>
          </cell>
          <cell r="B1034" t="str">
            <v>51-0831-1</v>
          </cell>
        </row>
        <row r="1035">
          <cell r="A1035">
            <v>108434</v>
          </cell>
          <cell r="B1035" t="str">
            <v>55-2364-1</v>
          </cell>
        </row>
        <row r="1036">
          <cell r="A1036" t="str">
            <v>ST034214</v>
          </cell>
          <cell r="B1036" t="str">
            <v>56-0210-1</v>
          </cell>
        </row>
        <row r="1037">
          <cell r="A1037" t="str">
            <v>ST034110</v>
          </cell>
          <cell r="B1037" t="str">
            <v>31-5455-2</v>
          </cell>
        </row>
        <row r="1038">
          <cell r="A1038" t="str">
            <v>ST034254</v>
          </cell>
          <cell r="B1038" t="str">
            <v>5850467-6</v>
          </cell>
        </row>
        <row r="1039">
          <cell r="A1039" t="str">
            <v>ST034310</v>
          </cell>
          <cell r="B1039" t="str">
            <v>61-1811-1</v>
          </cell>
        </row>
        <row r="1040">
          <cell r="A1040" t="str">
            <v>ST034364</v>
          </cell>
          <cell r="B1040" t="str">
            <v>67040277-1KIT</v>
          </cell>
        </row>
        <row r="1041">
          <cell r="A1041" t="str">
            <v>ST034219</v>
          </cell>
          <cell r="B1041" t="str">
            <v>56-0370-1</v>
          </cell>
        </row>
        <row r="1042">
          <cell r="A1042" t="str">
            <v>ST034220</v>
          </cell>
          <cell r="B1042" t="str">
            <v>56-0405-1</v>
          </cell>
        </row>
        <row r="1043">
          <cell r="A1043" t="str">
            <v>ST034564</v>
          </cell>
          <cell r="B1043" t="str">
            <v>A8942-1</v>
          </cell>
        </row>
        <row r="1044">
          <cell r="A1044" t="str">
            <v>ST034303</v>
          </cell>
          <cell r="B1044" t="str">
            <v>6009434-6</v>
          </cell>
        </row>
        <row r="1045">
          <cell r="A1045">
            <v>108435</v>
          </cell>
          <cell r="B1045" t="str">
            <v>56-0679-1</v>
          </cell>
        </row>
        <row r="1046">
          <cell r="A1046" t="str">
            <v>ST034300</v>
          </cell>
          <cell r="B1046" t="str">
            <v>600-6249-001</v>
          </cell>
        </row>
        <row r="1047">
          <cell r="A1047" t="str">
            <v>ST034315</v>
          </cell>
          <cell r="B1047" t="str">
            <v>61-1923-3</v>
          </cell>
        </row>
        <row r="1048">
          <cell r="A1048" t="str">
            <v>ST034497</v>
          </cell>
          <cell r="B1048" t="str">
            <v>72326851-001</v>
          </cell>
        </row>
        <row r="1049">
          <cell r="A1049" t="str">
            <v>ST034149</v>
          </cell>
          <cell r="B1049" t="str">
            <v>31-9664-1</v>
          </cell>
        </row>
        <row r="1050">
          <cell r="A1050" t="str">
            <v>ST034283</v>
          </cell>
          <cell r="B1050" t="str">
            <v>60-2323-1</v>
          </cell>
        </row>
        <row r="1051">
          <cell r="A1051">
            <v>108436</v>
          </cell>
          <cell r="B1051" t="str">
            <v>5849942-1KIT</v>
          </cell>
        </row>
        <row r="1052">
          <cell r="A1052" t="str">
            <v>ST034233</v>
          </cell>
          <cell r="B1052" t="str">
            <v>5850025-1KIT</v>
          </cell>
        </row>
        <row r="1053">
          <cell r="A1053" t="str">
            <v>ST034234</v>
          </cell>
          <cell r="B1053" t="str">
            <v>5850412-1</v>
          </cell>
        </row>
        <row r="1054">
          <cell r="A1054" t="str">
            <v>ST034235</v>
          </cell>
          <cell r="B1054" t="str">
            <v>5850412-2</v>
          </cell>
        </row>
        <row r="1055">
          <cell r="A1055" t="str">
            <v>ST034236</v>
          </cell>
          <cell r="B1055" t="str">
            <v>5850412-3</v>
          </cell>
        </row>
        <row r="1056">
          <cell r="A1056" t="str">
            <v>ST034237</v>
          </cell>
          <cell r="B1056" t="str">
            <v>5850412-4</v>
          </cell>
        </row>
        <row r="1057">
          <cell r="A1057" t="str">
            <v>ST034523</v>
          </cell>
          <cell r="B1057" t="str">
            <v>A1232-4</v>
          </cell>
        </row>
        <row r="1058">
          <cell r="A1058" t="str">
            <v>ST034246</v>
          </cell>
          <cell r="B1058" t="str">
            <v>5850467-32</v>
          </cell>
        </row>
        <row r="1059">
          <cell r="A1059" t="str">
            <v>ST034064</v>
          </cell>
          <cell r="B1059" t="str">
            <v>25-1792-23</v>
          </cell>
        </row>
        <row r="1060">
          <cell r="A1060" t="str">
            <v>ST034138</v>
          </cell>
          <cell r="B1060" t="str">
            <v>31-8444-1</v>
          </cell>
        </row>
        <row r="1061">
          <cell r="A1061" t="str">
            <v>ST034273</v>
          </cell>
          <cell r="B1061" t="str">
            <v>60-0258-5</v>
          </cell>
        </row>
        <row r="1062">
          <cell r="A1062" t="str">
            <v>ST034252</v>
          </cell>
          <cell r="B1062" t="str">
            <v>5850467-40</v>
          </cell>
        </row>
        <row r="1063">
          <cell r="A1063" t="str">
            <v>ST034366</v>
          </cell>
          <cell r="B1063" t="str">
            <v>67040279-1KIT</v>
          </cell>
        </row>
        <row r="1064">
          <cell r="A1064" t="str">
            <v>ST034229</v>
          </cell>
          <cell r="B1064" t="str">
            <v>5849607-2KIT</v>
          </cell>
        </row>
        <row r="1065">
          <cell r="A1065" t="str">
            <v>ST034256</v>
          </cell>
          <cell r="B1065" t="str">
            <v>5850467-8</v>
          </cell>
        </row>
        <row r="1066">
          <cell r="A1066" t="str">
            <v>ST034258</v>
          </cell>
          <cell r="B1066" t="str">
            <v>5850495-2KIT</v>
          </cell>
        </row>
        <row r="1067">
          <cell r="A1067">
            <v>108437</v>
          </cell>
          <cell r="B1067" t="str">
            <v>5850619-1KIT</v>
          </cell>
        </row>
        <row r="1068">
          <cell r="A1068" t="str">
            <v>ST034262</v>
          </cell>
          <cell r="B1068" t="str">
            <v>5850623-1</v>
          </cell>
        </row>
        <row r="1069">
          <cell r="A1069">
            <v>108438</v>
          </cell>
          <cell r="B1069" t="str">
            <v>5850624-1KIT</v>
          </cell>
        </row>
        <row r="1070">
          <cell r="A1070">
            <v>108439</v>
          </cell>
          <cell r="B1070" t="str">
            <v>5850724-2</v>
          </cell>
        </row>
        <row r="1071">
          <cell r="A1071">
            <v>108440</v>
          </cell>
          <cell r="B1071" t="str">
            <v>5850728-2</v>
          </cell>
        </row>
        <row r="1072">
          <cell r="A1072">
            <v>108441</v>
          </cell>
          <cell r="B1072" t="str">
            <v>5850729-2</v>
          </cell>
        </row>
        <row r="1073">
          <cell r="A1073">
            <v>108442</v>
          </cell>
          <cell r="B1073" t="str">
            <v>5850732-2</v>
          </cell>
        </row>
        <row r="1074">
          <cell r="A1074">
            <v>108443</v>
          </cell>
          <cell r="B1074" t="str">
            <v>5850769-1</v>
          </cell>
        </row>
        <row r="1075">
          <cell r="A1075">
            <v>108444</v>
          </cell>
          <cell r="B1075" t="str">
            <v>60-0390-5</v>
          </cell>
        </row>
        <row r="1076">
          <cell r="A1076" t="str">
            <v>ST034276</v>
          </cell>
          <cell r="B1076" t="str">
            <v>60-0818-1</v>
          </cell>
        </row>
        <row r="1077">
          <cell r="A1077" t="str">
            <v>ST034278</v>
          </cell>
          <cell r="B1077" t="str">
            <v>60-1521-1</v>
          </cell>
        </row>
        <row r="1078">
          <cell r="A1078" t="str">
            <v>ST034279</v>
          </cell>
          <cell r="B1078" t="str">
            <v>60-1521-9</v>
          </cell>
        </row>
        <row r="1079">
          <cell r="A1079" t="str">
            <v>ST034281</v>
          </cell>
          <cell r="B1079" t="str">
            <v>60-2082-1</v>
          </cell>
        </row>
        <row r="1080">
          <cell r="A1080" t="str">
            <v>ST034284</v>
          </cell>
          <cell r="B1080" t="str">
            <v>60-2369-5</v>
          </cell>
        </row>
        <row r="1081">
          <cell r="A1081" t="str">
            <v>ST034286</v>
          </cell>
          <cell r="B1081" t="str">
            <v>60-2394-3</v>
          </cell>
        </row>
        <row r="1082">
          <cell r="A1082" t="str">
            <v>ST034287</v>
          </cell>
          <cell r="B1082" t="str">
            <v>60-2433-5</v>
          </cell>
        </row>
        <row r="1083">
          <cell r="A1083">
            <v>108445</v>
          </cell>
          <cell r="B1083" t="str">
            <v>60-2746-21</v>
          </cell>
        </row>
        <row r="1084">
          <cell r="A1084" t="str">
            <v>ST034292</v>
          </cell>
          <cell r="B1084" t="str">
            <v>60-3326-3</v>
          </cell>
        </row>
        <row r="1085">
          <cell r="A1085" t="str">
            <v>ST034293</v>
          </cell>
          <cell r="B1085" t="str">
            <v>60-3467-2</v>
          </cell>
        </row>
        <row r="1086">
          <cell r="A1086">
            <v>108446</v>
          </cell>
          <cell r="B1086" t="str">
            <v>60-3972-11</v>
          </cell>
        </row>
        <row r="1087">
          <cell r="A1087" t="str">
            <v>ST034295</v>
          </cell>
          <cell r="B1087" t="str">
            <v>60-4640-1</v>
          </cell>
        </row>
        <row r="1088">
          <cell r="A1088" t="str">
            <v>ST034296</v>
          </cell>
          <cell r="B1088" t="str">
            <v>60-4859-1</v>
          </cell>
        </row>
        <row r="1089">
          <cell r="A1089" t="str">
            <v>ST034297</v>
          </cell>
          <cell r="B1089" t="str">
            <v>60-5023-3</v>
          </cell>
        </row>
        <row r="1090">
          <cell r="A1090">
            <v>108447</v>
          </cell>
          <cell r="B1090" t="str">
            <v>600-6108-004</v>
          </cell>
        </row>
        <row r="1091">
          <cell r="A1091">
            <v>108448</v>
          </cell>
          <cell r="B1091" t="str">
            <v>607-2819-001</v>
          </cell>
        </row>
        <row r="1092">
          <cell r="A1092" t="str">
            <v>ST034308</v>
          </cell>
          <cell r="B1092" t="str">
            <v>61-0637-3</v>
          </cell>
        </row>
        <row r="1093">
          <cell r="A1093" t="str">
            <v>ST034309</v>
          </cell>
          <cell r="B1093" t="str">
            <v>61-1597-1</v>
          </cell>
        </row>
        <row r="1094">
          <cell r="A1094" t="str">
            <v>ST034176</v>
          </cell>
          <cell r="B1094" t="str">
            <v>46-1608-1</v>
          </cell>
        </row>
        <row r="1095">
          <cell r="A1095" t="str">
            <v>ST034311</v>
          </cell>
          <cell r="B1095" t="str">
            <v>61-1826-1</v>
          </cell>
        </row>
        <row r="1096">
          <cell r="A1096" t="str">
            <v>ST034317</v>
          </cell>
          <cell r="B1096" t="str">
            <v>61-2027-1</v>
          </cell>
        </row>
        <row r="1097">
          <cell r="A1097" t="str">
            <v>ST034108</v>
          </cell>
          <cell r="B1097" t="str">
            <v>31-5271-1</v>
          </cell>
        </row>
        <row r="1098">
          <cell r="A1098" t="str">
            <v>ST034320</v>
          </cell>
          <cell r="B1098" t="str">
            <v>61-2065-1</v>
          </cell>
        </row>
        <row r="1099">
          <cell r="A1099" t="str">
            <v>ST034199</v>
          </cell>
          <cell r="B1099" t="str">
            <v>51-0329-3</v>
          </cell>
        </row>
        <row r="1100">
          <cell r="A1100" t="str">
            <v>ST034322</v>
          </cell>
          <cell r="B1100" t="str">
            <v>61-2254-1</v>
          </cell>
        </row>
        <row r="1101">
          <cell r="A1101" t="str">
            <v>ST034204</v>
          </cell>
          <cell r="B1101" t="str">
            <v>51-0581-1</v>
          </cell>
        </row>
        <row r="1102">
          <cell r="A1102" t="str">
            <v>ST034324</v>
          </cell>
          <cell r="B1102" t="str">
            <v>61-2631-1</v>
          </cell>
        </row>
        <row r="1103">
          <cell r="A1103" t="str">
            <v>ST034325</v>
          </cell>
          <cell r="B1103" t="str">
            <v>61-3216-7</v>
          </cell>
        </row>
        <row r="1104">
          <cell r="A1104" t="str">
            <v>ST034483</v>
          </cell>
          <cell r="B1104" t="str">
            <v>72325947-1</v>
          </cell>
        </row>
        <row r="1105">
          <cell r="A1105" t="str">
            <v>ST034327</v>
          </cell>
          <cell r="B1105" t="str">
            <v>61-3375-1</v>
          </cell>
        </row>
        <row r="1106">
          <cell r="A1106" t="str">
            <v>ST036139</v>
          </cell>
          <cell r="B1106" t="str">
            <v>51-0394-1</v>
          </cell>
        </row>
        <row r="1107">
          <cell r="A1107" t="str">
            <v>ST034131</v>
          </cell>
          <cell r="B1107" t="str">
            <v>31-7818-5</v>
          </cell>
        </row>
        <row r="1108">
          <cell r="A1108" t="str">
            <v>ST034166</v>
          </cell>
          <cell r="B1108" t="str">
            <v>41-1628-1</v>
          </cell>
        </row>
        <row r="1109">
          <cell r="A1109" t="str">
            <v>ST034547</v>
          </cell>
          <cell r="B1109" t="str">
            <v>A5316</v>
          </cell>
        </row>
        <row r="1110">
          <cell r="A1110" t="str">
            <v>ST034333</v>
          </cell>
          <cell r="B1110" t="str">
            <v>61-3810-1</v>
          </cell>
        </row>
        <row r="1111">
          <cell r="A1111">
            <v>108450</v>
          </cell>
          <cell r="B1111" t="str">
            <v>61-3959-1</v>
          </cell>
        </row>
        <row r="1112">
          <cell r="A1112" t="str">
            <v>ST034338</v>
          </cell>
          <cell r="B1112" t="str">
            <v>61-4099-3</v>
          </cell>
        </row>
        <row r="1113">
          <cell r="A1113">
            <v>108451</v>
          </cell>
          <cell r="B1113" t="str">
            <v>611-0192-001</v>
          </cell>
        </row>
        <row r="1114">
          <cell r="A1114">
            <v>108452</v>
          </cell>
          <cell r="B1114" t="str">
            <v>6425459-1</v>
          </cell>
        </row>
        <row r="1115">
          <cell r="A1115">
            <v>108453</v>
          </cell>
          <cell r="B1115" t="str">
            <v>65057424-1</v>
          </cell>
        </row>
        <row r="1116">
          <cell r="A1116" t="str">
            <v>ST034228</v>
          </cell>
          <cell r="B1116" t="str">
            <v>5849606-2KIT</v>
          </cell>
        </row>
        <row r="1117">
          <cell r="A1117" t="str">
            <v>ST034347</v>
          </cell>
          <cell r="B1117" t="str">
            <v>66-3361-1</v>
          </cell>
        </row>
        <row r="1118">
          <cell r="A1118" t="str">
            <v>ST034348</v>
          </cell>
          <cell r="B1118" t="str">
            <v>67040209-1KIT</v>
          </cell>
        </row>
        <row r="1119">
          <cell r="A1119" t="str">
            <v>ST034349</v>
          </cell>
          <cell r="B1119" t="str">
            <v>67040210-1KIT</v>
          </cell>
        </row>
        <row r="1120">
          <cell r="A1120" t="str">
            <v>ST034350</v>
          </cell>
          <cell r="B1120" t="str">
            <v>67040211-1KIT</v>
          </cell>
        </row>
        <row r="1121">
          <cell r="A1121" t="str">
            <v>ST034351</v>
          </cell>
          <cell r="B1121" t="str">
            <v>67040239-11</v>
          </cell>
        </row>
        <row r="1122">
          <cell r="A1122" t="str">
            <v>ST034352</v>
          </cell>
          <cell r="B1122" t="str">
            <v>67040239-7</v>
          </cell>
        </row>
        <row r="1123">
          <cell r="A1123" t="str">
            <v>ST034353</v>
          </cell>
          <cell r="B1123" t="str">
            <v>67040261-1KIT</v>
          </cell>
        </row>
        <row r="1124">
          <cell r="A1124" t="str">
            <v>ST034354</v>
          </cell>
          <cell r="B1124" t="str">
            <v>67040262-1KIT</v>
          </cell>
        </row>
        <row r="1125">
          <cell r="A1125" t="str">
            <v>ST034355</v>
          </cell>
          <cell r="B1125" t="str">
            <v>67040263-1KIT</v>
          </cell>
        </row>
        <row r="1126">
          <cell r="A1126" t="str">
            <v>ST034356</v>
          </cell>
          <cell r="B1126" t="str">
            <v>67040264-1KIT</v>
          </cell>
        </row>
        <row r="1127">
          <cell r="A1127" t="str">
            <v>ST034358</v>
          </cell>
          <cell r="B1127" t="str">
            <v>67040266-1KIT</v>
          </cell>
        </row>
        <row r="1128">
          <cell r="A1128" t="str">
            <v>ST034359</v>
          </cell>
          <cell r="B1128" t="str">
            <v>67040267-1KIT</v>
          </cell>
        </row>
        <row r="1129">
          <cell r="A1129" t="str">
            <v>ST034227</v>
          </cell>
          <cell r="B1129" t="str">
            <v>5849605-2KIT</v>
          </cell>
        </row>
        <row r="1130">
          <cell r="A1130" t="str">
            <v>ST034475</v>
          </cell>
          <cell r="B1130" t="str">
            <v>72324831-1</v>
          </cell>
        </row>
        <row r="1131">
          <cell r="A1131" t="str">
            <v>ST034363</v>
          </cell>
          <cell r="B1131" t="str">
            <v>67040276-1KIT</v>
          </cell>
        </row>
        <row r="1132">
          <cell r="A1132" t="str">
            <v>ST034159</v>
          </cell>
          <cell r="B1132" t="str">
            <v>41-1291-1</v>
          </cell>
        </row>
        <row r="1133">
          <cell r="A1133" t="str">
            <v>ST034092</v>
          </cell>
          <cell r="B1133" t="str">
            <v>31-3251-3</v>
          </cell>
        </row>
        <row r="1134">
          <cell r="A1134" t="str">
            <v>ST034091</v>
          </cell>
          <cell r="B1134" t="str">
            <v>31-3251-1</v>
          </cell>
        </row>
        <row r="1135">
          <cell r="A1135" t="str">
            <v>ST034143</v>
          </cell>
          <cell r="B1135" t="str">
            <v>31-8686-1</v>
          </cell>
        </row>
        <row r="1136">
          <cell r="A1136" t="str">
            <v>ST034328</v>
          </cell>
          <cell r="B1136" t="str">
            <v>61-3621-1</v>
          </cell>
        </row>
        <row r="1137">
          <cell r="A1137" t="str">
            <v>ST034370</v>
          </cell>
          <cell r="B1137" t="str">
            <v>67040286-1KIT</v>
          </cell>
        </row>
        <row r="1138">
          <cell r="A1138" t="str">
            <v>ST034371</v>
          </cell>
          <cell r="B1138" t="str">
            <v>67040331-1KIT</v>
          </cell>
        </row>
        <row r="1139">
          <cell r="A1139">
            <v>108454</v>
          </cell>
          <cell r="B1139" t="str">
            <v>67040689-1KIT</v>
          </cell>
        </row>
        <row r="1140">
          <cell r="A1140" t="str">
            <v>ST034374</v>
          </cell>
          <cell r="B1140" t="str">
            <v>67040691-1KIT</v>
          </cell>
        </row>
        <row r="1141">
          <cell r="A1141">
            <v>108455</v>
          </cell>
          <cell r="B1141" t="str">
            <v>67040692-1KIT</v>
          </cell>
        </row>
        <row r="1142">
          <cell r="A1142" t="str">
            <v>ST034376</v>
          </cell>
          <cell r="B1142" t="str">
            <v>67040711-1KIT</v>
          </cell>
        </row>
        <row r="1143">
          <cell r="A1143" t="str">
            <v>ST034377</v>
          </cell>
          <cell r="B1143" t="str">
            <v>67040712-1KIT</v>
          </cell>
        </row>
        <row r="1144">
          <cell r="A1144">
            <v>108456</v>
          </cell>
          <cell r="B1144" t="str">
            <v>67041186-1</v>
          </cell>
        </row>
        <row r="1145">
          <cell r="A1145" t="str">
            <v>ST034379</v>
          </cell>
          <cell r="B1145" t="str">
            <v>67041186-2</v>
          </cell>
        </row>
        <row r="1146">
          <cell r="A1146" t="str">
            <v>ST034380</v>
          </cell>
          <cell r="B1146" t="str">
            <v>67041186-4</v>
          </cell>
        </row>
        <row r="1147">
          <cell r="A1147" t="str">
            <v>ST034152</v>
          </cell>
          <cell r="B1147" t="str">
            <v>32-4476-1</v>
          </cell>
        </row>
        <row r="1148">
          <cell r="A1148" t="str">
            <v>ST034382</v>
          </cell>
          <cell r="B1148" t="str">
            <v>67041186-6</v>
          </cell>
        </row>
        <row r="1149">
          <cell r="A1149" t="str">
            <v>ST034383</v>
          </cell>
          <cell r="B1149" t="str">
            <v>67041186-7</v>
          </cell>
        </row>
        <row r="1150">
          <cell r="A1150" t="str">
            <v>ST034386</v>
          </cell>
          <cell r="B1150" t="str">
            <v>67041352-305</v>
          </cell>
        </row>
        <row r="1151">
          <cell r="A1151" t="str">
            <v>ST034216</v>
          </cell>
          <cell r="B1151" t="str">
            <v>56-0300-1</v>
          </cell>
        </row>
        <row r="1152">
          <cell r="A1152" t="str">
            <v>ST034387</v>
          </cell>
          <cell r="B1152" t="str">
            <v>67041352-313</v>
          </cell>
        </row>
        <row r="1153">
          <cell r="A1153" t="str">
            <v>ST034407</v>
          </cell>
          <cell r="B1153" t="str">
            <v>67041352-353</v>
          </cell>
        </row>
        <row r="1154">
          <cell r="A1154">
            <v>108457</v>
          </cell>
          <cell r="B1154" t="str">
            <v>67041352-319</v>
          </cell>
        </row>
        <row r="1155">
          <cell r="A1155" t="str">
            <v>ST034077</v>
          </cell>
          <cell r="B1155" t="str">
            <v>31-1493-1</v>
          </cell>
        </row>
        <row r="1156">
          <cell r="A1156" t="str">
            <v>ST034083</v>
          </cell>
          <cell r="B1156" t="str">
            <v>31-2291-1</v>
          </cell>
        </row>
        <row r="1157">
          <cell r="A1157" t="str">
            <v>ST034142</v>
          </cell>
          <cell r="B1157" t="str">
            <v>31-8585-1</v>
          </cell>
        </row>
        <row r="1158">
          <cell r="A1158" t="str">
            <v>ST034394</v>
          </cell>
          <cell r="B1158" t="str">
            <v>67041352-327</v>
          </cell>
        </row>
        <row r="1159">
          <cell r="A1159" t="str">
            <v>ST034209</v>
          </cell>
          <cell r="B1159" t="str">
            <v>51-0722-1</v>
          </cell>
        </row>
        <row r="1160">
          <cell r="A1160" t="str">
            <v>ST034410</v>
          </cell>
          <cell r="B1160" t="str">
            <v>67041352-359</v>
          </cell>
        </row>
        <row r="1161">
          <cell r="A1161" t="str">
            <v>ST034412</v>
          </cell>
          <cell r="B1161" t="str">
            <v>67041352-363</v>
          </cell>
        </row>
        <row r="1162">
          <cell r="A1162" t="str">
            <v>ST034398</v>
          </cell>
          <cell r="B1162" t="str">
            <v>67041352-335</v>
          </cell>
        </row>
        <row r="1163">
          <cell r="A1163" t="str">
            <v>ST034413</v>
          </cell>
          <cell r="B1163" t="str">
            <v>67041352-365</v>
          </cell>
        </row>
        <row r="1164">
          <cell r="A1164" t="str">
            <v>ST034400</v>
          </cell>
          <cell r="B1164" t="str">
            <v>67041352-339</v>
          </cell>
        </row>
        <row r="1165">
          <cell r="A1165" t="str">
            <v>ST034401</v>
          </cell>
          <cell r="B1165" t="str">
            <v>67041352-341</v>
          </cell>
        </row>
        <row r="1166">
          <cell r="A1166" t="str">
            <v>ST034402</v>
          </cell>
          <cell r="B1166" t="str">
            <v>67041352-343</v>
          </cell>
        </row>
        <row r="1167">
          <cell r="A1167">
            <v>108461</v>
          </cell>
          <cell r="B1167" t="str">
            <v>67041352-367</v>
          </cell>
        </row>
        <row r="1168">
          <cell r="A1168" t="str">
            <v>ST034491</v>
          </cell>
          <cell r="B1168" t="str">
            <v>72326238-1</v>
          </cell>
        </row>
        <row r="1169">
          <cell r="A1169" t="str">
            <v>ST034492</v>
          </cell>
          <cell r="B1169" t="str">
            <v>72326238-2</v>
          </cell>
        </row>
        <row r="1170">
          <cell r="A1170" t="str">
            <v>ST034493</v>
          </cell>
          <cell r="B1170" t="str">
            <v>72326238-3</v>
          </cell>
        </row>
        <row r="1171">
          <cell r="A1171" t="str">
            <v>ST034494</v>
          </cell>
          <cell r="B1171" t="str">
            <v>72326238-4</v>
          </cell>
        </row>
        <row r="1172">
          <cell r="A1172">
            <v>108459</v>
          </cell>
          <cell r="B1172" t="str">
            <v>67041352-355</v>
          </cell>
        </row>
        <row r="1173">
          <cell r="A1173" t="str">
            <v>ST034409</v>
          </cell>
          <cell r="B1173" t="str">
            <v>67041352-357</v>
          </cell>
        </row>
        <row r="1174">
          <cell r="A1174" t="str">
            <v>ST034537</v>
          </cell>
          <cell r="B1174" t="str">
            <v>A3657A</v>
          </cell>
        </row>
        <row r="1175">
          <cell r="A1175">
            <v>108460</v>
          </cell>
          <cell r="B1175" t="str">
            <v>67041352-361</v>
          </cell>
        </row>
        <row r="1176">
          <cell r="A1176" t="str">
            <v>ST034566</v>
          </cell>
          <cell r="B1176" t="str">
            <v>A9292-1</v>
          </cell>
        </row>
        <row r="1177">
          <cell r="A1177" t="str">
            <v>ST034151</v>
          </cell>
          <cell r="B1177" t="str">
            <v>32-4065-3</v>
          </cell>
        </row>
        <row r="1178">
          <cell r="A1178">
            <v>108462</v>
          </cell>
          <cell r="B1178" t="str">
            <v>67041352-373</v>
          </cell>
        </row>
        <row r="1179">
          <cell r="A1179" t="str">
            <v>ST034418</v>
          </cell>
          <cell r="B1179" t="str">
            <v>67041352-375</v>
          </cell>
        </row>
        <row r="1180">
          <cell r="A1180" t="str">
            <v>ST034288</v>
          </cell>
          <cell r="B1180" t="str">
            <v>60-2683-3</v>
          </cell>
        </row>
        <row r="1181">
          <cell r="A1181" t="str">
            <v>ST034420</v>
          </cell>
          <cell r="B1181" t="str">
            <v>67041352-379</v>
          </cell>
        </row>
        <row r="1182">
          <cell r="A1182" t="str">
            <v>ST036138</v>
          </cell>
          <cell r="B1182" t="str">
            <v>51-0353-1</v>
          </cell>
        </row>
        <row r="1183">
          <cell r="A1183" t="str">
            <v>ST034423</v>
          </cell>
          <cell r="B1183" t="str">
            <v>67041352-385</v>
          </cell>
        </row>
        <row r="1184">
          <cell r="A1184" t="str">
            <v>ST034424</v>
          </cell>
          <cell r="B1184" t="str">
            <v>67041352-387</v>
          </cell>
        </row>
        <row r="1185">
          <cell r="A1185" t="str">
            <v>ST034032</v>
          </cell>
          <cell r="B1185" t="str">
            <v>11986-1</v>
          </cell>
        </row>
        <row r="1186">
          <cell r="A1186" t="str">
            <v>ST034162</v>
          </cell>
          <cell r="B1186" t="str">
            <v>41-1469-1</v>
          </cell>
        </row>
        <row r="1187">
          <cell r="A1187" t="str">
            <v>ST034427</v>
          </cell>
          <cell r="B1187" t="str">
            <v>67041946-2</v>
          </cell>
        </row>
        <row r="1188">
          <cell r="A1188" t="str">
            <v>ST034275</v>
          </cell>
          <cell r="B1188" t="str">
            <v>60-0390-7</v>
          </cell>
        </row>
        <row r="1189">
          <cell r="A1189" t="str">
            <v>ST034429</v>
          </cell>
          <cell r="B1189" t="str">
            <v>67041946-4</v>
          </cell>
        </row>
        <row r="1190">
          <cell r="A1190" t="str">
            <v>ST034561</v>
          </cell>
          <cell r="B1190" t="str">
            <v>A8083</v>
          </cell>
        </row>
        <row r="1191">
          <cell r="A1191">
            <v>108463</v>
          </cell>
          <cell r="B1191" t="str">
            <v>67221272-1</v>
          </cell>
        </row>
        <row r="1192">
          <cell r="A1192" t="str">
            <v>ST034568</v>
          </cell>
          <cell r="B1192" t="str">
            <v>A9602-1</v>
          </cell>
        </row>
        <row r="1193">
          <cell r="A1193" t="str">
            <v>ST034255</v>
          </cell>
          <cell r="B1193" t="str">
            <v>5850467-7</v>
          </cell>
        </row>
        <row r="1194">
          <cell r="A1194" t="str">
            <v>ST034362</v>
          </cell>
          <cell r="B1194" t="str">
            <v>67040271-1KIT</v>
          </cell>
        </row>
        <row r="1195">
          <cell r="A1195" t="str">
            <v>ST034437</v>
          </cell>
          <cell r="B1195" t="str">
            <v>67222229-14</v>
          </cell>
        </row>
        <row r="1196">
          <cell r="A1196" t="str">
            <v>ST034438</v>
          </cell>
          <cell r="B1196" t="str">
            <v>67222229-15</v>
          </cell>
        </row>
        <row r="1197">
          <cell r="A1197">
            <v>108464</v>
          </cell>
          <cell r="B1197" t="str">
            <v>67222229-16</v>
          </cell>
        </row>
        <row r="1198">
          <cell r="A1198" t="str">
            <v>ST034441</v>
          </cell>
          <cell r="B1198" t="str">
            <v>67222229-18</v>
          </cell>
        </row>
        <row r="1199">
          <cell r="A1199">
            <v>108465</v>
          </cell>
          <cell r="B1199" t="str">
            <v>67222229-19</v>
          </cell>
        </row>
        <row r="1200">
          <cell r="A1200" t="str">
            <v>ST034444</v>
          </cell>
          <cell r="B1200" t="str">
            <v>67222229-20</v>
          </cell>
        </row>
        <row r="1201">
          <cell r="A1201" t="str">
            <v>ST034445</v>
          </cell>
          <cell r="B1201" t="str">
            <v>67222229-21</v>
          </cell>
        </row>
        <row r="1202">
          <cell r="A1202">
            <v>108466</v>
          </cell>
          <cell r="B1202" t="str">
            <v>67222229-22</v>
          </cell>
        </row>
        <row r="1203">
          <cell r="A1203" t="str">
            <v>ST034015</v>
          </cell>
          <cell r="B1203" t="str">
            <v>10317-1</v>
          </cell>
        </row>
        <row r="1204">
          <cell r="A1204" t="str">
            <v>ST034096</v>
          </cell>
          <cell r="B1204" t="str">
            <v>31-3607-1</v>
          </cell>
        </row>
        <row r="1205">
          <cell r="A1205" t="str">
            <v>ST034184</v>
          </cell>
          <cell r="B1205" t="str">
            <v>46-3295-5</v>
          </cell>
        </row>
        <row r="1206">
          <cell r="A1206" t="str">
            <v>ST034230</v>
          </cell>
          <cell r="B1206" t="str">
            <v>5849859-10</v>
          </cell>
        </row>
        <row r="1207">
          <cell r="A1207" t="str">
            <v>ST034231</v>
          </cell>
          <cell r="B1207" t="str">
            <v>5849859-12</v>
          </cell>
        </row>
        <row r="1208">
          <cell r="A1208" t="str">
            <v>ST034095</v>
          </cell>
          <cell r="B1208" t="str">
            <v>31-3373-1</v>
          </cell>
        </row>
        <row r="1209">
          <cell r="A1209">
            <v>108467</v>
          </cell>
          <cell r="B1209" t="str">
            <v>67222229-4</v>
          </cell>
        </row>
        <row r="1210">
          <cell r="A1210">
            <v>108468</v>
          </cell>
          <cell r="B1210" t="str">
            <v>67222229-5</v>
          </cell>
        </row>
        <row r="1211">
          <cell r="A1211">
            <v>108469</v>
          </cell>
          <cell r="B1211" t="str">
            <v>67222229-6</v>
          </cell>
        </row>
        <row r="1212">
          <cell r="A1212">
            <v>108470</v>
          </cell>
          <cell r="B1212" t="str">
            <v>67222229-7</v>
          </cell>
        </row>
        <row r="1213">
          <cell r="A1213">
            <v>108471</v>
          </cell>
          <cell r="B1213" t="str">
            <v>67222229-8</v>
          </cell>
        </row>
        <row r="1214">
          <cell r="A1214">
            <v>108472</v>
          </cell>
          <cell r="B1214" t="str">
            <v>67222315-1</v>
          </cell>
        </row>
        <row r="1215">
          <cell r="A1215" t="str">
            <v>ST034461</v>
          </cell>
          <cell r="B1215" t="str">
            <v>67411390-1</v>
          </cell>
        </row>
        <row r="1216">
          <cell r="A1216" t="str">
            <v>ST034462</v>
          </cell>
          <cell r="B1216" t="str">
            <v>67411391-2</v>
          </cell>
        </row>
        <row r="1217">
          <cell r="A1217" t="str">
            <v>ST034463</v>
          </cell>
          <cell r="B1217" t="str">
            <v>67411392-1</v>
          </cell>
        </row>
        <row r="1218">
          <cell r="A1218" t="str">
            <v>ST034464</v>
          </cell>
          <cell r="B1218" t="str">
            <v>67620534-1</v>
          </cell>
        </row>
        <row r="1219">
          <cell r="A1219">
            <v>108473</v>
          </cell>
          <cell r="B1219" t="str">
            <v>67620933-2</v>
          </cell>
        </row>
        <row r="1220">
          <cell r="A1220" t="str">
            <v>ST034466</v>
          </cell>
          <cell r="B1220" t="str">
            <v>71-0536-1</v>
          </cell>
        </row>
        <row r="1221">
          <cell r="A1221" t="str">
            <v>ST034538</v>
          </cell>
          <cell r="B1221" t="str">
            <v>A3712-1</v>
          </cell>
        </row>
        <row r="1222">
          <cell r="A1222" t="str">
            <v>ST034550</v>
          </cell>
          <cell r="B1222" t="str">
            <v>A5982-1</v>
          </cell>
        </row>
        <row r="1223">
          <cell r="A1223" t="str">
            <v>ST034469</v>
          </cell>
          <cell r="B1223" t="str">
            <v>71-1110-5</v>
          </cell>
        </row>
        <row r="1224">
          <cell r="A1224" t="str">
            <v>ST034101</v>
          </cell>
          <cell r="B1224" t="str">
            <v>31-4542-1</v>
          </cell>
        </row>
        <row r="1225">
          <cell r="A1225" t="str">
            <v>ST034357</v>
          </cell>
          <cell r="B1225" t="str">
            <v>67040265-1KIT</v>
          </cell>
        </row>
        <row r="1226">
          <cell r="A1226" t="str">
            <v>ST034426</v>
          </cell>
          <cell r="B1226" t="str">
            <v>67041946-1</v>
          </cell>
        </row>
        <row r="1227">
          <cell r="A1227" t="str">
            <v>ST034473</v>
          </cell>
          <cell r="B1227" t="str">
            <v>71-1373-7</v>
          </cell>
        </row>
        <row r="1228">
          <cell r="A1228">
            <v>108475</v>
          </cell>
          <cell r="B1228" t="str">
            <v>722-0508-9015</v>
          </cell>
        </row>
        <row r="1229">
          <cell r="A1229" t="str">
            <v>ST034428</v>
          </cell>
          <cell r="B1229" t="str">
            <v>67041946-3</v>
          </cell>
        </row>
        <row r="1230">
          <cell r="A1230">
            <v>108476</v>
          </cell>
          <cell r="B1230" t="str">
            <v>72324875-1</v>
          </cell>
        </row>
        <row r="1231">
          <cell r="A1231" t="str">
            <v>ST034361</v>
          </cell>
          <cell r="B1231" t="str">
            <v>67040269-1KIT</v>
          </cell>
        </row>
        <row r="1232">
          <cell r="A1232" t="str">
            <v>ST034365</v>
          </cell>
          <cell r="B1232" t="str">
            <v>67040278-1KIT</v>
          </cell>
        </row>
        <row r="1233">
          <cell r="A1233" t="str">
            <v>ST034481</v>
          </cell>
          <cell r="B1233" t="str">
            <v>72325933-1</v>
          </cell>
        </row>
        <row r="1234">
          <cell r="A1234">
            <v>108477</v>
          </cell>
          <cell r="B1234" t="str">
            <v>72325946-1</v>
          </cell>
        </row>
        <row r="1235">
          <cell r="A1235" t="str">
            <v>ST034367</v>
          </cell>
          <cell r="B1235" t="str">
            <v>67040280-1KIT</v>
          </cell>
        </row>
        <row r="1236">
          <cell r="A1236" t="str">
            <v>ST034526</v>
          </cell>
          <cell r="B1236" t="str">
            <v>A2109-4</v>
          </cell>
        </row>
        <row r="1237">
          <cell r="A1237">
            <v>108478</v>
          </cell>
          <cell r="B1237" t="str">
            <v>72326193-1</v>
          </cell>
        </row>
        <row r="1238">
          <cell r="A1238" t="str">
            <v>ST034488</v>
          </cell>
          <cell r="B1238" t="str">
            <v>72326205-3</v>
          </cell>
        </row>
        <row r="1239">
          <cell r="A1239" t="str">
            <v>ST034266</v>
          </cell>
          <cell r="B1239" t="str">
            <v>5850628-1KIT</v>
          </cell>
        </row>
        <row r="1240">
          <cell r="A1240" t="str">
            <v>ST034372</v>
          </cell>
          <cell r="B1240" t="str">
            <v>67040332-1KIT</v>
          </cell>
        </row>
        <row r="1241">
          <cell r="A1241" t="str">
            <v>ST034021</v>
          </cell>
          <cell r="B1241" t="str">
            <v>11-0684-1</v>
          </cell>
        </row>
        <row r="1242">
          <cell r="A1242" t="str">
            <v>ST034495</v>
          </cell>
          <cell r="B1242" t="str">
            <v>72326606-1</v>
          </cell>
        </row>
        <row r="1243">
          <cell r="A1243" t="str">
            <v>ST034177</v>
          </cell>
          <cell r="B1243" t="str">
            <v>46-1626-1</v>
          </cell>
        </row>
        <row r="1244">
          <cell r="A1244" t="str">
            <v>ST034360</v>
          </cell>
          <cell r="B1244" t="str">
            <v>67040268-1KIT</v>
          </cell>
        </row>
        <row r="1245">
          <cell r="A1245" t="str">
            <v>ST034369</v>
          </cell>
          <cell r="B1245" t="str">
            <v>67040285-1KIT</v>
          </cell>
        </row>
        <row r="1246">
          <cell r="A1246" t="str">
            <v>ST034500</v>
          </cell>
          <cell r="B1246" t="str">
            <v>72464244-001</v>
          </cell>
        </row>
        <row r="1247">
          <cell r="A1247" t="str">
            <v>ST034501</v>
          </cell>
          <cell r="B1247" t="str">
            <v>72464288-001</v>
          </cell>
        </row>
        <row r="1248">
          <cell r="A1248">
            <v>108480</v>
          </cell>
          <cell r="B1248" t="str">
            <v>72552811-1</v>
          </cell>
        </row>
        <row r="1249">
          <cell r="A1249" t="str">
            <v>ST034089</v>
          </cell>
          <cell r="B1249" t="str">
            <v>31-3233-3</v>
          </cell>
        </row>
        <row r="1250">
          <cell r="A1250">
            <v>108481</v>
          </cell>
          <cell r="B1250" t="str">
            <v>72614410-1</v>
          </cell>
        </row>
        <row r="1251">
          <cell r="A1251">
            <v>108482</v>
          </cell>
          <cell r="B1251" t="str">
            <v>8534126-38</v>
          </cell>
        </row>
        <row r="1252">
          <cell r="A1252" t="str">
            <v>ST034170</v>
          </cell>
          <cell r="B1252" t="str">
            <v>46-0548-5</v>
          </cell>
        </row>
        <row r="1253">
          <cell r="A1253">
            <v>108484</v>
          </cell>
          <cell r="B1253" t="str">
            <v>91-0456-1</v>
          </cell>
        </row>
        <row r="1254">
          <cell r="A1254">
            <v>108485</v>
          </cell>
          <cell r="B1254" t="str">
            <v>91-0590-3</v>
          </cell>
        </row>
        <row r="1255">
          <cell r="A1255">
            <v>108486</v>
          </cell>
          <cell r="B1255" t="str">
            <v>91-0590-4</v>
          </cell>
        </row>
        <row r="1256">
          <cell r="A1256">
            <v>108487</v>
          </cell>
          <cell r="B1256" t="str">
            <v>91-0646-1</v>
          </cell>
        </row>
        <row r="1257">
          <cell r="A1257" t="str">
            <v>ST034514</v>
          </cell>
          <cell r="B1257" t="str">
            <v>91-0662-1</v>
          </cell>
        </row>
        <row r="1258">
          <cell r="A1258">
            <v>108488</v>
          </cell>
          <cell r="B1258" t="str">
            <v>91-0816-1</v>
          </cell>
        </row>
        <row r="1259">
          <cell r="A1259">
            <v>108489</v>
          </cell>
          <cell r="B1259" t="str">
            <v>91-1035-1</v>
          </cell>
        </row>
        <row r="1260">
          <cell r="A1260">
            <v>108490</v>
          </cell>
          <cell r="B1260" t="str">
            <v>91-1035-3</v>
          </cell>
        </row>
        <row r="1261">
          <cell r="A1261" t="str">
            <v>ST034518</v>
          </cell>
          <cell r="B1261" t="str">
            <v>91-1379-1</v>
          </cell>
        </row>
        <row r="1262">
          <cell r="A1262" t="str">
            <v>ST034022</v>
          </cell>
          <cell r="B1262" t="str">
            <v>11-0699-1</v>
          </cell>
        </row>
        <row r="1263">
          <cell r="A1263">
            <v>108491</v>
          </cell>
          <cell r="B1263" t="str">
            <v>91-1413-1</v>
          </cell>
        </row>
        <row r="1264">
          <cell r="A1264">
            <v>108492</v>
          </cell>
          <cell r="B1264" t="str">
            <v>91-1471-1</v>
          </cell>
        </row>
        <row r="1265">
          <cell r="A1265">
            <v>108493</v>
          </cell>
          <cell r="B1265" t="str">
            <v>91-1769-1</v>
          </cell>
        </row>
        <row r="1266">
          <cell r="A1266" t="str">
            <v>ST034524</v>
          </cell>
          <cell r="B1266" t="str">
            <v>A1257A3</v>
          </cell>
        </row>
        <row r="1267">
          <cell r="A1267" t="str">
            <v>ST034525</v>
          </cell>
          <cell r="B1267" t="str">
            <v>A2109-3</v>
          </cell>
        </row>
        <row r="1268">
          <cell r="A1268" t="str">
            <v>ST034527</v>
          </cell>
          <cell r="B1268" t="str">
            <v>A2109-9</v>
          </cell>
        </row>
        <row r="1269">
          <cell r="A1269" t="str">
            <v>ST034528</v>
          </cell>
          <cell r="B1269" t="str">
            <v>A2134</v>
          </cell>
        </row>
        <row r="1270">
          <cell r="A1270" t="str">
            <v>ST034051</v>
          </cell>
          <cell r="B1270" t="str">
            <v>16-2697-1</v>
          </cell>
        </row>
        <row r="1271">
          <cell r="A1271" t="str">
            <v>ST034165</v>
          </cell>
          <cell r="B1271" t="str">
            <v>41-1499-1</v>
          </cell>
        </row>
        <row r="1272">
          <cell r="A1272" t="str">
            <v>ST034531</v>
          </cell>
          <cell r="B1272" t="str">
            <v>A2364-1</v>
          </cell>
        </row>
        <row r="1273">
          <cell r="A1273" t="str">
            <v>ST034134</v>
          </cell>
          <cell r="B1273" t="str">
            <v>31-7940-1</v>
          </cell>
        </row>
        <row r="1274">
          <cell r="A1274" t="str">
            <v>ST034477</v>
          </cell>
          <cell r="B1274" t="str">
            <v>72325226-1</v>
          </cell>
        </row>
        <row r="1275">
          <cell r="A1275" t="str">
            <v>ST034130</v>
          </cell>
          <cell r="B1275" t="str">
            <v>31-7818-1</v>
          </cell>
        </row>
        <row r="1276">
          <cell r="A1276" t="str">
            <v>ST034081</v>
          </cell>
          <cell r="B1276" t="str">
            <v>31-1780-1</v>
          </cell>
        </row>
        <row r="1277">
          <cell r="A1277" t="str">
            <v>ST034135</v>
          </cell>
          <cell r="B1277" t="str">
            <v>31-7977-1</v>
          </cell>
        </row>
        <row r="1278">
          <cell r="A1278" t="str">
            <v>ST034539</v>
          </cell>
          <cell r="B1278" t="str">
            <v>A4149</v>
          </cell>
        </row>
        <row r="1279">
          <cell r="A1279" t="str">
            <v>ST034540</v>
          </cell>
          <cell r="B1279" t="str">
            <v>A4149-2</v>
          </cell>
        </row>
        <row r="1280">
          <cell r="A1280" t="str">
            <v>ST034147</v>
          </cell>
          <cell r="B1280" t="str">
            <v>31-9022-1</v>
          </cell>
        </row>
        <row r="1281">
          <cell r="A1281" t="str">
            <v>ST034543</v>
          </cell>
          <cell r="B1281" t="str">
            <v>A4838-1</v>
          </cell>
        </row>
        <row r="1282">
          <cell r="A1282" t="str">
            <v>ST034498</v>
          </cell>
          <cell r="B1282" t="str">
            <v>72327002-001</v>
          </cell>
        </row>
        <row r="1283">
          <cell r="A1283" t="str">
            <v>ST034499</v>
          </cell>
          <cell r="B1283" t="str">
            <v>72327003-001</v>
          </cell>
        </row>
        <row r="1284">
          <cell r="A1284" t="str">
            <v>ST034548</v>
          </cell>
          <cell r="B1284" t="str">
            <v>A5621-1</v>
          </cell>
        </row>
        <row r="1285">
          <cell r="A1285">
            <v>108494</v>
          </cell>
          <cell r="B1285" t="str">
            <v>A5982</v>
          </cell>
        </row>
        <row r="1286">
          <cell r="A1286" t="str">
            <v>ST034019</v>
          </cell>
          <cell r="B1286" t="str">
            <v>10877-1</v>
          </cell>
        </row>
        <row r="1287">
          <cell r="A1287">
            <v>108495</v>
          </cell>
          <cell r="B1287" t="str">
            <v>A5982-4</v>
          </cell>
        </row>
        <row r="1288">
          <cell r="A1288" t="str">
            <v>ST034128</v>
          </cell>
          <cell r="B1288" t="str">
            <v>31-7817-1</v>
          </cell>
        </row>
        <row r="1289">
          <cell r="A1289" t="str">
            <v>ST034505</v>
          </cell>
          <cell r="B1289" t="str">
            <v>72614445-1</v>
          </cell>
        </row>
        <row r="1290">
          <cell r="A1290" t="str">
            <v>ST034555</v>
          </cell>
          <cell r="B1290" t="str">
            <v>A7062</v>
          </cell>
        </row>
        <row r="1291">
          <cell r="A1291" t="str">
            <v>ST034545</v>
          </cell>
          <cell r="B1291" t="str">
            <v>A5291-1</v>
          </cell>
        </row>
        <row r="1292">
          <cell r="A1292" t="str">
            <v>ST034018</v>
          </cell>
          <cell r="B1292" t="str">
            <v>10877</v>
          </cell>
        </row>
        <row r="1293">
          <cell r="A1293" t="str">
            <v>ST034472</v>
          </cell>
          <cell r="B1293" t="str">
            <v>71-1373-5</v>
          </cell>
        </row>
        <row r="1294">
          <cell r="A1294" t="str">
            <v>ST034535</v>
          </cell>
          <cell r="B1294" t="str">
            <v>A3643</v>
          </cell>
        </row>
        <row r="1295">
          <cell r="A1295" t="str">
            <v>ST034560</v>
          </cell>
          <cell r="B1295" t="str">
            <v>A7914</v>
          </cell>
        </row>
        <row r="1296">
          <cell r="A1296" t="str">
            <v>ST034198</v>
          </cell>
          <cell r="B1296" t="str">
            <v>51-0324-1</v>
          </cell>
        </row>
        <row r="1297">
          <cell r="A1297" t="str">
            <v>ST034562</v>
          </cell>
          <cell r="B1297" t="str">
            <v>A8083-1</v>
          </cell>
        </row>
        <row r="1298">
          <cell r="A1298" t="str">
            <v>ST034563</v>
          </cell>
          <cell r="B1298" t="str">
            <v>A8918-1</v>
          </cell>
        </row>
        <row r="1299">
          <cell r="A1299" t="str">
            <v>ST034173</v>
          </cell>
          <cell r="B1299" t="str">
            <v>46-1444-3</v>
          </cell>
        </row>
        <row r="1300">
          <cell r="A1300" t="str">
            <v>ST034023</v>
          </cell>
          <cell r="B1300" t="str">
            <v>11-0760-1</v>
          </cell>
        </row>
        <row r="1301">
          <cell r="A1301" t="str">
            <v>ST034567</v>
          </cell>
          <cell r="B1301" t="str">
            <v>A9292-3</v>
          </cell>
        </row>
        <row r="1302">
          <cell r="A1302" t="str">
            <v>ST034185</v>
          </cell>
          <cell r="B1302" t="str">
            <v>46-3295-7</v>
          </cell>
        </row>
        <row r="1303">
          <cell r="A1303" t="str">
            <v>ST034569</v>
          </cell>
          <cell r="B1303" t="str">
            <v>A9602-5</v>
          </cell>
        </row>
        <row r="1304">
          <cell r="A1304">
            <v>108496</v>
          </cell>
          <cell r="B1304" t="str">
            <v>A9604-1</v>
          </cell>
        </row>
        <row r="1305">
          <cell r="A1305">
            <v>108497</v>
          </cell>
          <cell r="B1305" t="str">
            <v>A9654-1</v>
          </cell>
        </row>
        <row r="1306">
          <cell r="A1306">
            <v>108430</v>
          </cell>
          <cell r="B1306" t="str">
            <v>46-1444-1</v>
          </cell>
        </row>
        <row r="1307">
          <cell r="A1307" t="str">
            <v>ST034573</v>
          </cell>
          <cell r="B1307" t="str">
            <v>A9813-2</v>
          </cell>
        </row>
        <row r="1308">
          <cell r="A1308" t="str">
            <v>ST034181</v>
          </cell>
          <cell r="B1308" t="str">
            <v>46-2763-1</v>
          </cell>
        </row>
        <row r="1309">
          <cell r="A1309" t="str">
            <v>ST034180</v>
          </cell>
          <cell r="B1309" t="str">
            <v>46-2502-1</v>
          </cell>
        </row>
        <row r="1310">
          <cell r="A1310" t="str">
            <v>ST034112</v>
          </cell>
          <cell r="B1310" t="str">
            <v>31-5479-2</v>
          </cell>
        </row>
        <row r="1311">
          <cell r="A1311" t="str">
            <v>ST034577</v>
          </cell>
          <cell r="B1311" t="str">
            <v>BT131</v>
          </cell>
        </row>
        <row r="1312">
          <cell r="A1312" t="str">
            <v>ST034578</v>
          </cell>
          <cell r="B1312" t="str">
            <v>BT140</v>
          </cell>
        </row>
        <row r="1313">
          <cell r="A1313" t="str">
            <v>ST034579</v>
          </cell>
          <cell r="B1313" t="str">
            <v>LW158</v>
          </cell>
        </row>
        <row r="1314">
          <cell r="A1314" t="str">
            <v>ST034580</v>
          </cell>
          <cell r="B1314" t="str">
            <v>LW180</v>
          </cell>
        </row>
        <row r="1315">
          <cell r="A1315" t="str">
            <v>ST034581</v>
          </cell>
          <cell r="B1315" t="str">
            <v>MPS2800021</v>
          </cell>
        </row>
        <row r="1316">
          <cell r="A1316" t="str">
            <v>ST034582</v>
          </cell>
          <cell r="B1316" t="str">
            <v>MRS095</v>
          </cell>
        </row>
        <row r="1317">
          <cell r="A1317" t="str">
            <v>ST034583</v>
          </cell>
          <cell r="B1317" t="str">
            <v>MSC6701</v>
          </cell>
        </row>
        <row r="1318">
          <cell r="A1318" t="str">
            <v>ST034584</v>
          </cell>
          <cell r="B1318" t="str">
            <v>PET30543-3</v>
          </cell>
        </row>
        <row r="1319">
          <cell r="A1319" t="str">
            <v>ST034585</v>
          </cell>
          <cell r="B1319" t="str">
            <v>PET30543-5</v>
          </cell>
        </row>
        <row r="1320">
          <cell r="A1320" t="str">
            <v>ST034586</v>
          </cell>
          <cell r="B1320" t="str">
            <v>SIL045</v>
          </cell>
        </row>
        <row r="1321">
          <cell r="A1321" t="str">
            <v>ST034587</v>
          </cell>
          <cell r="B1321" t="str">
            <v>SIL070</v>
          </cell>
        </row>
        <row r="1322">
          <cell r="A1322" t="str">
            <v>ST034588</v>
          </cell>
          <cell r="B1322" t="str">
            <v>SIL085</v>
          </cell>
        </row>
        <row r="1323">
          <cell r="A1323" t="str">
            <v>ST034589</v>
          </cell>
          <cell r="B1323" t="str">
            <v>SIL121</v>
          </cell>
        </row>
        <row r="1324">
          <cell r="A1324" t="str">
            <v>ST034590</v>
          </cell>
          <cell r="B1324" t="str">
            <v>SIL1415</v>
          </cell>
        </row>
        <row r="1325">
          <cell r="A1325" t="str">
            <v>ST034591</v>
          </cell>
          <cell r="B1325" t="str">
            <v>SIL146</v>
          </cell>
        </row>
        <row r="1326">
          <cell r="A1326" t="str">
            <v>ST034592</v>
          </cell>
          <cell r="B1326" t="str">
            <v>SIL160</v>
          </cell>
        </row>
        <row r="1327">
          <cell r="A1327" t="str">
            <v>ST036126</v>
          </cell>
          <cell r="B1327" t="str">
            <v>1050086</v>
          </cell>
        </row>
        <row r="1328">
          <cell r="A1328">
            <v>108499</v>
          </cell>
          <cell r="B1328" t="str">
            <v>12468</v>
          </cell>
        </row>
        <row r="1329">
          <cell r="A1329">
            <v>108500</v>
          </cell>
          <cell r="B1329" t="str">
            <v>16-1665-1</v>
          </cell>
        </row>
        <row r="1330">
          <cell r="A1330">
            <v>108501</v>
          </cell>
          <cell r="B1330" t="str">
            <v>2352847-3//DEV</v>
          </cell>
        </row>
        <row r="1331">
          <cell r="A1331" t="str">
            <v>ST034098</v>
          </cell>
          <cell r="B1331" t="str">
            <v>31-3930-1</v>
          </cell>
        </row>
        <row r="1332">
          <cell r="A1332" t="str">
            <v>ST036131</v>
          </cell>
          <cell r="B1332" t="str">
            <v>31-4978-7</v>
          </cell>
        </row>
        <row r="1333">
          <cell r="A1333">
            <v>108502</v>
          </cell>
          <cell r="B1333" t="str">
            <v>31-6720-1</v>
          </cell>
        </row>
        <row r="1334">
          <cell r="A1334">
            <v>108503</v>
          </cell>
          <cell r="B1334" t="str">
            <v>31-7377-1</v>
          </cell>
        </row>
        <row r="1335">
          <cell r="A1335" t="str">
            <v>ST036134</v>
          </cell>
          <cell r="B1335" t="str">
            <v>31-8622-1</v>
          </cell>
        </row>
        <row r="1336">
          <cell r="A1336" t="str">
            <v>ST036136</v>
          </cell>
          <cell r="B1336" t="str">
            <v>4008008</v>
          </cell>
        </row>
        <row r="1337">
          <cell r="A1337">
            <v>108504</v>
          </cell>
          <cell r="B1337" t="str">
            <v>403-2060-001</v>
          </cell>
        </row>
        <row r="1338">
          <cell r="A1338" t="str">
            <v>ST034150</v>
          </cell>
          <cell r="B1338" t="str">
            <v>31-9944-1</v>
          </cell>
        </row>
        <row r="1339">
          <cell r="A1339" t="str">
            <v>ST034046</v>
          </cell>
          <cell r="B1339" t="str">
            <v>16-1356-1</v>
          </cell>
        </row>
        <row r="1340">
          <cell r="A1340">
            <v>108505</v>
          </cell>
          <cell r="B1340" t="str">
            <v>51-0572-1</v>
          </cell>
        </row>
        <row r="1341">
          <cell r="A1341" t="str">
            <v>ST034047</v>
          </cell>
          <cell r="B1341" t="str">
            <v>16-2415-1</v>
          </cell>
        </row>
        <row r="1342">
          <cell r="A1342" t="str">
            <v>ST036142</v>
          </cell>
          <cell r="B1342" t="str">
            <v>67040793-8</v>
          </cell>
        </row>
        <row r="1343">
          <cell r="A1343" t="str">
            <v>ST036143</v>
          </cell>
          <cell r="B1343" t="str">
            <v>A5621</v>
          </cell>
        </row>
        <row r="1344">
          <cell r="A1344" t="str">
            <v>ST036144</v>
          </cell>
          <cell r="B1344" t="str">
            <v>MPS1700016</v>
          </cell>
        </row>
        <row r="1345">
          <cell r="A1345" t="str">
            <v>ST036145</v>
          </cell>
          <cell r="B1345" t="str">
            <v>R1731-990</v>
          </cell>
        </row>
        <row r="1346">
          <cell r="A1346" t="str">
            <v>ST036146</v>
          </cell>
          <cell r="B1346" t="str">
            <v>R1761-440</v>
          </cell>
        </row>
        <row r="1347">
          <cell r="A1347" t="str">
            <v>ST036147</v>
          </cell>
          <cell r="B1347" t="str">
            <v>RU058</v>
          </cell>
        </row>
        <row r="1348">
          <cell r="A1348" t="str">
            <v>ST036148</v>
          </cell>
          <cell r="B1348" t="str">
            <v>RU160</v>
          </cell>
        </row>
        <row r="1349">
          <cell r="A1349" t="str">
            <v>ST036149</v>
          </cell>
          <cell r="B1349" t="str">
            <v>SIL040</v>
          </cell>
        </row>
        <row r="1350">
          <cell r="A1350">
            <v>108253</v>
          </cell>
          <cell r="B1350">
            <v>12336781</v>
          </cell>
        </row>
        <row r="1351">
          <cell r="A1351">
            <v>108254</v>
          </cell>
          <cell r="B1351">
            <v>12336894</v>
          </cell>
        </row>
        <row r="1352">
          <cell r="A1352" t="str">
            <v>ST028510</v>
          </cell>
          <cell r="B1352" t="str">
            <v>155373-111</v>
          </cell>
        </row>
        <row r="1353">
          <cell r="A1353">
            <v>108255</v>
          </cell>
          <cell r="B1353" t="str">
            <v>157117-1</v>
          </cell>
        </row>
        <row r="1354">
          <cell r="A1354" t="str">
            <v>ST028517</v>
          </cell>
          <cell r="B1354" t="str">
            <v>158312-1</v>
          </cell>
        </row>
        <row r="1355">
          <cell r="A1355">
            <v>108256</v>
          </cell>
          <cell r="B1355" t="str">
            <v>159779-1</v>
          </cell>
        </row>
        <row r="1356">
          <cell r="A1356" t="str">
            <v>ST028522</v>
          </cell>
          <cell r="B1356" t="str">
            <v>159828-1</v>
          </cell>
        </row>
        <row r="1357">
          <cell r="A1357" t="str">
            <v>ST028526</v>
          </cell>
          <cell r="B1357" t="str">
            <v>175056-5</v>
          </cell>
        </row>
        <row r="1358">
          <cell r="A1358" t="str">
            <v>ST028531</v>
          </cell>
          <cell r="B1358" t="str">
            <v>192454-2</v>
          </cell>
        </row>
        <row r="1359">
          <cell r="A1359">
            <v>108258</v>
          </cell>
          <cell r="B1359">
            <v>203273</v>
          </cell>
        </row>
        <row r="1360">
          <cell r="A1360" t="str">
            <v>ST028550</v>
          </cell>
          <cell r="B1360" t="str">
            <v>206859</v>
          </cell>
        </row>
        <row r="1361">
          <cell r="A1361">
            <v>108259</v>
          </cell>
          <cell r="B1361">
            <v>206997</v>
          </cell>
        </row>
        <row r="1362">
          <cell r="A1362">
            <v>108263</v>
          </cell>
          <cell r="B1362" t="str">
            <v>2208740-1</v>
          </cell>
        </row>
        <row r="1363">
          <cell r="A1363" t="str">
            <v>ST028574</v>
          </cell>
          <cell r="B1363" t="str">
            <v>2208784-1</v>
          </cell>
        </row>
        <row r="1364">
          <cell r="A1364" t="str">
            <v>ST028575</v>
          </cell>
          <cell r="B1364" t="str">
            <v>2208793-1</v>
          </cell>
        </row>
        <row r="1365">
          <cell r="A1365" t="str">
            <v>ST028588</v>
          </cell>
          <cell r="B1365" t="str">
            <v>2301205-1</v>
          </cell>
        </row>
        <row r="1366">
          <cell r="A1366">
            <v>108264</v>
          </cell>
          <cell r="B1366" t="str">
            <v>2301206-1</v>
          </cell>
        </row>
        <row r="1367">
          <cell r="A1367" t="str">
            <v>ST028592</v>
          </cell>
          <cell r="B1367" t="str">
            <v>2302309-3</v>
          </cell>
        </row>
        <row r="1368">
          <cell r="A1368" t="str">
            <v>ST028600</v>
          </cell>
          <cell r="B1368" t="str">
            <v>2309947-1</v>
          </cell>
        </row>
        <row r="1369">
          <cell r="A1369" t="str">
            <v>ST028601</v>
          </cell>
          <cell r="B1369" t="str">
            <v>2309947-2</v>
          </cell>
        </row>
        <row r="1370">
          <cell r="A1370" t="str">
            <v>ST028819</v>
          </cell>
          <cell r="B1370" t="str">
            <v>26E90-1</v>
          </cell>
        </row>
        <row r="1371">
          <cell r="A1371" t="str">
            <v>ST034125</v>
          </cell>
          <cell r="B1371" t="str">
            <v>31-7718-1</v>
          </cell>
        </row>
        <row r="1372">
          <cell r="A1372">
            <v>108267</v>
          </cell>
          <cell r="B1372" t="str">
            <v>2710592-1</v>
          </cell>
        </row>
        <row r="1373">
          <cell r="A1373">
            <v>108268</v>
          </cell>
          <cell r="B1373" t="str">
            <v>2711769-1</v>
          </cell>
        </row>
        <row r="1374">
          <cell r="A1374">
            <v>108269</v>
          </cell>
          <cell r="B1374" t="str">
            <v>2711772-2</v>
          </cell>
        </row>
        <row r="1375">
          <cell r="A1375" t="str">
            <v>ST028829</v>
          </cell>
          <cell r="B1375" t="str">
            <v>2714009-2</v>
          </cell>
        </row>
        <row r="1376">
          <cell r="A1376" t="str">
            <v>ST028834</v>
          </cell>
          <cell r="B1376" t="str">
            <v>2743520-1</v>
          </cell>
        </row>
        <row r="1377">
          <cell r="A1377" t="str">
            <v>ST028835</v>
          </cell>
          <cell r="B1377" t="str">
            <v>2743521-1</v>
          </cell>
        </row>
        <row r="1378">
          <cell r="A1378" t="str">
            <v>ST028837</v>
          </cell>
          <cell r="B1378" t="str">
            <v>2748212-1</v>
          </cell>
        </row>
        <row r="1379">
          <cell r="A1379">
            <v>108270</v>
          </cell>
          <cell r="B1379" t="str">
            <v>2748289-2</v>
          </cell>
        </row>
        <row r="1380">
          <cell r="A1380">
            <v>108271</v>
          </cell>
          <cell r="B1380" t="str">
            <v>2784124-1</v>
          </cell>
        </row>
        <row r="1381">
          <cell r="A1381" t="str">
            <v>ST028846</v>
          </cell>
          <cell r="B1381" t="str">
            <v>2784192-2</v>
          </cell>
        </row>
        <row r="1382">
          <cell r="A1382">
            <v>108272</v>
          </cell>
          <cell r="B1382" t="str">
            <v>2784193-1</v>
          </cell>
        </row>
        <row r="1383">
          <cell r="A1383" t="str">
            <v>ST028848</v>
          </cell>
          <cell r="B1383" t="str">
            <v>2784403-2</v>
          </cell>
        </row>
        <row r="1384">
          <cell r="A1384" t="str">
            <v>ST028852</v>
          </cell>
          <cell r="B1384" t="str">
            <v>2784608-1</v>
          </cell>
        </row>
        <row r="1385">
          <cell r="A1385" t="str">
            <v>ST034127</v>
          </cell>
          <cell r="B1385" t="str">
            <v>31-7790-1</v>
          </cell>
        </row>
        <row r="1386">
          <cell r="A1386">
            <v>108274</v>
          </cell>
          <cell r="B1386" t="str">
            <v>2784658-1</v>
          </cell>
        </row>
        <row r="1387">
          <cell r="A1387" t="str">
            <v>ST028855</v>
          </cell>
          <cell r="B1387" t="str">
            <v>2784711-2</v>
          </cell>
        </row>
        <row r="1388">
          <cell r="A1388" t="str">
            <v>ST028856</v>
          </cell>
          <cell r="B1388" t="str">
            <v>2786006-2</v>
          </cell>
        </row>
        <row r="1389">
          <cell r="A1389" t="str">
            <v>ST028860</v>
          </cell>
          <cell r="B1389" t="str">
            <v>2787578-1</v>
          </cell>
        </row>
        <row r="1390">
          <cell r="A1390">
            <v>108275</v>
          </cell>
          <cell r="B1390" t="str">
            <v>2788177-1</v>
          </cell>
        </row>
        <row r="1391">
          <cell r="A1391">
            <v>108276</v>
          </cell>
          <cell r="B1391" t="str">
            <v>2788197-1</v>
          </cell>
        </row>
        <row r="1392">
          <cell r="A1392" t="str">
            <v>ST028867</v>
          </cell>
          <cell r="B1392" t="str">
            <v>2805633-1</v>
          </cell>
        </row>
        <row r="1393">
          <cell r="A1393" t="str">
            <v>ST028905</v>
          </cell>
          <cell r="B1393" t="str">
            <v>3169026-5</v>
          </cell>
        </row>
        <row r="1394">
          <cell r="A1394">
            <v>108292</v>
          </cell>
          <cell r="B1394" t="str">
            <v>46253-2</v>
          </cell>
        </row>
        <row r="1395">
          <cell r="A1395" t="str">
            <v>ST029027</v>
          </cell>
          <cell r="B1395" t="str">
            <v>47226-1</v>
          </cell>
        </row>
        <row r="1396">
          <cell r="A1396" t="str">
            <v>ST029028</v>
          </cell>
          <cell r="B1396" t="str">
            <v>47329-2</v>
          </cell>
        </row>
        <row r="1397">
          <cell r="A1397">
            <v>108293</v>
          </cell>
          <cell r="B1397" t="str">
            <v>515338-2</v>
          </cell>
        </row>
        <row r="1398">
          <cell r="A1398" t="str">
            <v>ST029036</v>
          </cell>
          <cell r="B1398" t="str">
            <v>531945-6</v>
          </cell>
        </row>
        <row r="1399">
          <cell r="A1399">
            <v>108294</v>
          </cell>
          <cell r="B1399" t="str">
            <v>582778-1</v>
          </cell>
        </row>
        <row r="1400">
          <cell r="A1400">
            <v>108295</v>
          </cell>
          <cell r="B1400" t="str">
            <v>5849207-1//RES</v>
          </cell>
        </row>
        <row r="1401">
          <cell r="A1401" t="str">
            <v>ST029047</v>
          </cell>
          <cell r="B1401" t="str">
            <v>5849243-1</v>
          </cell>
        </row>
        <row r="1402">
          <cell r="A1402">
            <v>108296</v>
          </cell>
          <cell r="B1402" t="str">
            <v>585271-1</v>
          </cell>
        </row>
        <row r="1403">
          <cell r="A1403" t="str">
            <v>ST029067</v>
          </cell>
          <cell r="B1403" t="str">
            <v>6310218E</v>
          </cell>
        </row>
        <row r="1404">
          <cell r="A1404" t="str">
            <v>ST029103</v>
          </cell>
          <cell r="B1404" t="str">
            <v>67411766-1</v>
          </cell>
        </row>
        <row r="1405">
          <cell r="A1405" t="str">
            <v>ST029104</v>
          </cell>
          <cell r="B1405" t="str">
            <v>67411781-1</v>
          </cell>
        </row>
        <row r="1406">
          <cell r="A1406" t="str">
            <v>ST029110</v>
          </cell>
          <cell r="B1406" t="str">
            <v>67620903-1</v>
          </cell>
        </row>
        <row r="1407">
          <cell r="A1407" t="str">
            <v>ST029112</v>
          </cell>
          <cell r="B1407" t="str">
            <v>67621560-1</v>
          </cell>
        </row>
        <row r="1408">
          <cell r="A1408">
            <v>108297</v>
          </cell>
          <cell r="B1408" t="str">
            <v>681719-1</v>
          </cell>
        </row>
        <row r="1409">
          <cell r="A1409" t="str">
            <v>ST029159</v>
          </cell>
          <cell r="B1409" t="str">
            <v>801044-1</v>
          </cell>
        </row>
        <row r="1410">
          <cell r="A1410">
            <v>108302</v>
          </cell>
          <cell r="B1410" t="str">
            <v>801356-5</v>
          </cell>
        </row>
        <row r="1411">
          <cell r="A1411" t="str">
            <v>ST034140</v>
          </cell>
          <cell r="B1411" t="str">
            <v>31-8553-1</v>
          </cell>
        </row>
        <row r="1412">
          <cell r="A1412" t="str">
            <v>ST034168</v>
          </cell>
          <cell r="B1412" t="str">
            <v>46-0441-1</v>
          </cell>
        </row>
        <row r="1413">
          <cell r="A1413" t="str">
            <v>ST034298</v>
          </cell>
          <cell r="B1413" t="str">
            <v>60-5146-1</v>
          </cell>
        </row>
        <row r="1414">
          <cell r="A1414">
            <v>108303</v>
          </cell>
          <cell r="B1414" t="str">
            <v>MFG3-5475</v>
          </cell>
        </row>
        <row r="1415">
          <cell r="A1415">
            <v>108304</v>
          </cell>
          <cell r="B1415" t="str">
            <v>MFG3-5613</v>
          </cell>
        </row>
        <row r="1416">
          <cell r="A1416" t="str">
            <v>ST034572</v>
          </cell>
          <cell r="B1416" t="str">
            <v>A9669A3</v>
          </cell>
        </row>
        <row r="1417">
          <cell r="A1417">
            <v>108305</v>
          </cell>
          <cell r="B1417" t="str">
            <v>MFG3-7510</v>
          </cell>
        </row>
        <row r="1418">
          <cell r="A1418" t="str">
            <v>ST029213</v>
          </cell>
          <cell r="B1418" t="str">
            <v>POB67221892-1</v>
          </cell>
        </row>
        <row r="1419">
          <cell r="A1419" t="str">
            <v>ST034105</v>
          </cell>
          <cell r="B1419" t="str">
            <v>31-5213-1</v>
          </cell>
        </row>
        <row r="1420">
          <cell r="A1420" t="str">
            <v>ST034222</v>
          </cell>
          <cell r="B1420" t="str">
            <v>56-0600-1</v>
          </cell>
        </row>
        <row r="1421">
          <cell r="A1421" t="str">
            <v>ST034072</v>
          </cell>
          <cell r="B1421" t="str">
            <v>31-0870-5</v>
          </cell>
        </row>
        <row r="1422">
          <cell r="A1422" t="str">
            <v>ST034118</v>
          </cell>
          <cell r="B1422" t="str">
            <v>31-6792-1</v>
          </cell>
        </row>
        <row r="1423">
          <cell r="A1423" t="str">
            <v>ST034175</v>
          </cell>
          <cell r="B1423" t="str">
            <v>46-1607-1</v>
          </cell>
        </row>
        <row r="1424">
          <cell r="A1424" t="str">
            <v>ST034285</v>
          </cell>
          <cell r="B1424" t="str">
            <v>60-2369-7</v>
          </cell>
        </row>
        <row r="1425">
          <cell r="A1425" t="str">
            <v>ST034346</v>
          </cell>
          <cell r="B1425" t="str">
            <v>66-2625-1</v>
          </cell>
        </row>
        <row r="1426">
          <cell r="A1426" t="str">
            <v>ST034038</v>
          </cell>
          <cell r="B1426" t="str">
            <v>14977</v>
          </cell>
        </row>
        <row r="1427">
          <cell r="A1427" t="str">
            <v>ST034195</v>
          </cell>
          <cell r="B1427" t="str">
            <v>51-0078-3</v>
          </cell>
        </row>
        <row r="1428">
          <cell r="A1428" t="str">
            <v>ST034215</v>
          </cell>
          <cell r="B1428" t="str">
            <v>56-0225-1</v>
          </cell>
        </row>
        <row r="1429">
          <cell r="A1429" t="str">
            <v>ST034218</v>
          </cell>
          <cell r="B1429" t="str">
            <v>56-0347-1</v>
          </cell>
        </row>
        <row r="1430">
          <cell r="A1430" t="str">
            <v>ST034221</v>
          </cell>
          <cell r="B1430" t="str">
            <v>56-0410-1</v>
          </cell>
        </row>
        <row r="1431">
          <cell r="A1431" t="str">
            <v>ST034223</v>
          </cell>
          <cell r="B1431" t="str">
            <v>56-0668-1</v>
          </cell>
        </row>
        <row r="1432">
          <cell r="A1432" t="str">
            <v>ST034335</v>
          </cell>
          <cell r="B1432" t="str">
            <v>61-3959-3</v>
          </cell>
        </row>
        <row r="1433">
          <cell r="A1433" t="str">
            <v>ST034073</v>
          </cell>
          <cell r="B1433" t="str">
            <v>31-0870-9</v>
          </cell>
        </row>
        <row r="1434">
          <cell r="A1434" t="str">
            <v>ST034117</v>
          </cell>
          <cell r="B1434" t="str">
            <v>31-6676-1</v>
          </cell>
        </row>
        <row r="1435">
          <cell r="A1435" t="str">
            <v>ST034467</v>
          </cell>
          <cell r="B1435" t="str">
            <v>71-1110-1</v>
          </cell>
        </row>
        <row r="1436">
          <cell r="A1436" t="str">
            <v>ST034468</v>
          </cell>
          <cell r="B1436" t="str">
            <v>71-1110-3</v>
          </cell>
        </row>
        <row r="1437">
          <cell r="A1437" t="str">
            <v>ST034554</v>
          </cell>
          <cell r="B1437" t="str">
            <v>A6974-1</v>
          </cell>
        </row>
        <row r="1438">
          <cell r="A1438" t="str">
            <v>ST034559</v>
          </cell>
          <cell r="B1438" t="str">
            <v>A7632-3</v>
          </cell>
        </row>
        <row r="1439">
          <cell r="A1439" t="str">
            <v>ST034121</v>
          </cell>
          <cell r="B1439" t="str">
            <v>31-7137-1</v>
          </cell>
        </row>
        <row r="1440">
          <cell r="A1440" t="str">
            <v>ST036141</v>
          </cell>
          <cell r="B1440" t="str">
            <v>51-0848-1</v>
          </cell>
        </row>
        <row r="1441">
          <cell r="A1441" t="str">
            <v>ST034078</v>
          </cell>
          <cell r="B1441" t="str">
            <v>31-1493-13</v>
          </cell>
        </row>
        <row r="1442">
          <cell r="A1442" t="str">
            <v>ST034225</v>
          </cell>
          <cell r="B1442" t="str">
            <v>56-1095-1</v>
          </cell>
        </row>
        <row r="1443">
          <cell r="A1443" t="str">
            <v>ST028888</v>
          </cell>
          <cell r="B1443" t="str">
            <v>3074359-1</v>
          </cell>
        </row>
        <row r="1444">
          <cell r="A1444" t="str">
            <v>ST028883</v>
          </cell>
          <cell r="B1444" t="str">
            <v>3061963-2</v>
          </cell>
        </row>
        <row r="1445">
          <cell r="A1445">
            <v>108273</v>
          </cell>
          <cell r="B1445" t="str">
            <v>2784651-3</v>
          </cell>
        </row>
        <row r="1446">
          <cell r="A1446" t="str">
            <v>ST029210</v>
          </cell>
          <cell r="B1446" t="str">
            <v>MFG3-5614</v>
          </cell>
        </row>
        <row r="1447">
          <cell r="A1447" t="str">
            <v>ST029205</v>
          </cell>
          <cell r="B1447" t="str">
            <v>MFG2-9020</v>
          </cell>
        </row>
        <row r="1448">
          <cell r="A1448" t="str">
            <v>ST028822</v>
          </cell>
          <cell r="B1448" t="str">
            <v>2709991-1</v>
          </cell>
        </row>
        <row r="1449">
          <cell r="A1449">
            <v>108260</v>
          </cell>
          <cell r="B1449" t="str">
            <v>2205762-3</v>
          </cell>
        </row>
        <row r="1450">
          <cell r="A1450">
            <v>108261</v>
          </cell>
          <cell r="B1450" t="str">
            <v>2208695-3</v>
          </cell>
        </row>
        <row r="1451">
          <cell r="A1451">
            <v>108262</v>
          </cell>
          <cell r="B1451" t="str">
            <v>2208699-3</v>
          </cell>
        </row>
        <row r="1452">
          <cell r="A1452">
            <v>108265</v>
          </cell>
          <cell r="B1452" t="str">
            <v>2303960-1</v>
          </cell>
        </row>
        <row r="1453">
          <cell r="A1453">
            <v>108277</v>
          </cell>
          <cell r="B1453" t="str">
            <v>3036114-111</v>
          </cell>
        </row>
        <row r="1454">
          <cell r="A1454">
            <v>108281</v>
          </cell>
          <cell r="B1454" t="str">
            <v>3108233-3</v>
          </cell>
        </row>
        <row r="1455">
          <cell r="A1455">
            <v>108282</v>
          </cell>
          <cell r="B1455" t="str">
            <v>3179400-2</v>
          </cell>
        </row>
        <row r="1456">
          <cell r="A1456">
            <v>108283</v>
          </cell>
          <cell r="B1456" t="str">
            <v>3179401-3</v>
          </cell>
        </row>
        <row r="1457">
          <cell r="A1457">
            <v>108285</v>
          </cell>
          <cell r="B1457" t="str">
            <v>3503602-1</v>
          </cell>
        </row>
        <row r="1458">
          <cell r="A1458">
            <v>108286</v>
          </cell>
          <cell r="B1458" t="str">
            <v>3503818-2</v>
          </cell>
        </row>
        <row r="1459">
          <cell r="A1459">
            <v>108287</v>
          </cell>
          <cell r="B1459" t="str">
            <v>3503913-113</v>
          </cell>
        </row>
        <row r="1460">
          <cell r="A1460">
            <v>108288</v>
          </cell>
          <cell r="B1460" t="str">
            <v>3504043-111</v>
          </cell>
        </row>
        <row r="1461">
          <cell r="A1461">
            <v>108289</v>
          </cell>
          <cell r="B1461">
            <v>379518</v>
          </cell>
        </row>
        <row r="1462">
          <cell r="A1462">
            <v>108290</v>
          </cell>
          <cell r="B1462" t="str">
            <v>3827562-1</v>
          </cell>
        </row>
        <row r="1463">
          <cell r="A1463">
            <v>108298</v>
          </cell>
          <cell r="B1463" t="str">
            <v>698194-17</v>
          </cell>
        </row>
        <row r="1464">
          <cell r="A1464">
            <v>108299</v>
          </cell>
          <cell r="B1464" t="str">
            <v>698197-1</v>
          </cell>
        </row>
        <row r="1465">
          <cell r="A1465">
            <v>108300</v>
          </cell>
          <cell r="B1465" t="str">
            <v>698197-2</v>
          </cell>
        </row>
        <row r="1466">
          <cell r="A1466">
            <v>108301</v>
          </cell>
          <cell r="B1466" t="str">
            <v>698198-1</v>
          </cell>
        </row>
        <row r="1467">
          <cell r="A1467">
            <v>108306</v>
          </cell>
          <cell r="B1467" t="str">
            <v>2203253-3</v>
          </cell>
        </row>
        <row r="1468">
          <cell r="A1468">
            <v>108307</v>
          </cell>
          <cell r="B1468" t="str">
            <v>2204559-1</v>
          </cell>
        </row>
        <row r="1469">
          <cell r="A1469">
            <v>108308</v>
          </cell>
          <cell r="B1469" t="str">
            <v>2302422-1</v>
          </cell>
        </row>
        <row r="1470">
          <cell r="A1470">
            <v>108309</v>
          </cell>
          <cell r="B1470" t="str">
            <v>2783082-1</v>
          </cell>
        </row>
        <row r="1471">
          <cell r="A1471">
            <v>108310</v>
          </cell>
          <cell r="B1471" t="str">
            <v>3168677-1</v>
          </cell>
        </row>
        <row r="1472">
          <cell r="A1472">
            <v>108311</v>
          </cell>
          <cell r="B1472" t="str">
            <v>3169760-1</v>
          </cell>
        </row>
        <row r="1473">
          <cell r="A1473">
            <v>108312</v>
          </cell>
          <cell r="B1473" t="str">
            <v>3170679-4</v>
          </cell>
        </row>
        <row r="1474">
          <cell r="A1474">
            <v>108313</v>
          </cell>
          <cell r="B1474" t="str">
            <v>3171979-1</v>
          </cell>
        </row>
        <row r="1475">
          <cell r="A1475">
            <v>108314</v>
          </cell>
          <cell r="B1475" t="str">
            <v>3172832-1</v>
          </cell>
        </row>
        <row r="1476">
          <cell r="A1476">
            <v>108315</v>
          </cell>
          <cell r="B1476" t="str">
            <v>3183320-1</v>
          </cell>
        </row>
        <row r="1477">
          <cell r="A1477">
            <v>108316</v>
          </cell>
          <cell r="B1477" t="str">
            <v>3184518-1</v>
          </cell>
        </row>
        <row r="1478">
          <cell r="A1478">
            <v>108317</v>
          </cell>
          <cell r="B1478" t="str">
            <v>3184972-1</v>
          </cell>
        </row>
        <row r="1479">
          <cell r="A1479">
            <v>108318</v>
          </cell>
          <cell r="B1479" t="str">
            <v>3185548-1</v>
          </cell>
        </row>
        <row r="1480">
          <cell r="A1480">
            <v>108319</v>
          </cell>
          <cell r="B1480" t="str">
            <v>3185617-1</v>
          </cell>
        </row>
        <row r="1481">
          <cell r="A1481">
            <v>108320</v>
          </cell>
          <cell r="B1481" t="str">
            <v xml:space="preserve">3214977-912 </v>
          </cell>
        </row>
        <row r="1482">
          <cell r="A1482">
            <v>108321</v>
          </cell>
          <cell r="B1482" t="str">
            <v>3502461-1</v>
          </cell>
        </row>
        <row r="1483">
          <cell r="A1483">
            <v>108322</v>
          </cell>
          <cell r="B1483" t="str">
            <v>3863253-1</v>
          </cell>
        </row>
        <row r="1484">
          <cell r="A1484">
            <v>108323</v>
          </cell>
          <cell r="B1484" t="str">
            <v>3880970-1</v>
          </cell>
        </row>
        <row r="1485">
          <cell r="A1485">
            <v>108324</v>
          </cell>
          <cell r="B1485">
            <v>12336785</v>
          </cell>
        </row>
        <row r="1486">
          <cell r="A1486">
            <v>108325</v>
          </cell>
          <cell r="B1486">
            <v>137903</v>
          </cell>
        </row>
        <row r="1487">
          <cell r="A1487">
            <v>108326</v>
          </cell>
          <cell r="B1487" t="str">
            <v>159242-1</v>
          </cell>
        </row>
        <row r="1488">
          <cell r="A1488">
            <v>108327</v>
          </cell>
          <cell r="B1488" t="str">
            <v>159364-1</v>
          </cell>
        </row>
        <row r="1489">
          <cell r="A1489">
            <v>108328</v>
          </cell>
          <cell r="B1489" t="str">
            <v>159849-1</v>
          </cell>
        </row>
        <row r="1490">
          <cell r="A1490">
            <v>108329</v>
          </cell>
          <cell r="B1490" t="str">
            <v>159888-1</v>
          </cell>
        </row>
        <row r="1491">
          <cell r="A1491">
            <v>108330</v>
          </cell>
          <cell r="B1491" t="str">
            <v>192780-1</v>
          </cell>
        </row>
        <row r="1492">
          <cell r="A1492">
            <v>108331</v>
          </cell>
          <cell r="B1492" t="str">
            <v>2201694-11</v>
          </cell>
        </row>
        <row r="1493">
          <cell r="A1493">
            <v>108332</v>
          </cell>
          <cell r="B1493" t="str">
            <v>2204818-15</v>
          </cell>
        </row>
        <row r="1494">
          <cell r="A1494">
            <v>108333</v>
          </cell>
          <cell r="B1494" t="str">
            <v>2208254-3</v>
          </cell>
        </row>
        <row r="1495">
          <cell r="A1495">
            <v>108334</v>
          </cell>
          <cell r="B1495" t="str">
            <v>2208255-3</v>
          </cell>
        </row>
        <row r="1496">
          <cell r="A1496">
            <v>108335</v>
          </cell>
          <cell r="B1496" t="str">
            <v>2300386-3</v>
          </cell>
        </row>
        <row r="1497">
          <cell r="A1497">
            <v>108336</v>
          </cell>
          <cell r="B1497" t="str">
            <v>2301470-3</v>
          </cell>
        </row>
        <row r="1498">
          <cell r="A1498">
            <v>108337</v>
          </cell>
          <cell r="B1498" t="str">
            <v>2302666-3</v>
          </cell>
        </row>
        <row r="1499">
          <cell r="A1499">
            <v>108338</v>
          </cell>
          <cell r="B1499" t="str">
            <v>2784390-1</v>
          </cell>
        </row>
        <row r="1500">
          <cell r="A1500">
            <v>108339</v>
          </cell>
          <cell r="B1500" t="str">
            <v>3101320-4</v>
          </cell>
        </row>
        <row r="1501">
          <cell r="A1501">
            <v>108340</v>
          </cell>
          <cell r="B1501" t="str">
            <v>3101320-4</v>
          </cell>
        </row>
        <row r="1502">
          <cell r="A1502">
            <v>108341</v>
          </cell>
          <cell r="B1502" t="str">
            <v>3105149-1</v>
          </cell>
        </row>
        <row r="1503">
          <cell r="A1503">
            <v>108342</v>
          </cell>
          <cell r="B1503" t="str">
            <v>3167307-1</v>
          </cell>
        </row>
        <row r="1504">
          <cell r="A1504">
            <v>108343</v>
          </cell>
          <cell r="B1504" t="str">
            <v>3169772-6</v>
          </cell>
        </row>
        <row r="1505">
          <cell r="A1505">
            <v>108344</v>
          </cell>
          <cell r="B1505" t="str">
            <v>3169836-2</v>
          </cell>
        </row>
        <row r="1506">
          <cell r="A1506">
            <v>108345</v>
          </cell>
          <cell r="B1506" t="str">
            <v>3170303-2</v>
          </cell>
        </row>
        <row r="1507">
          <cell r="A1507">
            <v>108346</v>
          </cell>
          <cell r="B1507" t="str">
            <v>3170781-1</v>
          </cell>
        </row>
        <row r="1508">
          <cell r="A1508">
            <v>108347</v>
          </cell>
          <cell r="B1508" t="str">
            <v>3171949-3</v>
          </cell>
        </row>
        <row r="1509">
          <cell r="A1509">
            <v>108348</v>
          </cell>
          <cell r="B1509" t="str">
            <v>3171975-4</v>
          </cell>
        </row>
        <row r="1510">
          <cell r="A1510">
            <v>108349</v>
          </cell>
          <cell r="B1510" t="str">
            <v>3172213-2</v>
          </cell>
        </row>
        <row r="1511">
          <cell r="A1511">
            <v>108350</v>
          </cell>
          <cell r="B1511" t="str">
            <v>3172239-1</v>
          </cell>
        </row>
        <row r="1512">
          <cell r="A1512">
            <v>108351</v>
          </cell>
          <cell r="B1512" t="str">
            <v>3172242-3</v>
          </cell>
        </row>
        <row r="1513">
          <cell r="A1513">
            <v>108352</v>
          </cell>
          <cell r="B1513" t="str">
            <v>3174141-9</v>
          </cell>
        </row>
        <row r="1514">
          <cell r="A1514">
            <v>108353</v>
          </cell>
          <cell r="B1514" t="str">
            <v>3174308-2</v>
          </cell>
        </row>
        <row r="1515">
          <cell r="A1515">
            <v>108354</v>
          </cell>
          <cell r="B1515" t="str">
            <v>3174611-3</v>
          </cell>
        </row>
        <row r="1516">
          <cell r="A1516">
            <v>108355</v>
          </cell>
          <cell r="B1516" t="str">
            <v>3179347-1</v>
          </cell>
        </row>
        <row r="1517">
          <cell r="A1517">
            <v>108356</v>
          </cell>
          <cell r="B1517" t="str">
            <v>3180122-2</v>
          </cell>
        </row>
        <row r="1518">
          <cell r="A1518">
            <v>108357</v>
          </cell>
          <cell r="B1518" t="str">
            <v>3184440-1</v>
          </cell>
        </row>
        <row r="1519">
          <cell r="A1519">
            <v>108358</v>
          </cell>
          <cell r="B1519" t="str">
            <v>367244-1</v>
          </cell>
        </row>
        <row r="1520">
          <cell r="A1520">
            <v>108359</v>
          </cell>
          <cell r="B1520">
            <v>379801</v>
          </cell>
        </row>
        <row r="1521">
          <cell r="A1521">
            <v>108360</v>
          </cell>
          <cell r="B1521" t="str">
            <v>3810070-2</v>
          </cell>
        </row>
        <row r="1522">
          <cell r="A1522">
            <v>108361</v>
          </cell>
          <cell r="B1522" t="str">
            <v>3810707-3</v>
          </cell>
        </row>
        <row r="1523">
          <cell r="A1523">
            <v>108362</v>
          </cell>
          <cell r="B1523" t="str">
            <v>3862225-2</v>
          </cell>
        </row>
        <row r="1524">
          <cell r="A1524">
            <v>108363</v>
          </cell>
          <cell r="B1524" t="str">
            <v>3863115-1</v>
          </cell>
        </row>
        <row r="1525">
          <cell r="A1525">
            <v>108364</v>
          </cell>
          <cell r="B1525" t="str">
            <v>571-0021-3</v>
          </cell>
        </row>
        <row r="1526">
          <cell r="A1526">
            <v>108365</v>
          </cell>
          <cell r="B1526" t="str">
            <v>967605-3</v>
          </cell>
        </row>
        <row r="1527">
          <cell r="A1527">
            <v>108366</v>
          </cell>
          <cell r="B1527" t="str">
            <v>MFG3-6752</v>
          </cell>
        </row>
        <row r="1528">
          <cell r="A1528">
            <v>108367</v>
          </cell>
          <cell r="B1528" t="str">
            <v>159501-1</v>
          </cell>
        </row>
        <row r="1529">
          <cell r="A1529">
            <v>108368</v>
          </cell>
          <cell r="B1529" t="str">
            <v>2203626-3</v>
          </cell>
        </row>
        <row r="1530">
          <cell r="A1530">
            <v>108369</v>
          </cell>
          <cell r="B1530" t="str">
            <v>2300385-3</v>
          </cell>
        </row>
        <row r="1531">
          <cell r="A1531">
            <v>108370</v>
          </cell>
          <cell r="B1531" t="str">
            <v>3184517-1</v>
          </cell>
        </row>
        <row r="1532">
          <cell r="A1532">
            <v>108371</v>
          </cell>
          <cell r="B1532" t="str">
            <v>3169711-5</v>
          </cell>
        </row>
        <row r="1533">
          <cell r="A1533">
            <v>108372</v>
          </cell>
          <cell r="B1533" t="str">
            <v>3173620-1</v>
          </cell>
        </row>
        <row r="1534">
          <cell r="A1534">
            <v>108373</v>
          </cell>
          <cell r="B1534" t="str">
            <v>3876259-3</v>
          </cell>
        </row>
        <row r="1535">
          <cell r="A1535">
            <v>108374</v>
          </cell>
          <cell r="B1535" t="str">
            <v>39E37-211</v>
          </cell>
        </row>
        <row r="1536">
          <cell r="A1536">
            <v>108375</v>
          </cell>
          <cell r="B1536" t="str">
            <v>680376-5</v>
          </cell>
        </row>
        <row r="1537">
          <cell r="A1537">
            <v>108376</v>
          </cell>
          <cell r="B1537">
            <v>12336785</v>
          </cell>
        </row>
        <row r="1538">
          <cell r="A1538">
            <v>108377</v>
          </cell>
          <cell r="B1538" t="str">
            <v>159887-1</v>
          </cell>
        </row>
        <row r="1539">
          <cell r="A1539">
            <v>108378</v>
          </cell>
          <cell r="B1539" t="str">
            <v>159888-1</v>
          </cell>
        </row>
        <row r="1540">
          <cell r="A1540">
            <v>108379</v>
          </cell>
          <cell r="B1540" t="str">
            <v>192780-1</v>
          </cell>
        </row>
        <row r="1541">
          <cell r="A1541">
            <v>108380</v>
          </cell>
          <cell r="B1541" t="str">
            <v>2205388-2</v>
          </cell>
        </row>
        <row r="1542">
          <cell r="A1542">
            <v>108381</v>
          </cell>
          <cell r="B1542" t="str">
            <v>2303960-1</v>
          </cell>
        </row>
        <row r="1543">
          <cell r="A1543">
            <v>108382</v>
          </cell>
          <cell r="B1543" t="str">
            <v>2788060-1</v>
          </cell>
        </row>
        <row r="1544">
          <cell r="A1544">
            <v>108383</v>
          </cell>
          <cell r="B1544" t="str">
            <v>3105149-1</v>
          </cell>
        </row>
        <row r="1545">
          <cell r="A1545">
            <v>108384</v>
          </cell>
          <cell r="B1545" t="str">
            <v>3105149-1</v>
          </cell>
        </row>
        <row r="1546">
          <cell r="A1546">
            <v>108385</v>
          </cell>
          <cell r="B1546" t="str">
            <v>3105149-1</v>
          </cell>
        </row>
        <row r="1547">
          <cell r="A1547">
            <v>108386</v>
          </cell>
          <cell r="B1547" t="str">
            <v>3108233-3</v>
          </cell>
        </row>
        <row r="1548">
          <cell r="A1548">
            <v>108387</v>
          </cell>
          <cell r="B1548" t="str">
            <v>3108233-3</v>
          </cell>
        </row>
        <row r="1549">
          <cell r="A1549">
            <v>108388</v>
          </cell>
          <cell r="B1549" t="str">
            <v>3170303-2</v>
          </cell>
        </row>
        <row r="1550">
          <cell r="A1550">
            <v>108389</v>
          </cell>
          <cell r="B1550" t="str">
            <v>3179400-2</v>
          </cell>
        </row>
        <row r="1551">
          <cell r="A1551">
            <v>108390</v>
          </cell>
          <cell r="B1551" t="str">
            <v>3179401-3</v>
          </cell>
        </row>
        <row r="1552">
          <cell r="A1552">
            <v>108391</v>
          </cell>
          <cell r="B1552" t="str">
            <v>367244-1</v>
          </cell>
        </row>
        <row r="1553">
          <cell r="A1553">
            <v>108392</v>
          </cell>
          <cell r="B1553">
            <v>379518</v>
          </cell>
        </row>
        <row r="1554">
          <cell r="A1554">
            <v>108393</v>
          </cell>
          <cell r="B1554">
            <v>379801</v>
          </cell>
        </row>
        <row r="1555">
          <cell r="A1555">
            <v>108394</v>
          </cell>
          <cell r="B1555" t="str">
            <v>3810707-3</v>
          </cell>
        </row>
        <row r="1556">
          <cell r="A1556">
            <v>108395</v>
          </cell>
          <cell r="B1556" t="str">
            <v>3827562-1</v>
          </cell>
        </row>
        <row r="1557">
          <cell r="A1557">
            <v>108396</v>
          </cell>
          <cell r="B1557" t="str">
            <v>3862225-2</v>
          </cell>
        </row>
        <row r="1558">
          <cell r="A1558">
            <v>108397</v>
          </cell>
          <cell r="B1558" t="str">
            <v>3863115-1</v>
          </cell>
        </row>
        <row r="1559">
          <cell r="A1559">
            <v>108398</v>
          </cell>
          <cell r="B1559" t="str">
            <v>571-0021-3</v>
          </cell>
        </row>
        <row r="1560">
          <cell r="A1560">
            <v>108399</v>
          </cell>
          <cell r="B1560" t="str">
            <v>698197-1</v>
          </cell>
        </row>
        <row r="1561">
          <cell r="A1561">
            <v>108400</v>
          </cell>
          <cell r="B1561" t="str">
            <v>698197-2</v>
          </cell>
        </row>
        <row r="1562">
          <cell r="A1562">
            <v>108401</v>
          </cell>
          <cell r="B1562" t="str">
            <v>698198-1</v>
          </cell>
        </row>
        <row r="1563">
          <cell r="A1563" t="str">
            <v>ST029206</v>
          </cell>
          <cell r="B1563" t="str">
            <v>MFG3-4602</v>
          </cell>
        </row>
        <row r="1564">
          <cell r="A1564" t="str">
            <v>ST029207</v>
          </cell>
          <cell r="B1564" t="str">
            <v>MFG3-4605</v>
          </cell>
        </row>
        <row r="1565">
          <cell r="A1565" t="str">
            <v>ST034425</v>
          </cell>
          <cell r="B1565" t="str">
            <v>67041352-389</v>
          </cell>
        </row>
        <row r="1566">
          <cell r="A1566" t="str">
            <v>ST034486</v>
          </cell>
          <cell r="B1566" t="str">
            <v>72326042-2</v>
          </cell>
        </row>
        <row r="1567">
          <cell r="A1567" t="str">
            <v>ST034533</v>
          </cell>
          <cell r="B1567" t="str">
            <v>A2936</v>
          </cell>
        </row>
        <row r="1568">
          <cell r="A1568" t="str">
            <v>ST034534</v>
          </cell>
          <cell r="B1568" t="str">
            <v>A3577</v>
          </cell>
        </row>
        <row r="1569">
          <cell r="A1569" t="str">
            <v>ST034552</v>
          </cell>
          <cell r="B1569" t="str">
            <v>A6181</v>
          </cell>
        </row>
        <row r="1570">
          <cell r="A1570" t="str">
            <v>ST034576</v>
          </cell>
          <cell r="B1570" t="str">
            <v>BT130</v>
          </cell>
        </row>
        <row r="1571">
          <cell r="A1571" t="str">
            <v>ST036916</v>
          </cell>
          <cell r="B1571" t="str">
            <v>2782697-1</v>
          </cell>
        </row>
        <row r="1572">
          <cell r="A1572">
            <v>108506</v>
          </cell>
          <cell r="B1572" t="str">
            <v>31-4026-3</v>
          </cell>
        </row>
        <row r="1573">
          <cell r="A1573">
            <v>108507</v>
          </cell>
          <cell r="B1573" t="str">
            <v>31-8267-3</v>
          </cell>
        </row>
        <row r="1574">
          <cell r="A1574" t="str">
            <v>ST036929</v>
          </cell>
          <cell r="B1574" t="str">
            <v>60-1918-1</v>
          </cell>
        </row>
        <row r="1575">
          <cell r="A1575" t="str">
            <v>ST036934</v>
          </cell>
          <cell r="B1575" t="str">
            <v>67620534-2</v>
          </cell>
        </row>
        <row r="1576">
          <cell r="A1576" t="str">
            <v>ST036936</v>
          </cell>
          <cell r="B1576" t="str">
            <v>67620534-4</v>
          </cell>
        </row>
        <row r="1577">
          <cell r="A1577" t="str">
            <v>ST036937</v>
          </cell>
          <cell r="B1577" t="str">
            <v>67620534-5</v>
          </cell>
        </row>
        <row r="1578">
          <cell r="A1578" t="str">
            <v>ST036941</v>
          </cell>
          <cell r="B1578" t="str">
            <v>A7632-2</v>
          </cell>
        </row>
        <row r="1579">
          <cell r="A1579" t="str">
            <v>ST037681</v>
          </cell>
          <cell r="B1579">
            <v>10306</v>
          </cell>
        </row>
        <row r="1580">
          <cell r="A1580" t="str">
            <v>ST037682</v>
          </cell>
          <cell r="B1580" t="str">
            <v>10452</v>
          </cell>
        </row>
        <row r="1581">
          <cell r="A1581" t="str">
            <v>ST037683</v>
          </cell>
          <cell r="B1581" t="str">
            <v>1050086</v>
          </cell>
        </row>
        <row r="1582">
          <cell r="A1582" t="str">
            <v>ST037684</v>
          </cell>
          <cell r="B1582" t="str">
            <v>10638</v>
          </cell>
        </row>
        <row r="1583">
          <cell r="A1583" t="str">
            <v>ST037685</v>
          </cell>
          <cell r="B1583" t="str">
            <v>10877</v>
          </cell>
        </row>
        <row r="1584">
          <cell r="A1584" t="str">
            <v>ST037686</v>
          </cell>
          <cell r="B1584" t="str">
            <v>11253</v>
          </cell>
        </row>
        <row r="1585">
          <cell r="A1585" t="str">
            <v>ST037687</v>
          </cell>
          <cell r="B1585" t="str">
            <v>12198</v>
          </cell>
        </row>
        <row r="1586">
          <cell r="A1586" t="str">
            <v>ST037688</v>
          </cell>
          <cell r="B1586" t="str">
            <v>12313</v>
          </cell>
        </row>
        <row r="1587">
          <cell r="A1587" t="str">
            <v>ST037689</v>
          </cell>
          <cell r="B1587" t="str">
            <v>12468</v>
          </cell>
        </row>
        <row r="1588">
          <cell r="A1588" t="str">
            <v>ST037690</v>
          </cell>
          <cell r="B1588" t="str">
            <v>12744</v>
          </cell>
        </row>
        <row r="1589">
          <cell r="A1589" t="str">
            <v>ST037691</v>
          </cell>
          <cell r="B1589" t="str">
            <v>12871</v>
          </cell>
        </row>
        <row r="1590">
          <cell r="A1590" t="str">
            <v>ST037692</v>
          </cell>
          <cell r="B1590">
            <v>12934</v>
          </cell>
        </row>
        <row r="1591">
          <cell r="A1591" t="str">
            <v>ST037693</v>
          </cell>
          <cell r="B1591">
            <v>13741</v>
          </cell>
        </row>
        <row r="1592">
          <cell r="A1592" t="str">
            <v>ST037694</v>
          </cell>
          <cell r="B1592">
            <v>14977</v>
          </cell>
        </row>
        <row r="1593">
          <cell r="A1593" t="str">
            <v>ST037695</v>
          </cell>
          <cell r="B1593">
            <v>15369</v>
          </cell>
        </row>
        <row r="1594">
          <cell r="A1594" t="str">
            <v>ST037696</v>
          </cell>
          <cell r="B1594">
            <v>15571</v>
          </cell>
        </row>
        <row r="1595">
          <cell r="A1595">
            <v>108510</v>
          </cell>
          <cell r="B1595" t="str">
            <v>2308535-1</v>
          </cell>
        </row>
        <row r="1596">
          <cell r="A1596">
            <v>108511</v>
          </cell>
          <cell r="B1596" t="str">
            <v>31-3329-1</v>
          </cell>
        </row>
        <row r="1597">
          <cell r="A1597">
            <v>108512</v>
          </cell>
          <cell r="B1597" t="str">
            <v>31-4026-1</v>
          </cell>
        </row>
        <row r="1598">
          <cell r="A1598" t="str">
            <v>ST037722</v>
          </cell>
          <cell r="B1598" t="str">
            <v>31-4757-1</v>
          </cell>
        </row>
        <row r="1599">
          <cell r="A1599">
            <v>108513</v>
          </cell>
          <cell r="B1599" t="str">
            <v>31-7943-1</v>
          </cell>
        </row>
        <row r="1600">
          <cell r="A1600" t="str">
            <v>ST037729</v>
          </cell>
          <cell r="B1600" t="str">
            <v>36112</v>
          </cell>
        </row>
        <row r="1601">
          <cell r="A1601" t="str">
            <v>ST037743</v>
          </cell>
          <cell r="B1601" t="str">
            <v>4008006</v>
          </cell>
        </row>
        <row r="1602">
          <cell r="A1602" t="str">
            <v>ST037744</v>
          </cell>
          <cell r="B1602" t="str">
            <v>4008008</v>
          </cell>
        </row>
        <row r="1603">
          <cell r="A1603">
            <v>108514</v>
          </cell>
          <cell r="B1603" t="str">
            <v>51-0537-1</v>
          </cell>
        </row>
        <row r="1604">
          <cell r="A1604" t="str">
            <v>ST037746</v>
          </cell>
          <cell r="B1604" t="str">
            <v>51-0796-1</v>
          </cell>
        </row>
        <row r="1605">
          <cell r="A1605">
            <v>108515</v>
          </cell>
          <cell r="B1605" t="str">
            <v>56-0270-1</v>
          </cell>
        </row>
        <row r="1606">
          <cell r="A1606">
            <v>108516</v>
          </cell>
          <cell r="B1606" t="str">
            <v>56-0320-1</v>
          </cell>
        </row>
        <row r="1607">
          <cell r="A1607" t="str">
            <v>ST037751</v>
          </cell>
          <cell r="B1607" t="str">
            <v>60-2241-1</v>
          </cell>
        </row>
        <row r="1608">
          <cell r="A1608">
            <v>108517</v>
          </cell>
          <cell r="B1608" t="str">
            <v>60-2746-11</v>
          </cell>
        </row>
        <row r="1609">
          <cell r="A1609">
            <v>108518</v>
          </cell>
          <cell r="B1609" t="str">
            <v>60-3027-1</v>
          </cell>
        </row>
        <row r="1610">
          <cell r="A1610">
            <v>108519</v>
          </cell>
          <cell r="B1610" t="str">
            <v>60-4940-1</v>
          </cell>
        </row>
        <row r="1611">
          <cell r="A1611" t="str">
            <v>ST037755</v>
          </cell>
          <cell r="B1611" t="str">
            <v>60-5216-1</v>
          </cell>
        </row>
        <row r="1612">
          <cell r="A1612">
            <v>108520</v>
          </cell>
          <cell r="B1612" t="str">
            <v>600-6368-001</v>
          </cell>
        </row>
        <row r="1613">
          <cell r="A1613">
            <v>108521</v>
          </cell>
          <cell r="B1613" t="str">
            <v>61-1914-1</v>
          </cell>
        </row>
        <row r="1614">
          <cell r="A1614" t="str">
            <v>ST037762</v>
          </cell>
          <cell r="B1614" t="str">
            <v>67040646-10</v>
          </cell>
        </row>
        <row r="1615">
          <cell r="A1615" t="str">
            <v>ST037763</v>
          </cell>
          <cell r="B1615" t="str">
            <v>67040646-11</v>
          </cell>
        </row>
        <row r="1616">
          <cell r="A1616" t="str">
            <v>ST037764</v>
          </cell>
          <cell r="B1616" t="str">
            <v>67040646-12</v>
          </cell>
        </row>
        <row r="1617">
          <cell r="A1617" t="str">
            <v>ST037765</v>
          </cell>
          <cell r="B1617" t="str">
            <v>67040646-13</v>
          </cell>
        </row>
        <row r="1618">
          <cell r="A1618" t="str">
            <v>ST037766</v>
          </cell>
          <cell r="B1618" t="str">
            <v>67040646-14</v>
          </cell>
        </row>
        <row r="1619">
          <cell r="A1619" t="str">
            <v>ST037767</v>
          </cell>
          <cell r="B1619" t="str">
            <v>67040646-5</v>
          </cell>
        </row>
        <row r="1620">
          <cell r="A1620" t="str">
            <v>ST037768</v>
          </cell>
          <cell r="B1620" t="str">
            <v>67040646-6</v>
          </cell>
        </row>
        <row r="1621">
          <cell r="A1621" t="str">
            <v>ST037769</v>
          </cell>
          <cell r="B1621" t="str">
            <v>67040646-7</v>
          </cell>
        </row>
        <row r="1622">
          <cell r="A1622" t="str">
            <v>ST037770</v>
          </cell>
          <cell r="B1622" t="str">
            <v>67040646-9</v>
          </cell>
        </row>
        <row r="1623">
          <cell r="A1623" t="str">
            <v>ST037772</v>
          </cell>
          <cell r="B1623" t="str">
            <v>67040772-10</v>
          </cell>
        </row>
        <row r="1624">
          <cell r="A1624" t="str">
            <v>ST037773</v>
          </cell>
          <cell r="B1624" t="str">
            <v>67040772-11</v>
          </cell>
        </row>
        <row r="1625">
          <cell r="A1625" t="str">
            <v>ST037774</v>
          </cell>
          <cell r="B1625" t="str">
            <v>67040772-12</v>
          </cell>
        </row>
        <row r="1626">
          <cell r="A1626" t="str">
            <v>ST037775</v>
          </cell>
          <cell r="B1626" t="str">
            <v>67040772-13</v>
          </cell>
        </row>
        <row r="1627">
          <cell r="A1627" t="str">
            <v>ST037776</v>
          </cell>
          <cell r="B1627" t="str">
            <v>67040772-14</v>
          </cell>
        </row>
        <row r="1628">
          <cell r="A1628" t="str">
            <v>ST037777</v>
          </cell>
          <cell r="B1628" t="str">
            <v>67040772-15</v>
          </cell>
        </row>
        <row r="1629">
          <cell r="A1629" t="str">
            <v>ST037778</v>
          </cell>
          <cell r="B1629" t="str">
            <v>67040772-16</v>
          </cell>
        </row>
        <row r="1630">
          <cell r="A1630" t="str">
            <v>ST037779</v>
          </cell>
          <cell r="B1630" t="str">
            <v>67040772-17</v>
          </cell>
        </row>
        <row r="1631">
          <cell r="A1631" t="str">
            <v>ST037780</v>
          </cell>
          <cell r="B1631" t="str">
            <v>67040772-18</v>
          </cell>
        </row>
        <row r="1632">
          <cell r="A1632" t="str">
            <v>ST037781</v>
          </cell>
          <cell r="B1632" t="str">
            <v>67040772-19</v>
          </cell>
        </row>
        <row r="1633">
          <cell r="A1633" t="str">
            <v>ST037782</v>
          </cell>
          <cell r="B1633" t="str">
            <v>67040772-2</v>
          </cell>
        </row>
        <row r="1634">
          <cell r="A1634" t="str">
            <v>ST037783</v>
          </cell>
          <cell r="B1634" t="str">
            <v>67040772-20</v>
          </cell>
        </row>
        <row r="1635">
          <cell r="A1635" t="str">
            <v>ST037784</v>
          </cell>
          <cell r="B1635" t="str">
            <v>67040772-21</v>
          </cell>
        </row>
        <row r="1636">
          <cell r="A1636" t="str">
            <v>ST037785</v>
          </cell>
          <cell r="B1636" t="str">
            <v>67040772-22</v>
          </cell>
        </row>
        <row r="1637">
          <cell r="A1637" t="str">
            <v>ST037786</v>
          </cell>
          <cell r="B1637" t="str">
            <v>67040772-23</v>
          </cell>
        </row>
        <row r="1638">
          <cell r="A1638" t="str">
            <v>ST037787</v>
          </cell>
          <cell r="B1638" t="str">
            <v>67040772-24</v>
          </cell>
        </row>
        <row r="1639">
          <cell r="A1639" t="str">
            <v>ST037788</v>
          </cell>
          <cell r="B1639" t="str">
            <v>67040772-3</v>
          </cell>
        </row>
        <row r="1640">
          <cell r="A1640" t="str">
            <v>ST037789</v>
          </cell>
          <cell r="B1640" t="str">
            <v>67040772-4</v>
          </cell>
        </row>
        <row r="1641">
          <cell r="A1641" t="str">
            <v>ST037790</v>
          </cell>
          <cell r="B1641" t="str">
            <v>67040772-5</v>
          </cell>
        </row>
        <row r="1642">
          <cell r="A1642" t="str">
            <v>ST037791</v>
          </cell>
          <cell r="B1642" t="str">
            <v>67040772-7</v>
          </cell>
        </row>
        <row r="1643">
          <cell r="A1643" t="str">
            <v>ST037792</v>
          </cell>
          <cell r="B1643" t="str">
            <v>67040772-8</v>
          </cell>
        </row>
        <row r="1644">
          <cell r="A1644" t="str">
            <v>ST037793</v>
          </cell>
          <cell r="B1644" t="str">
            <v>67040772-9</v>
          </cell>
        </row>
        <row r="1645">
          <cell r="A1645" t="str">
            <v>ST037800</v>
          </cell>
          <cell r="B1645">
            <v>8529290</v>
          </cell>
        </row>
        <row r="1646">
          <cell r="A1646">
            <v>108523</v>
          </cell>
          <cell r="B1646">
            <v>8537421</v>
          </cell>
        </row>
        <row r="1647">
          <cell r="A1647">
            <v>108524</v>
          </cell>
          <cell r="B1647" t="str">
            <v>A1257A</v>
          </cell>
        </row>
        <row r="1648">
          <cell r="A1648">
            <v>108525</v>
          </cell>
          <cell r="B1648" t="str">
            <v>A2109-2</v>
          </cell>
        </row>
        <row r="1649">
          <cell r="A1649">
            <v>108526</v>
          </cell>
          <cell r="B1649" t="str">
            <v>A4212-10</v>
          </cell>
        </row>
        <row r="1650">
          <cell r="A1650" t="str">
            <v>ST037808</v>
          </cell>
          <cell r="B1650" t="str">
            <v>LW160</v>
          </cell>
        </row>
        <row r="1651">
          <cell r="A1651">
            <v>108527</v>
          </cell>
          <cell r="B1651" t="str">
            <v>70060088-1</v>
          </cell>
        </row>
        <row r="1652">
          <cell r="A1652" t="str">
            <v>ST034509</v>
          </cell>
          <cell r="B1652">
            <v>8537421</v>
          </cell>
        </row>
        <row r="1653">
          <cell r="A1653" t="str">
            <v>ST036729</v>
          </cell>
          <cell r="B1653" t="str">
            <v>600-6368-001</v>
          </cell>
        </row>
        <row r="1654">
          <cell r="A1654" t="str">
            <v>ST036741</v>
          </cell>
          <cell r="B1654" t="str">
            <v>600-6368-001</v>
          </cell>
        </row>
        <row r="1655">
          <cell r="A1655">
            <v>108529</v>
          </cell>
          <cell r="B1655" t="str">
            <v>67040704-1KIT</v>
          </cell>
        </row>
        <row r="1656">
          <cell r="A1656">
            <v>108528</v>
          </cell>
          <cell r="B1656" t="str">
            <v>11-5878-1</v>
          </cell>
        </row>
        <row r="1657">
          <cell r="A1657" t="str">
            <v>ST028546</v>
          </cell>
          <cell r="B1657" t="str">
            <v>202276</v>
          </cell>
        </row>
        <row r="1658">
          <cell r="A1658" t="str">
            <v>ST028567</v>
          </cell>
          <cell r="B1658" t="str">
            <v>2204563-3</v>
          </cell>
        </row>
        <row r="1659">
          <cell r="A1659" t="str">
            <v>ST028568</v>
          </cell>
          <cell r="B1659" t="str">
            <v>2205388-2</v>
          </cell>
        </row>
        <row r="1660">
          <cell r="A1660" t="str">
            <v>ST028587</v>
          </cell>
          <cell r="B1660" t="str">
            <v>2300406-3</v>
          </cell>
        </row>
        <row r="1661">
          <cell r="A1661" t="str">
            <v>ST028839</v>
          </cell>
          <cell r="B1661" t="str">
            <v>2783209-1</v>
          </cell>
        </row>
        <row r="1662">
          <cell r="A1662" t="str">
            <v>ST028842</v>
          </cell>
          <cell r="B1662" t="str">
            <v>2783354-1</v>
          </cell>
        </row>
        <row r="1663">
          <cell r="A1663" t="str">
            <v>ST028861</v>
          </cell>
          <cell r="B1663" t="str">
            <v>2788060-1</v>
          </cell>
        </row>
        <row r="1664">
          <cell r="A1664" t="str">
            <v>ST028913</v>
          </cell>
          <cell r="B1664" t="str">
            <v>3184983-111</v>
          </cell>
        </row>
        <row r="1665">
          <cell r="A1665" t="str">
            <v>ST029034</v>
          </cell>
          <cell r="B1665" t="str">
            <v>530810-1</v>
          </cell>
        </row>
        <row r="1666">
          <cell r="A1666" t="str">
            <v>ST029048</v>
          </cell>
          <cell r="B1666" t="str">
            <v>5850202-1</v>
          </cell>
        </row>
        <row r="1667">
          <cell r="A1667" t="str">
            <v>ST029062</v>
          </cell>
          <cell r="B1667" t="str">
            <v>63000943-111</v>
          </cell>
        </row>
        <row r="1668">
          <cell r="A1668" t="str">
            <v>ST029111</v>
          </cell>
          <cell r="B1668" t="str">
            <v>67620904-1</v>
          </cell>
        </row>
        <row r="1669">
          <cell r="A1669" t="str">
            <v>ST029138</v>
          </cell>
          <cell r="B1669" t="str">
            <v>7205952-1</v>
          </cell>
        </row>
        <row r="1670">
          <cell r="A1670">
            <v>108530</v>
          </cell>
          <cell r="B1670" t="str">
            <v>67040687-1KIT</v>
          </cell>
        </row>
        <row r="1671">
          <cell r="A1671">
            <v>108531</v>
          </cell>
          <cell r="B1671" t="str">
            <v>67040688-1KIT</v>
          </cell>
        </row>
        <row r="1672">
          <cell r="A1672">
            <v>108532</v>
          </cell>
          <cell r="B1672" t="str">
            <v>3061975-2</v>
          </cell>
        </row>
        <row r="1673">
          <cell r="A1673">
            <v>108533</v>
          </cell>
          <cell r="B1673" t="str">
            <v>3888465-1</v>
          </cell>
        </row>
        <row r="1674">
          <cell r="A1674" t="str">
            <v>ST043256</v>
          </cell>
          <cell r="B1674" t="str">
            <v>63001700-3</v>
          </cell>
        </row>
        <row r="1675">
          <cell r="A1675">
            <v>107120</v>
          </cell>
          <cell r="B1675" t="str">
            <v>76E79-1</v>
          </cell>
        </row>
        <row r="1676">
          <cell r="A1676">
            <v>107119</v>
          </cell>
          <cell r="B1676" t="str">
            <v>63001484-1</v>
          </cell>
        </row>
        <row r="1677">
          <cell r="A1677">
            <v>107134</v>
          </cell>
          <cell r="B1677" t="str">
            <v>019-02185-0000</v>
          </cell>
        </row>
        <row r="1678">
          <cell r="A1678">
            <v>107135</v>
          </cell>
          <cell r="B1678" t="str">
            <v>019-06019-0000</v>
          </cell>
        </row>
        <row r="1679">
          <cell r="A1679">
            <v>107136</v>
          </cell>
          <cell r="B1679" t="str">
            <v>019-06020-0000</v>
          </cell>
        </row>
        <row r="1680">
          <cell r="A1680">
            <v>107137</v>
          </cell>
          <cell r="B1680" t="str">
            <v>019-07090-0000</v>
          </cell>
        </row>
        <row r="1681">
          <cell r="A1681">
            <v>107138</v>
          </cell>
          <cell r="B1681" t="str">
            <v>019-07094-0000</v>
          </cell>
        </row>
        <row r="1682">
          <cell r="A1682">
            <v>107139</v>
          </cell>
          <cell r="B1682" t="str">
            <v>019-07104-0000</v>
          </cell>
        </row>
        <row r="1683">
          <cell r="A1683">
            <v>107140</v>
          </cell>
          <cell r="B1683" t="str">
            <v>019-07245-0000</v>
          </cell>
        </row>
        <row r="1684">
          <cell r="A1684">
            <v>107141</v>
          </cell>
          <cell r="B1684" t="str">
            <v>019-07252-0000</v>
          </cell>
        </row>
        <row r="1685">
          <cell r="A1685">
            <v>107142</v>
          </cell>
          <cell r="B1685" t="str">
            <v>019-07274-0000</v>
          </cell>
        </row>
        <row r="1686">
          <cell r="A1686">
            <v>107143</v>
          </cell>
          <cell r="B1686" t="str">
            <v>019-08286-0001</v>
          </cell>
        </row>
        <row r="1687">
          <cell r="A1687" t="str">
            <v>ST029293</v>
          </cell>
          <cell r="B1687" t="str">
            <v>63508682-1</v>
          </cell>
        </row>
        <row r="1688">
          <cell r="A1688" t="str">
            <v>ST032303</v>
          </cell>
          <cell r="B1688" t="str">
            <v>3617869-1</v>
          </cell>
        </row>
        <row r="1689">
          <cell r="A1689" t="str">
            <v>ST029249</v>
          </cell>
          <cell r="B1689" t="str">
            <v>3502921-1</v>
          </cell>
        </row>
        <row r="1690">
          <cell r="A1690" t="str">
            <v>ST029247</v>
          </cell>
          <cell r="B1690" t="str">
            <v>3239117-1</v>
          </cell>
        </row>
        <row r="1691">
          <cell r="A1691">
            <v>110886</v>
          </cell>
          <cell r="B1691" t="str">
            <v>7011824-901</v>
          </cell>
        </row>
        <row r="1692">
          <cell r="A1692" t="str">
            <v>ST029250</v>
          </cell>
          <cell r="B1692" t="str">
            <v>3503990-1</v>
          </cell>
        </row>
        <row r="1693">
          <cell r="A1693" t="str">
            <v>ST029255</v>
          </cell>
          <cell r="B1693" t="str">
            <v>3504261-1</v>
          </cell>
        </row>
        <row r="1694">
          <cell r="A1694" t="str">
            <v>ST029259</v>
          </cell>
          <cell r="B1694" t="str">
            <v>3504764-1</v>
          </cell>
        </row>
        <row r="1695">
          <cell r="A1695" t="str">
            <v>ST029260</v>
          </cell>
          <cell r="B1695" t="str">
            <v>3507002-1</v>
          </cell>
        </row>
        <row r="1696">
          <cell r="A1696" t="str">
            <v>ST029292</v>
          </cell>
          <cell r="B1696" t="str">
            <v>63508456-1</v>
          </cell>
        </row>
        <row r="1697">
          <cell r="A1697">
            <v>110888</v>
          </cell>
          <cell r="B1697" t="str">
            <v>63241880-1</v>
          </cell>
        </row>
        <row r="1698">
          <cell r="A1698">
            <v>110885</v>
          </cell>
          <cell r="B1698" t="str">
            <v>2-310-032-01</v>
          </cell>
        </row>
        <row r="1699">
          <cell r="A1699">
            <v>110948</v>
          </cell>
          <cell r="B1699" t="str">
            <v>1072001-055A00</v>
          </cell>
        </row>
        <row r="1700">
          <cell r="A1700">
            <v>110949</v>
          </cell>
          <cell r="B1700" t="str">
            <v>1072001-121A00</v>
          </cell>
        </row>
        <row r="1701">
          <cell r="A1701" t="str">
            <v>ST032214</v>
          </cell>
          <cell r="B1701" t="str">
            <v>26012721-104</v>
          </cell>
        </row>
        <row r="1702">
          <cell r="A1702" t="str">
            <v>ST032236</v>
          </cell>
          <cell r="B1702" t="str">
            <v>3184725-11</v>
          </cell>
        </row>
        <row r="1703">
          <cell r="A1703" t="str">
            <v>ST032237</v>
          </cell>
          <cell r="B1703" t="str">
            <v>3184725-12</v>
          </cell>
        </row>
        <row r="1704">
          <cell r="A1704" t="str">
            <v>ST032238</v>
          </cell>
          <cell r="B1704" t="str">
            <v>3184725-14</v>
          </cell>
        </row>
        <row r="1705">
          <cell r="A1705" t="str">
            <v>ST032239</v>
          </cell>
          <cell r="B1705" t="str">
            <v>3184725-15</v>
          </cell>
        </row>
        <row r="1706">
          <cell r="A1706" t="str">
            <v>ST032290</v>
          </cell>
          <cell r="B1706" t="str">
            <v>3051105-1</v>
          </cell>
        </row>
        <row r="1707">
          <cell r="A1707" t="str">
            <v>ST032310</v>
          </cell>
          <cell r="B1707" t="str">
            <v>3876203-1</v>
          </cell>
        </row>
        <row r="1708">
          <cell r="A1708" t="str">
            <v>ST032311</v>
          </cell>
          <cell r="B1708" t="str">
            <v>3876230-1</v>
          </cell>
        </row>
        <row r="1709">
          <cell r="A1709" t="str">
            <v>ST032312</v>
          </cell>
          <cell r="B1709" t="str">
            <v>3876256-1</v>
          </cell>
        </row>
        <row r="1710">
          <cell r="A1710" t="str">
            <v>ST032357</v>
          </cell>
          <cell r="B1710" t="str">
            <v>897103-2</v>
          </cell>
        </row>
        <row r="1711">
          <cell r="A1711" t="str">
            <v>ST032363</v>
          </cell>
          <cell r="B1711" t="str">
            <v>927519-1</v>
          </cell>
        </row>
        <row r="1712">
          <cell r="A1712" t="str">
            <v>ST032730</v>
          </cell>
          <cell r="B1712" t="str">
            <v>74201097-001</v>
          </cell>
        </row>
        <row r="1713">
          <cell r="A1713" t="str">
            <v>ST032731</v>
          </cell>
          <cell r="B1713" t="str">
            <v>74372446-1004</v>
          </cell>
        </row>
        <row r="1714">
          <cell r="A1714" t="str">
            <v>ST032735</v>
          </cell>
          <cell r="B1714" t="str">
            <v>74376520-0003B</v>
          </cell>
        </row>
        <row r="1715">
          <cell r="A1715" t="str">
            <v>ST036780</v>
          </cell>
          <cell r="B1715" t="str">
            <v>8713041-001</v>
          </cell>
        </row>
        <row r="1716">
          <cell r="A1716" t="str">
            <v>ST036781</v>
          </cell>
          <cell r="B1716" t="str">
            <v>9043537-001</v>
          </cell>
        </row>
        <row r="1717">
          <cell r="A1717" t="str">
            <v>ST036782</v>
          </cell>
          <cell r="B1717" t="str">
            <v>9043538-001</v>
          </cell>
        </row>
        <row r="1718">
          <cell r="A1718" t="str">
            <v>ST036783</v>
          </cell>
          <cell r="B1718" t="str">
            <v>9043538-002</v>
          </cell>
        </row>
        <row r="1719">
          <cell r="A1719" t="str">
            <v>ST036784</v>
          </cell>
          <cell r="B1719" t="str">
            <v>9043538-003</v>
          </cell>
        </row>
        <row r="1720">
          <cell r="A1720" t="str">
            <v>ST036785</v>
          </cell>
          <cell r="B1720" t="str">
            <v>9043538-004</v>
          </cell>
        </row>
        <row r="1721">
          <cell r="A1721" t="str">
            <v>ST036786</v>
          </cell>
          <cell r="B1721" t="str">
            <v>9043539-002</v>
          </cell>
        </row>
        <row r="1722">
          <cell r="A1722" t="str">
            <v>ST036787</v>
          </cell>
          <cell r="B1722" t="str">
            <v>9043539-003</v>
          </cell>
        </row>
        <row r="1723">
          <cell r="A1723" t="str">
            <v>ST036788</v>
          </cell>
          <cell r="B1723" t="str">
            <v>9043540-001</v>
          </cell>
        </row>
        <row r="1724">
          <cell r="A1724">
            <v>110928</v>
          </cell>
          <cell r="B1724" t="str">
            <v>8526086-901</v>
          </cell>
        </row>
        <row r="1725">
          <cell r="A1725" t="str">
            <v>ST032273</v>
          </cell>
          <cell r="B1725" t="str">
            <v>2-310-034-01</v>
          </cell>
        </row>
        <row r="1726">
          <cell r="A1726">
            <v>110929</v>
          </cell>
          <cell r="B1726" t="str">
            <v>8526086-901</v>
          </cell>
        </row>
        <row r="1727">
          <cell r="A1727">
            <v>110951</v>
          </cell>
          <cell r="B1727" t="str">
            <v>1072001-186A00</v>
          </cell>
        </row>
        <row r="1728">
          <cell r="A1728">
            <v>110952</v>
          </cell>
          <cell r="B1728" t="str">
            <v>1072001-206A00</v>
          </cell>
        </row>
        <row r="1729">
          <cell r="A1729">
            <v>112576</v>
          </cell>
          <cell r="B1729" t="str">
            <v>2-163-373-06</v>
          </cell>
        </row>
        <row r="1730">
          <cell r="A1730">
            <v>112577</v>
          </cell>
          <cell r="B1730" t="str">
            <v>2-163-870-08</v>
          </cell>
        </row>
        <row r="1731">
          <cell r="A1731">
            <v>112580</v>
          </cell>
          <cell r="B1731" t="str">
            <v>3091620-2</v>
          </cell>
        </row>
        <row r="1732">
          <cell r="A1732">
            <v>112563</v>
          </cell>
          <cell r="B1732" t="str">
            <v>2784542-1</v>
          </cell>
        </row>
        <row r="1733">
          <cell r="A1733">
            <v>110867</v>
          </cell>
          <cell r="B1733" t="str">
            <v>158822-2</v>
          </cell>
        </row>
        <row r="1734">
          <cell r="A1734">
            <v>110872</v>
          </cell>
          <cell r="B1734" t="str">
            <v>3500897-1</v>
          </cell>
        </row>
        <row r="1735">
          <cell r="A1735">
            <v>110866</v>
          </cell>
          <cell r="B1735" t="str">
            <v>154957-6</v>
          </cell>
        </row>
        <row r="1736">
          <cell r="A1736">
            <v>110868</v>
          </cell>
          <cell r="B1736" t="str">
            <v>158822-3</v>
          </cell>
        </row>
        <row r="1737">
          <cell r="A1737">
            <v>110869</v>
          </cell>
          <cell r="B1737" t="str">
            <v>159315-1</v>
          </cell>
        </row>
        <row r="1738">
          <cell r="A1738">
            <v>110870</v>
          </cell>
          <cell r="B1738" t="str">
            <v>2311422-111</v>
          </cell>
        </row>
        <row r="1739">
          <cell r="A1739">
            <v>110871</v>
          </cell>
          <cell r="B1739" t="str">
            <v>159872-1</v>
          </cell>
        </row>
        <row r="1740">
          <cell r="A1740">
            <v>112572</v>
          </cell>
          <cell r="B1740" t="str">
            <v>10104498-101</v>
          </cell>
        </row>
        <row r="1741">
          <cell r="A1741" t="str">
            <v>ST025817</v>
          </cell>
          <cell r="B1741" t="str">
            <v>159719-111</v>
          </cell>
        </row>
        <row r="1742">
          <cell r="A1742">
            <v>112573</v>
          </cell>
          <cell r="B1742" t="str">
            <v>639-0181-003</v>
          </cell>
        </row>
        <row r="1743">
          <cell r="A1743" t="str">
            <v>ST025821</v>
          </cell>
          <cell r="B1743" t="str">
            <v>2372613-2</v>
          </cell>
        </row>
        <row r="1744">
          <cell r="A1744" t="str">
            <v>ST025833</v>
          </cell>
          <cell r="B1744" t="str">
            <v>2786283-1</v>
          </cell>
        </row>
        <row r="1745">
          <cell r="A1745" t="str">
            <v>ST025881</v>
          </cell>
          <cell r="B1745" t="str">
            <v>897514-1</v>
          </cell>
        </row>
        <row r="1746">
          <cell r="A1746">
            <v>112574</v>
          </cell>
          <cell r="B1746" t="str">
            <v>653-6089-001</v>
          </cell>
        </row>
        <row r="1747">
          <cell r="A1747">
            <v>112575</v>
          </cell>
          <cell r="B1747" t="str">
            <v>653-6089-002</v>
          </cell>
        </row>
        <row r="1748">
          <cell r="A1748">
            <v>110907</v>
          </cell>
          <cell r="B1748" t="str">
            <v>320477-4</v>
          </cell>
        </row>
        <row r="1749">
          <cell r="A1749">
            <v>110930</v>
          </cell>
          <cell r="B1749" t="str">
            <v>135233-10</v>
          </cell>
        </row>
        <row r="1750">
          <cell r="A1750">
            <v>110931</v>
          </cell>
          <cell r="B1750" t="str">
            <v>135233-12</v>
          </cell>
        </row>
        <row r="1751">
          <cell r="A1751">
            <v>110932</v>
          </cell>
          <cell r="B1751" t="str">
            <v>135233-13</v>
          </cell>
        </row>
        <row r="1752">
          <cell r="A1752">
            <v>110933</v>
          </cell>
          <cell r="B1752" t="str">
            <v>135233-14</v>
          </cell>
        </row>
        <row r="1753">
          <cell r="A1753" t="str">
            <v>ST032229</v>
          </cell>
          <cell r="B1753" t="str">
            <v>2690181</v>
          </cell>
        </row>
        <row r="1754">
          <cell r="A1754" t="str">
            <v>ST032230</v>
          </cell>
          <cell r="B1754" t="str">
            <v>2691553</v>
          </cell>
        </row>
        <row r="1755">
          <cell r="A1755" t="str">
            <v>ST032702</v>
          </cell>
          <cell r="B1755" t="str">
            <v>10088471-101</v>
          </cell>
        </row>
        <row r="1756">
          <cell r="A1756">
            <v>110934</v>
          </cell>
          <cell r="B1756" t="str">
            <v>135233-16</v>
          </cell>
        </row>
        <row r="1757">
          <cell r="A1757">
            <v>110935</v>
          </cell>
          <cell r="B1757" t="str">
            <v>3177655-2</v>
          </cell>
        </row>
        <row r="1758">
          <cell r="A1758" t="str">
            <v>ST040158</v>
          </cell>
          <cell r="B1758" t="str">
            <v>3180501-3</v>
          </cell>
        </row>
        <row r="1759">
          <cell r="A1759" t="str">
            <v>ST040161</v>
          </cell>
          <cell r="B1759" t="str">
            <v>3181434-1</v>
          </cell>
        </row>
        <row r="1760">
          <cell r="A1760" t="str">
            <v>ST040164</v>
          </cell>
          <cell r="B1760" t="str">
            <v>3185487-1</v>
          </cell>
        </row>
        <row r="1761">
          <cell r="A1761" t="str">
            <v>ST040176</v>
          </cell>
          <cell r="B1761" t="str">
            <v>320105-11</v>
          </cell>
        </row>
        <row r="1762">
          <cell r="A1762" t="str">
            <v>ST040183</v>
          </cell>
          <cell r="B1762" t="str">
            <v>320243-6</v>
          </cell>
        </row>
        <row r="1763">
          <cell r="A1763">
            <v>110938</v>
          </cell>
          <cell r="B1763" t="str">
            <v>320353-15</v>
          </cell>
        </row>
        <row r="1764">
          <cell r="A1764" t="str">
            <v>ST040186</v>
          </cell>
          <cell r="B1764" t="str">
            <v>320335-5</v>
          </cell>
        </row>
        <row r="1765">
          <cell r="A1765" t="str">
            <v>ST040189</v>
          </cell>
          <cell r="B1765" t="str">
            <v>320395-4</v>
          </cell>
        </row>
        <row r="1766">
          <cell r="A1766" t="str">
            <v>ST040190</v>
          </cell>
          <cell r="B1766" t="str">
            <v>320421-3</v>
          </cell>
        </row>
        <row r="1767">
          <cell r="A1767" t="str">
            <v>ST040191</v>
          </cell>
          <cell r="B1767" t="str">
            <v>320421-4</v>
          </cell>
        </row>
        <row r="1768">
          <cell r="A1768" t="str">
            <v>ST040192</v>
          </cell>
          <cell r="B1768" t="str">
            <v>320421-8</v>
          </cell>
        </row>
        <row r="1769">
          <cell r="A1769">
            <v>110940</v>
          </cell>
          <cell r="B1769" t="str">
            <v>320453-5</v>
          </cell>
        </row>
        <row r="1770">
          <cell r="A1770">
            <v>110891</v>
          </cell>
          <cell r="B1770" t="str">
            <v>3180665-1</v>
          </cell>
        </row>
        <row r="1771">
          <cell r="A1771" t="str">
            <v>ST040221</v>
          </cell>
          <cell r="B1771" t="str">
            <v>320867-1</v>
          </cell>
        </row>
        <row r="1772">
          <cell r="A1772">
            <v>110892</v>
          </cell>
          <cell r="B1772" t="str">
            <v>3180665-2</v>
          </cell>
        </row>
        <row r="1773">
          <cell r="A1773">
            <v>110906</v>
          </cell>
          <cell r="B1773" t="str">
            <v>320387-6</v>
          </cell>
        </row>
        <row r="1774">
          <cell r="A1774" t="str">
            <v>ST040726</v>
          </cell>
          <cell r="B1774" t="str">
            <v>2047297-1</v>
          </cell>
        </row>
        <row r="1775">
          <cell r="A1775" t="str">
            <v>ST040727</v>
          </cell>
          <cell r="B1775" t="str">
            <v>2047297-2</v>
          </cell>
        </row>
        <row r="1776">
          <cell r="A1776" t="str">
            <v>ST040728</v>
          </cell>
          <cell r="B1776" t="str">
            <v>2047297-3</v>
          </cell>
        </row>
        <row r="1777">
          <cell r="A1777" t="str">
            <v>ST040729</v>
          </cell>
          <cell r="B1777" t="str">
            <v>2047297-4</v>
          </cell>
        </row>
        <row r="1778">
          <cell r="A1778">
            <v>110921</v>
          </cell>
          <cell r="B1778" t="str">
            <v>26684-14</v>
          </cell>
        </row>
        <row r="1779">
          <cell r="A1779">
            <v>110908</v>
          </cell>
          <cell r="B1779" t="str">
            <v>320501-10</v>
          </cell>
        </row>
        <row r="1780">
          <cell r="A1780">
            <v>110909</v>
          </cell>
          <cell r="B1780" t="str">
            <v>320503-8</v>
          </cell>
        </row>
        <row r="1781">
          <cell r="A1781">
            <v>110924</v>
          </cell>
          <cell r="B1781" t="str">
            <v>36668-11</v>
          </cell>
        </row>
        <row r="1782">
          <cell r="A1782">
            <v>110944</v>
          </cell>
          <cell r="B1782" t="str">
            <v>320511-5</v>
          </cell>
        </row>
        <row r="1783">
          <cell r="A1783">
            <v>110947</v>
          </cell>
          <cell r="B1783" t="str">
            <v>320876-1</v>
          </cell>
        </row>
        <row r="1784">
          <cell r="A1784" t="str">
            <v>ST040810</v>
          </cell>
          <cell r="B1784" t="str">
            <v>518874-3</v>
          </cell>
        </row>
        <row r="1785">
          <cell r="A1785">
            <v>110910</v>
          </cell>
          <cell r="B1785" t="str">
            <v>320545-35</v>
          </cell>
        </row>
        <row r="1786">
          <cell r="A1786">
            <v>110911</v>
          </cell>
          <cell r="B1786" t="str">
            <v>320545-37</v>
          </cell>
        </row>
        <row r="1787">
          <cell r="A1787">
            <v>110913</v>
          </cell>
          <cell r="B1787" t="str">
            <v>320774-2</v>
          </cell>
        </row>
        <row r="1788">
          <cell r="A1788">
            <v>110915</v>
          </cell>
          <cell r="B1788" t="str">
            <v>320786-1</v>
          </cell>
        </row>
        <row r="1789">
          <cell r="A1789">
            <v>110916</v>
          </cell>
          <cell r="B1789" t="str">
            <v>320854-1</v>
          </cell>
        </row>
        <row r="1790">
          <cell r="A1790">
            <v>110939</v>
          </cell>
          <cell r="B1790" t="str">
            <v>320371-6</v>
          </cell>
        </row>
        <row r="1791">
          <cell r="A1791">
            <v>110893</v>
          </cell>
          <cell r="B1791" t="str">
            <v>319545-49</v>
          </cell>
        </row>
        <row r="1792">
          <cell r="A1792">
            <v>110894</v>
          </cell>
          <cell r="B1792" t="str">
            <v>319545-91</v>
          </cell>
        </row>
        <row r="1793">
          <cell r="A1793" t="str">
            <v>ST041152</v>
          </cell>
          <cell r="B1793" t="str">
            <v>135233-8</v>
          </cell>
        </row>
        <row r="1794">
          <cell r="A1794" t="str">
            <v>ST041153</v>
          </cell>
          <cell r="B1794" t="str">
            <v>135233-9</v>
          </cell>
        </row>
        <row r="1795">
          <cell r="A1795">
            <v>110895</v>
          </cell>
          <cell r="B1795" t="str">
            <v>319545-93</v>
          </cell>
        </row>
        <row r="1796">
          <cell r="A1796" t="str">
            <v>ST041156</v>
          </cell>
          <cell r="B1796" t="str">
            <v>3177845-1</v>
          </cell>
        </row>
        <row r="1797">
          <cell r="A1797" t="str">
            <v>ST041157</v>
          </cell>
          <cell r="B1797" t="str">
            <v>3181429-2</v>
          </cell>
        </row>
        <row r="1798">
          <cell r="A1798" t="str">
            <v>ST041166</v>
          </cell>
          <cell r="B1798" t="str">
            <v>319675-9</v>
          </cell>
        </row>
        <row r="1799">
          <cell r="A1799" t="str">
            <v>ST041167</v>
          </cell>
          <cell r="B1799" t="str">
            <v>320335-4</v>
          </cell>
        </row>
        <row r="1800">
          <cell r="A1800" t="str">
            <v>ST041168</v>
          </cell>
          <cell r="B1800" t="str">
            <v>320353-13</v>
          </cell>
        </row>
        <row r="1801">
          <cell r="A1801">
            <v>110896</v>
          </cell>
          <cell r="B1801" t="str">
            <v>319605-4</v>
          </cell>
        </row>
        <row r="1802">
          <cell r="A1802">
            <v>110897</v>
          </cell>
          <cell r="B1802" t="str">
            <v>319625-5</v>
          </cell>
        </row>
        <row r="1803">
          <cell r="A1803" t="str">
            <v>ST041177</v>
          </cell>
          <cell r="B1803" t="str">
            <v>320507-4</v>
          </cell>
        </row>
        <row r="1804">
          <cell r="A1804">
            <v>110898</v>
          </cell>
          <cell r="B1804" t="str">
            <v>320115-11</v>
          </cell>
        </row>
        <row r="1805">
          <cell r="A1805">
            <v>110917</v>
          </cell>
          <cell r="B1805" t="str">
            <v>320856-1</v>
          </cell>
        </row>
        <row r="1806">
          <cell r="A1806">
            <v>110941</v>
          </cell>
          <cell r="B1806" t="str">
            <v>320499-2</v>
          </cell>
        </row>
        <row r="1807">
          <cell r="A1807" t="str">
            <v>ST041195</v>
          </cell>
          <cell r="B1807" t="str">
            <v>3033179-1</v>
          </cell>
        </row>
        <row r="1808">
          <cell r="A1808">
            <v>110919</v>
          </cell>
          <cell r="B1808" t="str">
            <v>3238473-1</v>
          </cell>
        </row>
        <row r="1809">
          <cell r="A1809">
            <v>110901</v>
          </cell>
          <cell r="B1809" t="str">
            <v>320115-17</v>
          </cell>
        </row>
        <row r="1810">
          <cell r="A1810">
            <v>110904</v>
          </cell>
          <cell r="B1810" t="str">
            <v>320323-5</v>
          </cell>
        </row>
        <row r="1811">
          <cell r="A1811" t="str">
            <v>ST041199</v>
          </cell>
          <cell r="B1811" t="str">
            <v>3091783-751</v>
          </cell>
        </row>
        <row r="1812">
          <cell r="A1812">
            <v>110902</v>
          </cell>
          <cell r="B1812" t="str">
            <v>320183-4</v>
          </cell>
        </row>
        <row r="1813">
          <cell r="A1813" t="str">
            <v>ST041201</v>
          </cell>
          <cell r="B1813" t="str">
            <v>3180055-1</v>
          </cell>
        </row>
        <row r="1814">
          <cell r="A1814">
            <v>110905</v>
          </cell>
          <cell r="B1814" t="str">
            <v>320379-11</v>
          </cell>
        </row>
        <row r="1815">
          <cell r="A1815" t="str">
            <v>ST041203</v>
          </cell>
          <cell r="B1815" t="str">
            <v>3600468-1</v>
          </cell>
        </row>
        <row r="1816">
          <cell r="A1816" t="str">
            <v>ST041204</v>
          </cell>
          <cell r="B1816" t="str">
            <v>3601486-2</v>
          </cell>
        </row>
        <row r="1817">
          <cell r="A1817" t="str">
            <v>ST041205</v>
          </cell>
          <cell r="B1817" t="str">
            <v>3606295-2</v>
          </cell>
        </row>
        <row r="1818">
          <cell r="A1818">
            <v>110942</v>
          </cell>
          <cell r="B1818" t="str">
            <v>320499-4</v>
          </cell>
        </row>
        <row r="1819">
          <cell r="A1819">
            <v>110874</v>
          </cell>
          <cell r="B1819" t="str">
            <v>CG1093AD03</v>
          </cell>
        </row>
        <row r="1820">
          <cell r="A1820" t="str">
            <v>ST041208</v>
          </cell>
          <cell r="B1820" t="str">
            <v>3846042-9</v>
          </cell>
        </row>
        <row r="1821">
          <cell r="A1821">
            <v>110875</v>
          </cell>
          <cell r="B1821" t="str">
            <v>26000626-503</v>
          </cell>
        </row>
        <row r="1822">
          <cell r="A1822">
            <v>110876</v>
          </cell>
          <cell r="B1822" t="str">
            <v>10088496-307</v>
          </cell>
        </row>
        <row r="1823">
          <cell r="A1823">
            <v>110877</v>
          </cell>
          <cell r="B1823" t="str">
            <v>26012577-104(CM)</v>
          </cell>
        </row>
        <row r="1824">
          <cell r="A1824">
            <v>110873</v>
          </cell>
          <cell r="B1824" t="str">
            <v>CG1135AC03CK</v>
          </cell>
        </row>
        <row r="1825">
          <cell r="A1825">
            <v>110878</v>
          </cell>
          <cell r="B1825" t="str">
            <v>26014024-104CM</v>
          </cell>
        </row>
        <row r="1826">
          <cell r="A1826">
            <v>110879</v>
          </cell>
          <cell r="B1826" t="str">
            <v>26014104-102CM</v>
          </cell>
        </row>
        <row r="1827">
          <cell r="A1827">
            <v>110880</v>
          </cell>
          <cell r="B1827" t="str">
            <v>66020724-003CK</v>
          </cell>
        </row>
        <row r="1828">
          <cell r="A1828">
            <v>110881</v>
          </cell>
          <cell r="B1828" t="str">
            <v>26015941-106CM</v>
          </cell>
        </row>
        <row r="1829">
          <cell r="A1829">
            <v>110882</v>
          </cell>
          <cell r="B1829" t="str">
            <v>26017305-201CM</v>
          </cell>
        </row>
        <row r="1830">
          <cell r="A1830" t="str">
            <v>ST041899</v>
          </cell>
          <cell r="B1830" t="str">
            <v>1072001-044A00</v>
          </cell>
        </row>
        <row r="1831">
          <cell r="A1831">
            <v>110887</v>
          </cell>
          <cell r="B1831" t="str">
            <v>6310223N</v>
          </cell>
        </row>
        <row r="1832">
          <cell r="A1832" t="str">
            <v>ST041901</v>
          </cell>
          <cell r="B1832" t="str">
            <v>1072001-059A00</v>
          </cell>
        </row>
        <row r="1833">
          <cell r="A1833" t="str">
            <v>ST041902</v>
          </cell>
          <cell r="B1833" t="str">
            <v>1072001-072A00</v>
          </cell>
        </row>
        <row r="1834">
          <cell r="A1834" t="str">
            <v>ST041903</v>
          </cell>
          <cell r="B1834" t="str">
            <v>1072001-078A00</v>
          </cell>
        </row>
        <row r="1835">
          <cell r="A1835" t="str">
            <v>ST041904</v>
          </cell>
          <cell r="B1835" t="str">
            <v>1072001-080A00</v>
          </cell>
        </row>
        <row r="1836">
          <cell r="A1836" t="str">
            <v>ST041905</v>
          </cell>
          <cell r="B1836" t="str">
            <v>1072001-086A00</v>
          </cell>
        </row>
        <row r="1837">
          <cell r="A1837" t="str">
            <v>ST041906</v>
          </cell>
          <cell r="B1837" t="str">
            <v>1072001-087A00</v>
          </cell>
        </row>
        <row r="1838">
          <cell r="A1838" t="str">
            <v>ST041907</v>
          </cell>
          <cell r="B1838" t="str">
            <v>1072001-090A00</v>
          </cell>
        </row>
        <row r="1839">
          <cell r="A1839" t="str">
            <v>ST041908</v>
          </cell>
          <cell r="B1839" t="str">
            <v>1072001-091A00</v>
          </cell>
        </row>
        <row r="1840">
          <cell r="A1840">
            <v>112595</v>
          </cell>
          <cell r="B1840" t="str">
            <v>2784534-1</v>
          </cell>
        </row>
        <row r="1841">
          <cell r="A1841" t="str">
            <v>ST041910</v>
          </cell>
          <cell r="B1841" t="str">
            <v>1072001-129A00</v>
          </cell>
        </row>
        <row r="1842">
          <cell r="A1842" t="str">
            <v>ST041911</v>
          </cell>
          <cell r="B1842" t="str">
            <v>1072001-131A00</v>
          </cell>
        </row>
        <row r="1843">
          <cell r="A1843" t="str">
            <v>ST041912</v>
          </cell>
          <cell r="B1843" t="str">
            <v>1072001-134A00</v>
          </cell>
        </row>
        <row r="1844">
          <cell r="A1844" t="str">
            <v>ST041913</v>
          </cell>
          <cell r="B1844" t="str">
            <v>1072001-137A00</v>
          </cell>
        </row>
        <row r="1845">
          <cell r="A1845" t="str">
            <v>ST041914</v>
          </cell>
          <cell r="B1845" t="str">
            <v>1072001-140A00</v>
          </cell>
        </row>
        <row r="1846">
          <cell r="A1846" t="str">
            <v>ST041915</v>
          </cell>
          <cell r="B1846" t="str">
            <v>1072001-142A00</v>
          </cell>
        </row>
        <row r="1847">
          <cell r="A1847" t="str">
            <v>ST041916</v>
          </cell>
          <cell r="B1847" t="str">
            <v>1072001-152A00</v>
          </cell>
        </row>
        <row r="1848">
          <cell r="A1848" t="str">
            <v>ST041917</v>
          </cell>
          <cell r="B1848" t="str">
            <v>1072001-159A00</v>
          </cell>
        </row>
        <row r="1849">
          <cell r="A1849" t="str">
            <v>ST041918</v>
          </cell>
          <cell r="B1849" t="str">
            <v>1072001-162A00</v>
          </cell>
        </row>
        <row r="1850">
          <cell r="A1850">
            <v>110950</v>
          </cell>
          <cell r="B1850" t="str">
            <v>1072001-163A00</v>
          </cell>
        </row>
        <row r="1851">
          <cell r="A1851" t="str">
            <v>ST041920</v>
          </cell>
          <cell r="B1851" t="str">
            <v>1072001-166A00</v>
          </cell>
        </row>
        <row r="1852">
          <cell r="A1852" t="str">
            <v>ST041921</v>
          </cell>
          <cell r="B1852" t="str">
            <v>1072001-173A00</v>
          </cell>
        </row>
        <row r="1853">
          <cell r="A1853" t="str">
            <v>ST041922</v>
          </cell>
          <cell r="B1853" t="str">
            <v>1072001-185A00</v>
          </cell>
        </row>
        <row r="1854">
          <cell r="A1854">
            <v>112599</v>
          </cell>
          <cell r="B1854" t="str">
            <v>6310125C</v>
          </cell>
        </row>
        <row r="1855">
          <cell r="A1855" t="str">
            <v>ST041924</v>
          </cell>
          <cell r="B1855" t="str">
            <v>1072001-188A00</v>
          </cell>
        </row>
        <row r="1856">
          <cell r="A1856" t="str">
            <v>ST041925</v>
          </cell>
          <cell r="B1856" t="str">
            <v>1072001-191A00</v>
          </cell>
        </row>
        <row r="1857">
          <cell r="A1857" t="str">
            <v>ST041926</v>
          </cell>
          <cell r="B1857" t="str">
            <v>1072001-197A00</v>
          </cell>
        </row>
        <row r="1858">
          <cell r="A1858" t="str">
            <v>ST041927</v>
          </cell>
          <cell r="B1858" t="str">
            <v>1072001-200A00</v>
          </cell>
        </row>
        <row r="1859">
          <cell r="A1859" t="str">
            <v>ST041928</v>
          </cell>
          <cell r="B1859" t="str">
            <v>1072001-201A00</v>
          </cell>
        </row>
        <row r="1860">
          <cell r="A1860" t="str">
            <v>ST041929</v>
          </cell>
          <cell r="B1860" t="str">
            <v>1072001-205A00</v>
          </cell>
        </row>
        <row r="1861">
          <cell r="A1861">
            <v>110943</v>
          </cell>
          <cell r="B1861" t="str">
            <v>320499-6</v>
          </cell>
        </row>
        <row r="1862">
          <cell r="A1862" t="str">
            <v>ST041931</v>
          </cell>
          <cell r="B1862" t="str">
            <v>1072001-209A00</v>
          </cell>
        </row>
        <row r="1863">
          <cell r="A1863" t="str">
            <v>ST041932</v>
          </cell>
          <cell r="B1863" t="str">
            <v>1072001-210A00</v>
          </cell>
        </row>
        <row r="1864">
          <cell r="A1864" t="str">
            <v>ST041933</v>
          </cell>
          <cell r="B1864" t="str">
            <v>1072001-212A00</v>
          </cell>
        </row>
        <row r="1865">
          <cell r="A1865" t="str">
            <v>ST041934</v>
          </cell>
          <cell r="B1865" t="str">
            <v>1072001-213A00</v>
          </cell>
        </row>
        <row r="1866">
          <cell r="A1866" t="str">
            <v>ST041935</v>
          </cell>
          <cell r="B1866" t="str">
            <v>1072001-215A00</v>
          </cell>
        </row>
        <row r="1867">
          <cell r="A1867" t="str">
            <v>ST041936</v>
          </cell>
          <cell r="B1867" t="str">
            <v>1072001-219A00</v>
          </cell>
        </row>
        <row r="1868">
          <cell r="A1868" t="str">
            <v>ST041937</v>
          </cell>
          <cell r="B1868" t="str">
            <v>1072001-221A00</v>
          </cell>
        </row>
        <row r="1869">
          <cell r="A1869" t="str">
            <v>ST041938</v>
          </cell>
          <cell r="B1869" t="str">
            <v>1072001-223A00</v>
          </cell>
        </row>
        <row r="1870">
          <cell r="A1870" t="str">
            <v>ST041939</v>
          </cell>
          <cell r="B1870" t="str">
            <v>1072001-229A00</v>
          </cell>
        </row>
        <row r="1871">
          <cell r="A1871" t="str">
            <v>ST041940</v>
          </cell>
          <cell r="B1871" t="str">
            <v>1072001-230A00</v>
          </cell>
        </row>
        <row r="1872">
          <cell r="A1872" t="str">
            <v>ST041941</v>
          </cell>
          <cell r="B1872" t="str">
            <v>1072001-238A00</v>
          </cell>
        </row>
        <row r="1873">
          <cell r="A1873" t="str">
            <v>ST041942</v>
          </cell>
          <cell r="B1873" t="str">
            <v>1072001-240A00</v>
          </cell>
        </row>
        <row r="1874">
          <cell r="A1874" t="str">
            <v>ST041943</v>
          </cell>
          <cell r="B1874" t="str">
            <v>1072001-243A00</v>
          </cell>
        </row>
        <row r="1875">
          <cell r="A1875" t="str">
            <v>ST041944</v>
          </cell>
          <cell r="B1875" t="str">
            <v>1072001-245A00</v>
          </cell>
        </row>
        <row r="1876">
          <cell r="A1876" t="str">
            <v>ST041945</v>
          </cell>
          <cell r="B1876" t="str">
            <v>1072001-247A00</v>
          </cell>
        </row>
        <row r="1877">
          <cell r="A1877" t="str">
            <v>ST041946</v>
          </cell>
          <cell r="B1877" t="str">
            <v>1072001-248A00</v>
          </cell>
        </row>
        <row r="1878">
          <cell r="A1878" t="str">
            <v>ST041947</v>
          </cell>
          <cell r="B1878" t="str">
            <v>1072001-251A00</v>
          </cell>
        </row>
        <row r="1879">
          <cell r="A1879" t="str">
            <v>ST041948</v>
          </cell>
          <cell r="B1879" t="str">
            <v>1072001-255A00</v>
          </cell>
        </row>
        <row r="1880">
          <cell r="A1880" t="str">
            <v>ST041949</v>
          </cell>
          <cell r="B1880" t="str">
            <v>1072001-256A00</v>
          </cell>
        </row>
        <row r="1881">
          <cell r="A1881" t="str">
            <v>ST041950</v>
          </cell>
          <cell r="B1881" t="str">
            <v>1072001-270A00</v>
          </cell>
        </row>
        <row r="1882">
          <cell r="A1882" t="str">
            <v>ST041951</v>
          </cell>
          <cell r="B1882" t="str">
            <v>1072001-285A00</v>
          </cell>
        </row>
        <row r="1883">
          <cell r="A1883" t="str">
            <v>ST041952</v>
          </cell>
          <cell r="B1883" t="str">
            <v>1072001-291A00</v>
          </cell>
        </row>
        <row r="1884">
          <cell r="A1884" t="str">
            <v>ST041953</v>
          </cell>
          <cell r="B1884" t="str">
            <v>1072001-297A00</v>
          </cell>
        </row>
        <row r="1885">
          <cell r="A1885" t="str">
            <v>ST041954</v>
          </cell>
          <cell r="B1885" t="str">
            <v>1072001-323A00</v>
          </cell>
        </row>
        <row r="1886">
          <cell r="A1886" t="str">
            <v>ST041955</v>
          </cell>
          <cell r="B1886" t="str">
            <v>1072001-328A00</v>
          </cell>
        </row>
        <row r="1887">
          <cell r="A1887" t="str">
            <v>ST042771</v>
          </cell>
          <cell r="B1887" t="str">
            <v>820-13588</v>
          </cell>
        </row>
        <row r="1888">
          <cell r="A1888" t="str">
            <v>ST035938</v>
          </cell>
          <cell r="B1888" t="str">
            <v>8522934-3</v>
          </cell>
        </row>
        <row r="1889">
          <cell r="A1889" t="str">
            <v>ST028915</v>
          </cell>
          <cell r="B1889">
            <v>9998242</v>
          </cell>
        </row>
        <row r="1890">
          <cell r="A1890" t="str">
            <v>ST028527</v>
          </cell>
          <cell r="B1890" t="str">
            <v>186943-1</v>
          </cell>
        </row>
        <row r="1891">
          <cell r="A1891" t="str">
            <v>ST029019</v>
          </cell>
          <cell r="B1891" t="str">
            <v>4092693-1005//CM</v>
          </cell>
        </row>
        <row r="1892">
          <cell r="A1892" t="str">
            <v>ST035864</v>
          </cell>
          <cell r="B1892" t="str">
            <v>60000288-1003</v>
          </cell>
        </row>
        <row r="1893">
          <cell r="A1893" t="str">
            <v>ST033116</v>
          </cell>
          <cell r="B1893" t="str">
            <v>7026238-903</v>
          </cell>
        </row>
        <row r="1894">
          <cell r="A1894" t="str">
            <v>ST033117</v>
          </cell>
          <cell r="B1894" t="str">
            <v>7026238-903</v>
          </cell>
        </row>
        <row r="1895">
          <cell r="A1895" t="str">
            <v>ST032316</v>
          </cell>
          <cell r="B1895" t="str">
            <v>4058655-1</v>
          </cell>
        </row>
        <row r="1896">
          <cell r="A1896" t="str">
            <v>ST029055</v>
          </cell>
          <cell r="B1896" t="str">
            <v>60001762-1001</v>
          </cell>
        </row>
        <row r="1897">
          <cell r="A1897" t="str">
            <v>ST032592</v>
          </cell>
          <cell r="B1897" t="str">
            <v>26019290-101</v>
          </cell>
        </row>
        <row r="1898">
          <cell r="A1898" t="str">
            <v>ST032189</v>
          </cell>
          <cell r="B1898" t="str">
            <v>66020054-001</v>
          </cell>
        </row>
        <row r="1899">
          <cell r="A1899" t="str">
            <v>ST032208</v>
          </cell>
          <cell r="B1899" t="str">
            <v>CG1135AC03</v>
          </cell>
        </row>
        <row r="1900">
          <cell r="A1900" t="str">
            <v>ST032212</v>
          </cell>
          <cell r="B1900" t="str">
            <v>CG1135AC03</v>
          </cell>
        </row>
        <row r="1901">
          <cell r="A1901" t="str">
            <v>ST035910</v>
          </cell>
          <cell r="B1901" t="str">
            <v>4091887-901</v>
          </cell>
        </row>
        <row r="1902">
          <cell r="A1902" t="str">
            <v>ST028585</v>
          </cell>
          <cell r="B1902" t="str">
            <v>223-495-9005</v>
          </cell>
        </row>
        <row r="1903">
          <cell r="A1903" t="str">
            <v>ST029012</v>
          </cell>
          <cell r="B1903" t="str">
            <v>4077875-1030</v>
          </cell>
        </row>
        <row r="1904">
          <cell r="A1904">
            <v>107542</v>
          </cell>
          <cell r="B1904" t="str">
            <v>4087460-1002//CM</v>
          </cell>
        </row>
        <row r="1905">
          <cell r="A1905" t="str">
            <v>ST029015</v>
          </cell>
          <cell r="B1905" t="str">
            <v>4091755-1001//CM</v>
          </cell>
        </row>
        <row r="1906">
          <cell r="A1906" t="str">
            <v>ST029016</v>
          </cell>
          <cell r="B1906" t="str">
            <v>4091765-1001//CM</v>
          </cell>
        </row>
        <row r="1907">
          <cell r="A1907" t="str">
            <v>ST029054</v>
          </cell>
          <cell r="B1907" t="str">
            <v>60001760-1001//CM</v>
          </cell>
        </row>
        <row r="1908">
          <cell r="A1908" t="str">
            <v>ST029059</v>
          </cell>
          <cell r="B1908" t="str">
            <v>62002388-901//CM</v>
          </cell>
        </row>
        <row r="1909">
          <cell r="A1909">
            <v>107543</v>
          </cell>
          <cell r="B1909" t="str">
            <v>7030702-901</v>
          </cell>
        </row>
        <row r="1910">
          <cell r="A1910" t="str">
            <v>ST028557</v>
          </cell>
          <cell r="B1910" t="str">
            <v>211-541-9002</v>
          </cell>
        </row>
        <row r="1911">
          <cell r="A1911" t="str">
            <v>ST032181</v>
          </cell>
          <cell r="B1911" t="str">
            <v>26021561-101</v>
          </cell>
        </row>
        <row r="1912">
          <cell r="A1912" t="str">
            <v>ST032182</v>
          </cell>
          <cell r="B1912" t="str">
            <v>26007790-101</v>
          </cell>
        </row>
        <row r="1913">
          <cell r="A1913" t="str">
            <v>ST032186</v>
          </cell>
          <cell r="B1913" t="str">
            <v>66021675-001</v>
          </cell>
        </row>
        <row r="1914">
          <cell r="A1914" t="str">
            <v>ST032187</v>
          </cell>
          <cell r="B1914" t="str">
            <v>26008590-103</v>
          </cell>
        </row>
        <row r="1915">
          <cell r="A1915">
            <v>107545</v>
          </cell>
          <cell r="B1915" t="str">
            <v>26005975-104CM</v>
          </cell>
        </row>
        <row r="1916">
          <cell r="A1916" t="str">
            <v>ST032215</v>
          </cell>
          <cell r="B1916" t="str">
            <v>26013202-102</v>
          </cell>
        </row>
        <row r="1917">
          <cell r="A1917" t="str">
            <v>ST032224</v>
          </cell>
          <cell r="B1917" t="str">
            <v>26019290-201</v>
          </cell>
        </row>
        <row r="1918">
          <cell r="A1918" t="str">
            <v>ST032264</v>
          </cell>
          <cell r="B1918" t="str">
            <v>66020702-003</v>
          </cell>
        </row>
        <row r="1919">
          <cell r="A1919" t="str">
            <v>ST032267</v>
          </cell>
          <cell r="B1919" t="str">
            <v>8526030-930</v>
          </cell>
        </row>
        <row r="1920">
          <cell r="A1920" t="str">
            <v>ST032268</v>
          </cell>
          <cell r="B1920" t="str">
            <v>8526040-930</v>
          </cell>
        </row>
        <row r="1921">
          <cell r="A1921" t="str">
            <v>ST032269</v>
          </cell>
          <cell r="B1921" t="str">
            <v>8526080-922</v>
          </cell>
        </row>
        <row r="1922">
          <cell r="A1922" t="str">
            <v>ST032270</v>
          </cell>
          <cell r="B1922" t="str">
            <v>8529562-950</v>
          </cell>
        </row>
        <row r="1923">
          <cell r="A1923" t="str">
            <v>ST032271</v>
          </cell>
          <cell r="B1923" t="str">
            <v>8529563-950</v>
          </cell>
        </row>
        <row r="1924">
          <cell r="A1924" t="str">
            <v>ST032727</v>
          </cell>
          <cell r="B1924" t="str">
            <v>26005975-104</v>
          </cell>
        </row>
        <row r="1925">
          <cell r="A1925">
            <v>107561</v>
          </cell>
          <cell r="B1925" t="str">
            <v>4093329-901</v>
          </cell>
        </row>
        <row r="1926">
          <cell r="A1926" t="str">
            <v>ST033380</v>
          </cell>
          <cell r="B1926" t="str">
            <v>7002864</v>
          </cell>
        </row>
        <row r="1927">
          <cell r="A1927" t="str">
            <v>ST032551</v>
          </cell>
          <cell r="B1927" t="str">
            <v>7014938-916</v>
          </cell>
        </row>
        <row r="1928">
          <cell r="A1928" t="str">
            <v>ST032204</v>
          </cell>
          <cell r="B1928" t="str">
            <v>26014219-106</v>
          </cell>
        </row>
        <row r="1929">
          <cell r="A1929" t="str">
            <v>ST032593</v>
          </cell>
          <cell r="B1929" t="str">
            <v>26019290-201</v>
          </cell>
        </row>
        <row r="1930">
          <cell r="A1930" t="str">
            <v>ST029203</v>
          </cell>
          <cell r="B1930" t="str">
            <v>CG1135AC03CK</v>
          </cell>
        </row>
        <row r="1931">
          <cell r="A1931">
            <v>107559</v>
          </cell>
          <cell r="B1931" t="str">
            <v>7036125-902//CM</v>
          </cell>
        </row>
        <row r="1932">
          <cell r="A1932">
            <v>107560</v>
          </cell>
          <cell r="B1932" t="str">
            <v>7036125-902//CM</v>
          </cell>
        </row>
        <row r="1933">
          <cell r="A1933">
            <v>107537</v>
          </cell>
          <cell r="B1933">
            <v>1118370</v>
          </cell>
        </row>
        <row r="1934">
          <cell r="A1934" t="str">
            <v>ST028490</v>
          </cell>
          <cell r="B1934" t="str">
            <v>12336818</v>
          </cell>
        </row>
        <row r="1935">
          <cell r="A1935" t="str">
            <v>ST028491</v>
          </cell>
          <cell r="B1935" t="str">
            <v>12336876</v>
          </cell>
        </row>
        <row r="1936">
          <cell r="A1936">
            <v>107538</v>
          </cell>
          <cell r="B1936">
            <v>1543405</v>
          </cell>
        </row>
        <row r="1937">
          <cell r="A1937">
            <v>107539</v>
          </cell>
          <cell r="B1937" t="str">
            <v>2-310-076-01</v>
          </cell>
        </row>
        <row r="1938">
          <cell r="A1938" t="str">
            <v>ST028552</v>
          </cell>
          <cell r="B1938" t="str">
            <v>211-013-9154</v>
          </cell>
        </row>
        <row r="1939">
          <cell r="A1939" t="str">
            <v>ST028582</v>
          </cell>
          <cell r="B1939" t="str">
            <v>2214015-1</v>
          </cell>
        </row>
        <row r="1940">
          <cell r="A1940" t="str">
            <v>ST028583</v>
          </cell>
          <cell r="B1940" t="str">
            <v>2214015-2</v>
          </cell>
        </row>
        <row r="1941">
          <cell r="A1941" t="str">
            <v>ST028632</v>
          </cell>
          <cell r="B1941" t="str">
            <v>234-538-9673</v>
          </cell>
        </row>
        <row r="1942">
          <cell r="A1942" t="str">
            <v>ST028982</v>
          </cell>
          <cell r="B1942" t="str">
            <v>3507972-1</v>
          </cell>
        </row>
        <row r="1943">
          <cell r="A1943" t="str">
            <v>ST028983</v>
          </cell>
          <cell r="B1943" t="str">
            <v>357797</v>
          </cell>
        </row>
        <row r="1944">
          <cell r="A1944">
            <v>107541</v>
          </cell>
          <cell r="B1944" t="str">
            <v>363913-1</v>
          </cell>
        </row>
        <row r="1945">
          <cell r="A1945" t="str">
            <v>ST029073</v>
          </cell>
          <cell r="B1945" t="str">
            <v>6431555-1</v>
          </cell>
        </row>
        <row r="1946">
          <cell r="A1946">
            <v>107562</v>
          </cell>
          <cell r="B1946" t="str">
            <v>340-501-9313</v>
          </cell>
        </row>
        <row r="1947">
          <cell r="A1947" t="str">
            <v>ST033002</v>
          </cell>
          <cell r="B1947" t="str">
            <v>4092737-1</v>
          </cell>
        </row>
        <row r="1948">
          <cell r="A1948" t="str">
            <v>ST033003</v>
          </cell>
          <cell r="B1948" t="str">
            <v>4092738-1</v>
          </cell>
        </row>
        <row r="1949">
          <cell r="A1949" t="str">
            <v>ST033008</v>
          </cell>
          <cell r="B1949" t="str">
            <v>4093398-101</v>
          </cell>
        </row>
        <row r="1950">
          <cell r="A1950" t="str">
            <v>ST033011</v>
          </cell>
          <cell r="B1950" t="str">
            <v>60005280-902</v>
          </cell>
        </row>
        <row r="1951">
          <cell r="A1951" t="str">
            <v>ST033021</v>
          </cell>
          <cell r="B1951" t="str">
            <v>990-E5734-001</v>
          </cell>
        </row>
        <row r="1952">
          <cell r="A1952" t="str">
            <v>ST032623</v>
          </cell>
          <cell r="B1952" t="str">
            <v>4058655-1</v>
          </cell>
        </row>
        <row r="1953">
          <cell r="A1953">
            <v>107558</v>
          </cell>
          <cell r="B1953" t="str">
            <v>4082732-12</v>
          </cell>
        </row>
        <row r="1954">
          <cell r="A1954" t="str">
            <v>ST032626</v>
          </cell>
          <cell r="B1954" t="str">
            <v>4082732-13</v>
          </cell>
        </row>
        <row r="1955">
          <cell r="A1955" t="str">
            <v>ST032627</v>
          </cell>
          <cell r="B1955" t="str">
            <v>4082732-14</v>
          </cell>
        </row>
        <row r="1956">
          <cell r="A1956">
            <v>107546</v>
          </cell>
          <cell r="B1956" t="str">
            <v>4073772-2</v>
          </cell>
        </row>
        <row r="1957">
          <cell r="A1957">
            <v>107547</v>
          </cell>
          <cell r="B1957" t="str">
            <v>4073972-10</v>
          </cell>
        </row>
        <row r="1958">
          <cell r="A1958">
            <v>107548</v>
          </cell>
          <cell r="B1958" t="str">
            <v>4073972-9</v>
          </cell>
        </row>
        <row r="1959">
          <cell r="A1959">
            <v>107549</v>
          </cell>
          <cell r="B1959" t="str">
            <v>4082732-12</v>
          </cell>
        </row>
        <row r="1960">
          <cell r="A1960" t="str">
            <v>ST032325</v>
          </cell>
          <cell r="B1960" t="str">
            <v>4082732-13</v>
          </cell>
        </row>
        <row r="1961">
          <cell r="A1961" t="str">
            <v>ST032326</v>
          </cell>
          <cell r="B1961" t="str">
            <v>4082732-14</v>
          </cell>
        </row>
        <row r="1962">
          <cell r="A1962">
            <v>107550</v>
          </cell>
          <cell r="B1962" t="str">
            <v>4082732-2</v>
          </cell>
        </row>
        <row r="1963">
          <cell r="A1963" t="str">
            <v>ST032330</v>
          </cell>
          <cell r="B1963" t="str">
            <v>4082732-5</v>
          </cell>
        </row>
        <row r="1964">
          <cell r="A1964" t="str">
            <v>ST032331</v>
          </cell>
          <cell r="B1964" t="str">
            <v>4083607-1</v>
          </cell>
        </row>
        <row r="1965">
          <cell r="A1965" t="str">
            <v>ST032332</v>
          </cell>
          <cell r="B1965" t="str">
            <v>4083608-3</v>
          </cell>
        </row>
        <row r="1966">
          <cell r="A1966">
            <v>107551</v>
          </cell>
          <cell r="B1966" t="str">
            <v>4088463-2</v>
          </cell>
        </row>
        <row r="1967">
          <cell r="A1967">
            <v>107552</v>
          </cell>
          <cell r="B1967" t="str">
            <v>4089745-2</v>
          </cell>
        </row>
        <row r="1968">
          <cell r="A1968">
            <v>107553</v>
          </cell>
          <cell r="B1968" t="str">
            <v>4091643-1</v>
          </cell>
        </row>
        <row r="1969">
          <cell r="A1969" t="str">
            <v>ST032347</v>
          </cell>
          <cell r="B1969" t="str">
            <v>7025062-5</v>
          </cell>
        </row>
        <row r="1970">
          <cell r="A1970">
            <v>107554</v>
          </cell>
          <cell r="B1970" t="str">
            <v>7025062-7</v>
          </cell>
        </row>
        <row r="1971">
          <cell r="A1971">
            <v>107556</v>
          </cell>
          <cell r="B1971" t="str">
            <v>965-1704-001</v>
          </cell>
        </row>
        <row r="1972">
          <cell r="A1972">
            <v>107557</v>
          </cell>
          <cell r="B1972" t="str">
            <v>965-1705-001</v>
          </cell>
        </row>
        <row r="1973">
          <cell r="A1973" t="str">
            <v>ST029162</v>
          </cell>
          <cell r="B1973" t="str">
            <v>8057515-0501</v>
          </cell>
        </row>
        <row r="1974">
          <cell r="A1974" t="str">
            <v>ST029163</v>
          </cell>
          <cell r="B1974" t="str">
            <v>8057515-0505</v>
          </cell>
        </row>
        <row r="1975">
          <cell r="A1975" t="str">
            <v>ST029080</v>
          </cell>
          <cell r="B1975" t="str">
            <v>66000080-101</v>
          </cell>
        </row>
        <row r="1976">
          <cell r="A1976" t="str">
            <v>ST029124</v>
          </cell>
          <cell r="B1976" t="str">
            <v>7014880-911</v>
          </cell>
        </row>
        <row r="1977">
          <cell r="A1977" t="str">
            <v>ST029129</v>
          </cell>
          <cell r="B1977" t="str">
            <v xml:space="preserve">7021927-902 </v>
          </cell>
        </row>
        <row r="1978">
          <cell r="A1978">
            <v>107564</v>
          </cell>
          <cell r="B1978" t="str">
            <v>2215825-1</v>
          </cell>
        </row>
        <row r="1979">
          <cell r="A1979" t="str">
            <v>ST037340</v>
          </cell>
          <cell r="B1979" t="str">
            <v>2215826-1</v>
          </cell>
        </row>
        <row r="1980">
          <cell r="A1980">
            <v>107563</v>
          </cell>
          <cell r="B1980" t="str">
            <v>2215674-1</v>
          </cell>
        </row>
        <row r="1981">
          <cell r="A1981">
            <v>107565</v>
          </cell>
          <cell r="B1981" t="str">
            <v>3179665-1</v>
          </cell>
        </row>
        <row r="1982">
          <cell r="A1982">
            <v>107566</v>
          </cell>
          <cell r="B1982" t="str">
            <v>3179666-1</v>
          </cell>
        </row>
        <row r="1983">
          <cell r="A1983">
            <v>107630</v>
          </cell>
          <cell r="B1983" t="str">
            <v>3184037-1</v>
          </cell>
        </row>
        <row r="1984">
          <cell r="A1984">
            <v>107567</v>
          </cell>
          <cell r="B1984" t="str">
            <v>67041318-1</v>
          </cell>
        </row>
        <row r="1985">
          <cell r="A1985">
            <v>107568</v>
          </cell>
          <cell r="B1985" t="str">
            <v>67041319-1</v>
          </cell>
        </row>
        <row r="1986">
          <cell r="A1986">
            <v>107569</v>
          </cell>
          <cell r="B1986" t="str">
            <v>975898-6</v>
          </cell>
        </row>
        <row r="1987">
          <cell r="A1987">
            <v>107544</v>
          </cell>
          <cell r="B1987">
            <v>115705</v>
          </cell>
        </row>
        <row r="1988">
          <cell r="A1988" t="str">
            <v>ST035813</v>
          </cell>
          <cell r="B1988" t="str">
            <v>26018457-103</v>
          </cell>
        </row>
        <row r="1989">
          <cell r="A1989" t="str">
            <v>ST035856</v>
          </cell>
          <cell r="B1989" t="str">
            <v>4076106-901</v>
          </cell>
        </row>
        <row r="1990">
          <cell r="A1990" t="str">
            <v>ST035857</v>
          </cell>
          <cell r="B1990" t="str">
            <v>7019451-902</v>
          </cell>
        </row>
        <row r="1991">
          <cell r="A1991" t="str">
            <v>ST035858</v>
          </cell>
          <cell r="B1991" t="str">
            <v>7019453-902</v>
          </cell>
        </row>
        <row r="1992">
          <cell r="A1992" t="str">
            <v>ST035859</v>
          </cell>
          <cell r="B1992" t="str">
            <v>7019453-904//CM</v>
          </cell>
        </row>
        <row r="1993">
          <cell r="A1993" t="str">
            <v>ST035860</v>
          </cell>
          <cell r="B1993" t="str">
            <v>7019453-902</v>
          </cell>
        </row>
        <row r="1994">
          <cell r="A1994" t="str">
            <v>ST035861</v>
          </cell>
          <cell r="B1994" t="str">
            <v>7019453-904//CM</v>
          </cell>
        </row>
        <row r="1995">
          <cell r="A1995" t="str">
            <v>ST035862</v>
          </cell>
          <cell r="B1995" t="str">
            <v>7025056-903//CM</v>
          </cell>
        </row>
        <row r="1996">
          <cell r="A1996" t="str">
            <v>ST035901</v>
          </cell>
          <cell r="B1996" t="str">
            <v>4054348-11</v>
          </cell>
        </row>
        <row r="1997">
          <cell r="A1997" t="str">
            <v>ST035903</v>
          </cell>
          <cell r="B1997" t="str">
            <v>4054348-16</v>
          </cell>
        </row>
        <row r="1998">
          <cell r="A1998" t="str">
            <v>ST035906</v>
          </cell>
          <cell r="B1998" t="str">
            <v>4054349-2</v>
          </cell>
        </row>
        <row r="1999">
          <cell r="A1999" t="str">
            <v>ST035912</v>
          </cell>
          <cell r="B1999" t="str">
            <v>53000899-1</v>
          </cell>
        </row>
        <row r="2000">
          <cell r="A2000" t="str">
            <v>ST035915</v>
          </cell>
          <cell r="B2000" t="str">
            <v>53500339-1</v>
          </cell>
        </row>
        <row r="2001">
          <cell r="A2001" t="str">
            <v>ST035925</v>
          </cell>
          <cell r="B2001" t="str">
            <v>8521678-63</v>
          </cell>
        </row>
        <row r="2002">
          <cell r="A2002" t="str">
            <v>ST035928</v>
          </cell>
          <cell r="B2002" t="str">
            <v>8521837-63</v>
          </cell>
        </row>
        <row r="2003">
          <cell r="A2003" t="str">
            <v>ST035929</v>
          </cell>
          <cell r="B2003" t="str">
            <v>8521842-36</v>
          </cell>
        </row>
        <row r="2004">
          <cell r="A2004" t="str">
            <v>ST035930</v>
          </cell>
          <cell r="B2004" t="str">
            <v>8521842-37</v>
          </cell>
        </row>
        <row r="2005">
          <cell r="A2005" t="str">
            <v>ST035931</v>
          </cell>
          <cell r="B2005" t="str">
            <v>8521842-38</v>
          </cell>
        </row>
        <row r="2006">
          <cell r="A2006" t="str">
            <v>ST035934</v>
          </cell>
          <cell r="B2006" t="str">
            <v>8522932-5</v>
          </cell>
        </row>
        <row r="2007">
          <cell r="A2007" t="str">
            <v>ST035936</v>
          </cell>
          <cell r="B2007" t="str">
            <v>8522934-1</v>
          </cell>
        </row>
        <row r="2008">
          <cell r="A2008" t="str">
            <v>ST035937</v>
          </cell>
          <cell r="B2008" t="str">
            <v>8522934-2</v>
          </cell>
        </row>
        <row r="2009">
          <cell r="A2009" t="str">
            <v>ST035939</v>
          </cell>
          <cell r="B2009" t="str">
            <v>8522934-4</v>
          </cell>
        </row>
        <row r="2010">
          <cell r="A2010" t="str">
            <v>ST035940</v>
          </cell>
          <cell r="B2010" t="str">
            <v>8522935-1</v>
          </cell>
        </row>
        <row r="2011">
          <cell r="A2011" t="str">
            <v>ST035944</v>
          </cell>
          <cell r="B2011" t="str">
            <v>8528122-6</v>
          </cell>
        </row>
        <row r="2012">
          <cell r="A2012">
            <v>107540</v>
          </cell>
          <cell r="B2012">
            <v>2651925</v>
          </cell>
        </row>
        <row r="2013">
          <cell r="A2013" t="str">
            <v>ST033005</v>
          </cell>
          <cell r="B2013" t="str">
            <v>4092743-902</v>
          </cell>
        </row>
        <row r="2014">
          <cell r="A2014" t="str">
            <v>ST033019</v>
          </cell>
          <cell r="B2014" t="str">
            <v>990-5734-100</v>
          </cell>
        </row>
        <row r="2015">
          <cell r="A2015">
            <v>107555</v>
          </cell>
          <cell r="B2015" t="str">
            <v>965-1695-002</v>
          </cell>
        </row>
        <row r="2016">
          <cell r="A2016" t="str">
            <v>ST035863</v>
          </cell>
          <cell r="B2016" t="str">
            <v>7025056-904//CM</v>
          </cell>
        </row>
        <row r="2017">
          <cell r="A2017" t="str">
            <v>ST035914</v>
          </cell>
          <cell r="B2017" t="str">
            <v>53500329-1</v>
          </cell>
        </row>
        <row r="2018">
          <cell r="A2018" t="str">
            <v>ST035926</v>
          </cell>
          <cell r="B2018" t="str">
            <v>8521837-46</v>
          </cell>
        </row>
        <row r="2019">
          <cell r="A2019" t="str">
            <v>ST035932</v>
          </cell>
          <cell r="B2019" t="str">
            <v>8521881-25</v>
          </cell>
        </row>
        <row r="2020">
          <cell r="A2020" t="str">
            <v>ST035933</v>
          </cell>
          <cell r="B2020" t="str">
            <v>8522932-2</v>
          </cell>
        </row>
        <row r="2021">
          <cell r="A2021" t="str">
            <v>ST035942</v>
          </cell>
          <cell r="B2021" t="str">
            <v>8522935-3</v>
          </cell>
        </row>
        <row r="2022">
          <cell r="A2022" t="str">
            <v>ST035943</v>
          </cell>
          <cell r="B2022" t="str">
            <v>8522935-4</v>
          </cell>
        </row>
        <row r="2023">
          <cell r="A2023">
            <v>107570</v>
          </cell>
          <cell r="B2023" t="str">
            <v>3177795-1</v>
          </cell>
        </row>
        <row r="2024">
          <cell r="A2024">
            <v>110946</v>
          </cell>
          <cell r="B2024" t="str">
            <v>320864-1</v>
          </cell>
        </row>
        <row r="2025">
          <cell r="A2025">
            <v>112588</v>
          </cell>
          <cell r="B2025" t="str">
            <v>2559A013</v>
          </cell>
        </row>
        <row r="2026">
          <cell r="A2026">
            <v>112589</v>
          </cell>
          <cell r="B2026" t="str">
            <v>2575W030</v>
          </cell>
        </row>
        <row r="2027">
          <cell r="A2027">
            <v>112590</v>
          </cell>
          <cell r="B2027" t="str">
            <v>3030W310</v>
          </cell>
        </row>
        <row r="2028">
          <cell r="A2028">
            <v>107571</v>
          </cell>
          <cell r="B2028" t="str">
            <v>3183448-1</v>
          </cell>
        </row>
        <row r="2029">
          <cell r="A2029">
            <v>107572</v>
          </cell>
          <cell r="B2029" t="str">
            <v>3184282-1</v>
          </cell>
        </row>
        <row r="2030">
          <cell r="A2030">
            <v>107573</v>
          </cell>
          <cell r="B2030" t="str">
            <v>3185686-2</v>
          </cell>
        </row>
        <row r="2031">
          <cell r="A2031">
            <v>112591</v>
          </cell>
          <cell r="B2031" t="str">
            <v>3189W030</v>
          </cell>
        </row>
        <row r="2032">
          <cell r="A2032" t="str">
            <v>ST040168</v>
          </cell>
          <cell r="B2032" t="str">
            <v>319545-50</v>
          </cell>
        </row>
        <row r="2033">
          <cell r="A2033" t="str">
            <v>ST040169</v>
          </cell>
          <cell r="B2033" t="str">
            <v>319545-85</v>
          </cell>
        </row>
        <row r="2034">
          <cell r="A2034" t="str">
            <v>ST040170</v>
          </cell>
          <cell r="B2034" t="str">
            <v>319545-86</v>
          </cell>
        </row>
        <row r="2035">
          <cell r="A2035">
            <v>112592</v>
          </cell>
          <cell r="B2035" t="str">
            <v>3264W010</v>
          </cell>
        </row>
        <row r="2036">
          <cell r="A2036">
            <v>112593</v>
          </cell>
          <cell r="B2036" t="str">
            <v>5070C010</v>
          </cell>
        </row>
        <row r="2037">
          <cell r="A2037" t="str">
            <v>ST040173</v>
          </cell>
          <cell r="B2037" t="str">
            <v>319545-96</v>
          </cell>
        </row>
        <row r="2038">
          <cell r="A2038">
            <v>112594</v>
          </cell>
          <cell r="B2038" t="str">
            <v>3876150-2</v>
          </cell>
        </row>
        <row r="2039">
          <cell r="A2039">
            <v>110945</v>
          </cell>
          <cell r="B2039" t="str">
            <v>320511-6</v>
          </cell>
        </row>
        <row r="2040">
          <cell r="A2040">
            <v>110936</v>
          </cell>
          <cell r="B2040" t="str">
            <v>319525-15</v>
          </cell>
        </row>
        <row r="2041">
          <cell r="A2041">
            <v>110922</v>
          </cell>
          <cell r="B2041" t="str">
            <v>26684-24</v>
          </cell>
        </row>
        <row r="2042">
          <cell r="A2042">
            <v>110923</v>
          </cell>
          <cell r="B2042" t="str">
            <v>2712840-1</v>
          </cell>
        </row>
        <row r="2043">
          <cell r="A2043" t="str">
            <v>ST040180</v>
          </cell>
          <cell r="B2043" t="str">
            <v>320115-16</v>
          </cell>
        </row>
        <row r="2044">
          <cell r="A2044">
            <v>110925</v>
          </cell>
          <cell r="B2044" t="str">
            <v>515959-3</v>
          </cell>
        </row>
        <row r="2045">
          <cell r="A2045">
            <v>110926</v>
          </cell>
          <cell r="B2045" t="str">
            <v>518874-1</v>
          </cell>
        </row>
        <row r="2046">
          <cell r="A2046">
            <v>110927</v>
          </cell>
          <cell r="B2046" t="str">
            <v>805525-1</v>
          </cell>
        </row>
        <row r="2047">
          <cell r="A2047">
            <v>110954</v>
          </cell>
          <cell r="B2047" t="str">
            <v>26825-3</v>
          </cell>
        </row>
        <row r="2048">
          <cell r="A2048">
            <v>110937</v>
          </cell>
          <cell r="B2048" t="str">
            <v>319625-8</v>
          </cell>
        </row>
        <row r="2049">
          <cell r="A2049">
            <v>107574</v>
          </cell>
          <cell r="B2049" t="str">
            <v>320467-10</v>
          </cell>
        </row>
        <row r="2050">
          <cell r="A2050">
            <v>107575</v>
          </cell>
          <cell r="B2050" t="str">
            <v>320467-11</v>
          </cell>
        </row>
        <row r="2051">
          <cell r="A2051">
            <v>107576</v>
          </cell>
          <cell r="B2051" t="str">
            <v>320467-12</v>
          </cell>
        </row>
        <row r="2052">
          <cell r="A2052" t="str">
            <v>ST040196</v>
          </cell>
          <cell r="B2052" t="str">
            <v>320467-3</v>
          </cell>
        </row>
        <row r="2053">
          <cell r="A2053">
            <v>107577</v>
          </cell>
          <cell r="B2053" t="str">
            <v>320467-4</v>
          </cell>
        </row>
        <row r="2054">
          <cell r="A2054" t="str">
            <v>ST040198</v>
          </cell>
          <cell r="B2054" t="str">
            <v>320467-6</v>
          </cell>
        </row>
        <row r="2055">
          <cell r="A2055" t="str">
            <v>ST040199</v>
          </cell>
          <cell r="B2055" t="str">
            <v>320469-7</v>
          </cell>
        </row>
        <row r="2056">
          <cell r="A2056" t="str">
            <v>ST040201</v>
          </cell>
          <cell r="B2056" t="str">
            <v>320493-1</v>
          </cell>
        </row>
        <row r="2057">
          <cell r="A2057">
            <v>112582</v>
          </cell>
          <cell r="B2057" t="str">
            <v>3167320-2</v>
          </cell>
        </row>
        <row r="2058">
          <cell r="A2058">
            <v>107578</v>
          </cell>
          <cell r="B2058" t="str">
            <v>320501-12</v>
          </cell>
        </row>
        <row r="2059">
          <cell r="A2059" t="str">
            <v>ST040204</v>
          </cell>
          <cell r="B2059" t="str">
            <v>320501-13</v>
          </cell>
        </row>
        <row r="2060">
          <cell r="A2060" t="str">
            <v>ST040205</v>
          </cell>
          <cell r="B2060" t="str">
            <v>320503-12</v>
          </cell>
        </row>
        <row r="2061">
          <cell r="A2061">
            <v>112581</v>
          </cell>
          <cell r="B2061" t="str">
            <v>3091638-910</v>
          </cell>
        </row>
        <row r="2062">
          <cell r="A2062" t="str">
            <v>ST040207</v>
          </cell>
          <cell r="B2062" t="str">
            <v>320545-33</v>
          </cell>
        </row>
        <row r="2063">
          <cell r="A2063">
            <v>112579</v>
          </cell>
          <cell r="B2063" t="str">
            <v>3060364-2</v>
          </cell>
        </row>
        <row r="2064">
          <cell r="A2064">
            <v>112585</v>
          </cell>
          <cell r="B2064" t="str">
            <v>366719-2</v>
          </cell>
        </row>
        <row r="2065">
          <cell r="A2065">
            <v>107579</v>
          </cell>
          <cell r="B2065" t="str">
            <v>320565-8</v>
          </cell>
        </row>
        <row r="2066">
          <cell r="A2066" t="str">
            <v>ST040211</v>
          </cell>
          <cell r="B2066" t="str">
            <v>320572-2</v>
          </cell>
        </row>
        <row r="2067">
          <cell r="A2067" t="str">
            <v>ST040213</v>
          </cell>
          <cell r="B2067" t="str">
            <v>320774-1</v>
          </cell>
        </row>
        <row r="2068">
          <cell r="A2068">
            <v>112584</v>
          </cell>
          <cell r="B2068" t="str">
            <v>365496-2</v>
          </cell>
        </row>
        <row r="2069">
          <cell r="A2069">
            <v>110903</v>
          </cell>
          <cell r="B2069" t="str">
            <v>320243-7</v>
          </cell>
        </row>
        <row r="2070">
          <cell r="A2070">
            <v>110912</v>
          </cell>
          <cell r="B2070" t="str">
            <v>320586-3</v>
          </cell>
        </row>
        <row r="2071">
          <cell r="A2071" t="str">
            <v>ST040217</v>
          </cell>
          <cell r="B2071" t="str">
            <v>320800-3</v>
          </cell>
        </row>
        <row r="2072">
          <cell r="A2072">
            <v>107580</v>
          </cell>
          <cell r="B2072" t="str">
            <v>320800-4</v>
          </cell>
        </row>
        <row r="2073">
          <cell r="A2073">
            <v>110920</v>
          </cell>
          <cell r="B2073" t="str">
            <v>63002096-1</v>
          </cell>
        </row>
        <row r="2074">
          <cell r="A2074">
            <v>112578</v>
          </cell>
          <cell r="B2074" t="str">
            <v>2300391-4</v>
          </cell>
        </row>
        <row r="2075">
          <cell r="A2075">
            <v>107581</v>
          </cell>
          <cell r="B2075" t="str">
            <v>320872-1</v>
          </cell>
        </row>
        <row r="2076">
          <cell r="A2076">
            <v>112565</v>
          </cell>
          <cell r="B2076" t="str">
            <v>3181821-1</v>
          </cell>
        </row>
        <row r="2077">
          <cell r="A2077">
            <v>112597</v>
          </cell>
          <cell r="B2077" t="str">
            <v>6310039C</v>
          </cell>
        </row>
        <row r="2078">
          <cell r="A2078">
            <v>107582</v>
          </cell>
          <cell r="B2078" t="str">
            <v>399571-10</v>
          </cell>
        </row>
        <row r="2079">
          <cell r="A2079">
            <v>107583</v>
          </cell>
          <cell r="B2079" t="str">
            <v>399571-13</v>
          </cell>
        </row>
        <row r="2080">
          <cell r="A2080">
            <v>107584</v>
          </cell>
          <cell r="B2080" t="str">
            <v>399571-14</v>
          </cell>
        </row>
        <row r="2081">
          <cell r="A2081">
            <v>107585</v>
          </cell>
          <cell r="B2081" t="str">
            <v>399571-8</v>
          </cell>
        </row>
        <row r="2082">
          <cell r="A2082">
            <v>107586</v>
          </cell>
          <cell r="B2082" t="str">
            <v>399571-9</v>
          </cell>
        </row>
        <row r="2083">
          <cell r="A2083">
            <v>107587</v>
          </cell>
          <cell r="B2083" t="str">
            <v>63000933-1</v>
          </cell>
        </row>
        <row r="2084">
          <cell r="A2084">
            <v>107588</v>
          </cell>
          <cell r="B2084" t="str">
            <v>63005740-1</v>
          </cell>
        </row>
        <row r="2085">
          <cell r="A2085" t="str">
            <v>ST035881</v>
          </cell>
          <cell r="B2085" t="str">
            <v>223-7196-8002</v>
          </cell>
        </row>
        <row r="2086">
          <cell r="A2086" t="str">
            <v>ST035902</v>
          </cell>
          <cell r="B2086" t="str">
            <v>4054348-13</v>
          </cell>
        </row>
        <row r="2087">
          <cell r="A2087" t="str">
            <v>ST035916</v>
          </cell>
          <cell r="B2087" t="str">
            <v>53500348-1</v>
          </cell>
        </row>
        <row r="2088">
          <cell r="A2088" t="str">
            <v>ST035905</v>
          </cell>
          <cell r="B2088" t="str">
            <v>4054349-13</v>
          </cell>
        </row>
        <row r="2089">
          <cell r="A2089" t="str">
            <v>ST035904</v>
          </cell>
          <cell r="B2089" t="str">
            <v>4054349-12</v>
          </cell>
        </row>
        <row r="2090">
          <cell r="A2090" t="str">
            <v>ST035907</v>
          </cell>
          <cell r="B2090" t="str">
            <v>4054349-9</v>
          </cell>
        </row>
        <row r="2091">
          <cell r="A2091" t="str">
            <v>ST035918</v>
          </cell>
          <cell r="B2091" t="str">
            <v>7021250-1</v>
          </cell>
        </row>
        <row r="2092">
          <cell r="A2092" t="str">
            <v>ST035917</v>
          </cell>
          <cell r="B2092" t="str">
            <v>7019507-1</v>
          </cell>
        </row>
        <row r="2093">
          <cell r="A2093" t="str">
            <v>ST035919</v>
          </cell>
          <cell r="B2093" t="str">
            <v>7021250-2</v>
          </cell>
        </row>
        <row r="2094">
          <cell r="A2094">
            <v>107589</v>
          </cell>
          <cell r="B2094">
            <v>1009324</v>
          </cell>
        </row>
        <row r="2095">
          <cell r="A2095" t="str">
            <v>ST040724</v>
          </cell>
          <cell r="B2095" t="str">
            <v>2011612-1</v>
          </cell>
        </row>
        <row r="2096">
          <cell r="A2096" t="str">
            <v>ST040725</v>
          </cell>
          <cell r="B2096" t="str">
            <v>2011612-2</v>
          </cell>
        </row>
        <row r="2097">
          <cell r="A2097">
            <v>107590</v>
          </cell>
          <cell r="B2097" t="str">
            <v>26684-17</v>
          </cell>
        </row>
        <row r="2098">
          <cell r="A2098">
            <v>107591</v>
          </cell>
          <cell r="B2098" t="str">
            <v>2708368-2</v>
          </cell>
        </row>
        <row r="2099">
          <cell r="A2099">
            <v>107592</v>
          </cell>
          <cell r="B2099" t="str">
            <v>2708609-1</v>
          </cell>
        </row>
        <row r="2100">
          <cell r="A2100" t="str">
            <v>ST040749</v>
          </cell>
          <cell r="B2100" t="str">
            <v>2710451-19</v>
          </cell>
        </row>
        <row r="2101">
          <cell r="A2101">
            <v>107593</v>
          </cell>
          <cell r="B2101" t="str">
            <v>2710451-2</v>
          </cell>
        </row>
        <row r="2102">
          <cell r="A2102" t="str">
            <v>ST040751</v>
          </cell>
          <cell r="B2102" t="str">
            <v>2710764-19</v>
          </cell>
        </row>
        <row r="2103">
          <cell r="A2103" t="str">
            <v>ST040752</v>
          </cell>
          <cell r="B2103" t="str">
            <v>2711754-1</v>
          </cell>
        </row>
        <row r="2104">
          <cell r="A2104">
            <v>107594</v>
          </cell>
          <cell r="B2104" t="str">
            <v>2711813-1</v>
          </cell>
        </row>
        <row r="2105">
          <cell r="A2105">
            <v>107595</v>
          </cell>
          <cell r="B2105" t="str">
            <v>4025892</v>
          </cell>
        </row>
        <row r="2106">
          <cell r="A2106" t="str">
            <v>ST040803</v>
          </cell>
          <cell r="B2106" t="str">
            <v>4091624-1003</v>
          </cell>
        </row>
        <row r="2107">
          <cell r="A2107" t="str">
            <v>ST040804</v>
          </cell>
          <cell r="B2107" t="str">
            <v>4091626-1004</v>
          </cell>
        </row>
        <row r="2108">
          <cell r="A2108">
            <v>107596</v>
          </cell>
          <cell r="B2108" t="str">
            <v>4222127-1001</v>
          </cell>
        </row>
        <row r="2109">
          <cell r="A2109" t="str">
            <v>ST040807</v>
          </cell>
          <cell r="B2109" t="str">
            <v>515959-5</v>
          </cell>
        </row>
        <row r="2110">
          <cell r="A2110" t="str">
            <v>ST040808</v>
          </cell>
          <cell r="B2110" t="str">
            <v>515959-8</v>
          </cell>
        </row>
        <row r="2111">
          <cell r="A2111">
            <v>107597</v>
          </cell>
          <cell r="B2111" t="str">
            <v>545473-1</v>
          </cell>
        </row>
        <row r="2112">
          <cell r="A2112">
            <v>107598</v>
          </cell>
          <cell r="B2112" t="str">
            <v>65059503-1</v>
          </cell>
        </row>
        <row r="2113">
          <cell r="A2113">
            <v>107599</v>
          </cell>
          <cell r="B2113" t="str">
            <v>65059503-2</v>
          </cell>
        </row>
        <row r="2114">
          <cell r="A2114">
            <v>107600</v>
          </cell>
          <cell r="B2114" t="str">
            <v>67621113-2</v>
          </cell>
        </row>
        <row r="2115">
          <cell r="A2115">
            <v>107601</v>
          </cell>
          <cell r="B2115" t="str">
            <v>67621269-1</v>
          </cell>
        </row>
        <row r="2116">
          <cell r="A2116">
            <v>107602</v>
          </cell>
          <cell r="B2116">
            <v>8001659</v>
          </cell>
        </row>
        <row r="2117">
          <cell r="A2117">
            <v>107603</v>
          </cell>
          <cell r="B2117" t="str">
            <v>804206-1</v>
          </cell>
        </row>
        <row r="2118">
          <cell r="A2118">
            <v>107604</v>
          </cell>
          <cell r="B2118" t="str">
            <v>805524-1</v>
          </cell>
        </row>
        <row r="2119">
          <cell r="A2119">
            <v>107605</v>
          </cell>
          <cell r="B2119" t="str">
            <v>805526-1</v>
          </cell>
        </row>
        <row r="2120">
          <cell r="A2120">
            <v>107606</v>
          </cell>
          <cell r="B2120" t="str">
            <v>805528-1</v>
          </cell>
        </row>
        <row r="2121">
          <cell r="A2121">
            <v>107607</v>
          </cell>
          <cell r="B2121" t="str">
            <v>805726-2</v>
          </cell>
        </row>
        <row r="2122">
          <cell r="A2122">
            <v>107608</v>
          </cell>
          <cell r="B2122" t="str">
            <v>8513068-922</v>
          </cell>
        </row>
        <row r="2123">
          <cell r="A2123">
            <v>107609</v>
          </cell>
          <cell r="B2123" t="str">
            <v>8513068-922</v>
          </cell>
        </row>
        <row r="2124">
          <cell r="A2124">
            <v>107610</v>
          </cell>
          <cell r="B2124" t="str">
            <v>8513068-922</v>
          </cell>
        </row>
        <row r="2125">
          <cell r="A2125">
            <v>107611</v>
          </cell>
          <cell r="B2125" t="str">
            <v>8513068-922</v>
          </cell>
        </row>
        <row r="2126">
          <cell r="A2126">
            <v>107612</v>
          </cell>
          <cell r="B2126" t="str">
            <v>8513068-922</v>
          </cell>
        </row>
        <row r="2127">
          <cell r="A2127">
            <v>107613</v>
          </cell>
          <cell r="B2127" t="str">
            <v>8519870-1</v>
          </cell>
        </row>
        <row r="2128">
          <cell r="A2128">
            <v>107614</v>
          </cell>
          <cell r="B2128" t="str">
            <v>8520608-1</v>
          </cell>
        </row>
        <row r="2129">
          <cell r="A2129">
            <v>107615</v>
          </cell>
          <cell r="B2129" t="str">
            <v>8521579-1</v>
          </cell>
        </row>
        <row r="2130">
          <cell r="A2130">
            <v>107616</v>
          </cell>
          <cell r="B2130" t="str">
            <v>8523386-1</v>
          </cell>
        </row>
        <row r="2131">
          <cell r="A2131">
            <v>107617</v>
          </cell>
          <cell r="B2131" t="str">
            <v>8523386-2</v>
          </cell>
        </row>
        <row r="2132">
          <cell r="A2132">
            <v>107618</v>
          </cell>
          <cell r="B2132" t="str">
            <v>8523386-4</v>
          </cell>
        </row>
        <row r="2133">
          <cell r="A2133">
            <v>107619</v>
          </cell>
          <cell r="B2133" t="str">
            <v>8523387-2</v>
          </cell>
        </row>
        <row r="2134">
          <cell r="A2134">
            <v>107620</v>
          </cell>
          <cell r="B2134" t="str">
            <v>8525312-1</v>
          </cell>
        </row>
        <row r="2135">
          <cell r="A2135">
            <v>107621</v>
          </cell>
          <cell r="B2135" t="str">
            <v>8525313-1</v>
          </cell>
        </row>
        <row r="2136">
          <cell r="A2136">
            <v>107622</v>
          </cell>
          <cell r="B2136" t="str">
            <v>8526086-901</v>
          </cell>
        </row>
        <row r="2137">
          <cell r="A2137">
            <v>107623</v>
          </cell>
          <cell r="B2137" t="str">
            <v>8526086-901</v>
          </cell>
        </row>
        <row r="2138">
          <cell r="A2138">
            <v>107624</v>
          </cell>
          <cell r="B2138" t="str">
            <v>8526086-901</v>
          </cell>
        </row>
        <row r="2139">
          <cell r="A2139">
            <v>107625</v>
          </cell>
          <cell r="B2139" t="str">
            <v>8526580-921</v>
          </cell>
        </row>
        <row r="2140">
          <cell r="A2140">
            <v>107626</v>
          </cell>
          <cell r="B2140" t="str">
            <v>8527442-1</v>
          </cell>
        </row>
        <row r="2141">
          <cell r="A2141">
            <v>107627</v>
          </cell>
          <cell r="B2141" t="str">
            <v>8527442-2</v>
          </cell>
        </row>
        <row r="2142">
          <cell r="A2142">
            <v>107628</v>
          </cell>
          <cell r="B2142" t="str">
            <v>8528548-1</v>
          </cell>
        </row>
        <row r="2143">
          <cell r="A2143">
            <v>107629</v>
          </cell>
          <cell r="B2143" t="str">
            <v>8533384-1</v>
          </cell>
        </row>
        <row r="2144">
          <cell r="A2144" t="str">
            <v>ST028509</v>
          </cell>
          <cell r="B2144" t="str">
            <v>1549864-1</v>
          </cell>
        </row>
        <row r="2145">
          <cell r="A2145" t="str">
            <v>ST028594</v>
          </cell>
          <cell r="B2145" t="str">
            <v>2302552-2</v>
          </cell>
        </row>
        <row r="2146">
          <cell r="A2146" t="str">
            <v>ST028595</v>
          </cell>
          <cell r="B2146" t="str">
            <v>2302553-2</v>
          </cell>
        </row>
        <row r="2147">
          <cell r="A2147" t="str">
            <v>ST028625</v>
          </cell>
          <cell r="B2147" t="str">
            <v>234-529-9150</v>
          </cell>
        </row>
        <row r="2148">
          <cell r="A2148" t="str">
            <v>ST028666</v>
          </cell>
          <cell r="B2148" t="str">
            <v>26016229-101CK</v>
          </cell>
        </row>
        <row r="2149">
          <cell r="A2149" t="str">
            <v>ST028667</v>
          </cell>
          <cell r="B2149" t="str">
            <v>26017368-105CK</v>
          </cell>
        </row>
        <row r="2150">
          <cell r="A2150" t="str">
            <v>ST028675</v>
          </cell>
          <cell r="B2150" t="str">
            <v>26020754-102CK</v>
          </cell>
        </row>
        <row r="2151">
          <cell r="A2151" t="str">
            <v>ST028821</v>
          </cell>
          <cell r="B2151" t="str">
            <v>2709642-5</v>
          </cell>
        </row>
        <row r="2152">
          <cell r="A2152" t="str">
            <v>ST028990</v>
          </cell>
          <cell r="B2152" t="str">
            <v>3617719-2</v>
          </cell>
        </row>
        <row r="2153">
          <cell r="A2153" t="str">
            <v>ST028991</v>
          </cell>
          <cell r="B2153" t="str">
            <v>3617719-3</v>
          </cell>
        </row>
        <row r="2154">
          <cell r="A2154" t="str">
            <v>ST029017</v>
          </cell>
          <cell r="B2154" t="str">
            <v>4091881-901</v>
          </cell>
        </row>
        <row r="2155">
          <cell r="A2155" t="str">
            <v>ST029056</v>
          </cell>
          <cell r="B2155" t="str">
            <v>60003088-901</v>
          </cell>
        </row>
        <row r="2156">
          <cell r="A2156" t="str">
            <v>ST029057</v>
          </cell>
          <cell r="B2156" t="str">
            <v>60004111-1001</v>
          </cell>
        </row>
        <row r="2157">
          <cell r="A2157" t="str">
            <v>ST029131</v>
          </cell>
          <cell r="B2157" t="str">
            <v>7026767-1910</v>
          </cell>
        </row>
        <row r="2158">
          <cell r="A2158" t="str">
            <v>ST029135</v>
          </cell>
          <cell r="B2158" t="str">
            <v>7034775-901</v>
          </cell>
        </row>
        <row r="2159">
          <cell r="A2159" t="str">
            <v>ST029142</v>
          </cell>
          <cell r="B2159" t="str">
            <v>72325268-11</v>
          </cell>
        </row>
        <row r="2160">
          <cell r="A2160" t="str">
            <v>ST029143</v>
          </cell>
          <cell r="B2160" t="str">
            <v>72325268-7</v>
          </cell>
        </row>
        <row r="2161">
          <cell r="A2161" t="str">
            <v>ST029144</v>
          </cell>
          <cell r="B2161" t="str">
            <v>72325268-9</v>
          </cell>
        </row>
        <row r="2162">
          <cell r="A2162" t="str">
            <v>ST029145</v>
          </cell>
          <cell r="B2162" t="str">
            <v>72325392-1</v>
          </cell>
        </row>
        <row r="2163">
          <cell r="A2163" t="str">
            <v>ST029147</v>
          </cell>
          <cell r="B2163" t="str">
            <v>72325766-3</v>
          </cell>
        </row>
        <row r="2164">
          <cell r="A2164" t="str">
            <v>ST029148</v>
          </cell>
          <cell r="B2164" t="str">
            <v>72326302-2</v>
          </cell>
        </row>
        <row r="2165">
          <cell r="A2165" t="str">
            <v>ST029151</v>
          </cell>
          <cell r="B2165" t="str">
            <v>7510190-903-CM</v>
          </cell>
        </row>
        <row r="2166">
          <cell r="A2166" t="str">
            <v>ST029152</v>
          </cell>
          <cell r="B2166" t="str">
            <v>7510164-9821</v>
          </cell>
        </row>
        <row r="2167">
          <cell r="A2167" t="str">
            <v>ST032583</v>
          </cell>
          <cell r="B2167" t="str">
            <v>16-2449-3</v>
          </cell>
        </row>
        <row r="2168">
          <cell r="A2168" t="str">
            <v>ST032629</v>
          </cell>
          <cell r="B2168" t="str">
            <v>60001168-2</v>
          </cell>
        </row>
        <row r="2169">
          <cell r="A2169" t="str">
            <v>ST033101</v>
          </cell>
          <cell r="B2169" t="str">
            <v>4091425-1003</v>
          </cell>
        </row>
        <row r="2170">
          <cell r="A2170" t="str">
            <v>ST033342</v>
          </cell>
          <cell r="B2170" t="str">
            <v>26018616-104CK</v>
          </cell>
        </row>
        <row r="2171">
          <cell r="A2171" t="str">
            <v>ST033367</v>
          </cell>
          <cell r="B2171" t="str">
            <v>4083899-901//CM</v>
          </cell>
        </row>
        <row r="2172">
          <cell r="A2172">
            <v>107631</v>
          </cell>
          <cell r="B2172">
            <v>184914</v>
          </cell>
        </row>
        <row r="2173">
          <cell r="A2173" t="str">
            <v>ST041139</v>
          </cell>
          <cell r="B2173" t="str">
            <v>63001641-2</v>
          </cell>
        </row>
        <row r="2174">
          <cell r="A2174">
            <v>107632</v>
          </cell>
          <cell r="B2174" t="str">
            <v>3177070-1</v>
          </cell>
        </row>
        <row r="2175">
          <cell r="A2175">
            <v>107633</v>
          </cell>
          <cell r="B2175" t="str">
            <v>3184475-5</v>
          </cell>
        </row>
        <row r="2176">
          <cell r="A2176">
            <v>107634</v>
          </cell>
          <cell r="B2176" t="str">
            <v>3184825-1</v>
          </cell>
        </row>
        <row r="2177">
          <cell r="A2177">
            <v>107635</v>
          </cell>
          <cell r="B2177" t="str">
            <v>319405-16</v>
          </cell>
        </row>
        <row r="2178">
          <cell r="A2178" t="str">
            <v>ST041161</v>
          </cell>
          <cell r="B2178" t="str">
            <v>319525-11</v>
          </cell>
        </row>
        <row r="2179">
          <cell r="A2179">
            <v>112598</v>
          </cell>
          <cell r="B2179" t="str">
            <v>6310042C</v>
          </cell>
        </row>
        <row r="2180">
          <cell r="A2180" t="str">
            <v>ST041163</v>
          </cell>
          <cell r="B2180" t="str">
            <v>319545-51</v>
          </cell>
        </row>
        <row r="2181">
          <cell r="A2181" t="str">
            <v>ST041164</v>
          </cell>
          <cell r="B2181" t="str">
            <v>319625-1</v>
          </cell>
        </row>
        <row r="2182">
          <cell r="A2182">
            <v>112562</v>
          </cell>
          <cell r="B2182" t="str">
            <v>2782975-2</v>
          </cell>
        </row>
        <row r="2183">
          <cell r="A2183">
            <v>112596</v>
          </cell>
          <cell r="B2183" t="str">
            <v>6310037C</v>
          </cell>
        </row>
        <row r="2184">
          <cell r="A2184" t="str">
            <v>ST041172</v>
          </cell>
          <cell r="B2184" t="str">
            <v>320469-1</v>
          </cell>
        </row>
        <row r="2185">
          <cell r="A2185">
            <v>112600</v>
          </cell>
          <cell r="B2185" t="str">
            <v>6310133-002C</v>
          </cell>
        </row>
        <row r="2186">
          <cell r="A2186">
            <v>112583</v>
          </cell>
          <cell r="B2186" t="str">
            <v>3180119-3</v>
          </cell>
        </row>
        <row r="2187">
          <cell r="A2187">
            <v>112564</v>
          </cell>
          <cell r="B2187" t="str">
            <v>2784545-1</v>
          </cell>
        </row>
        <row r="2188">
          <cell r="A2188" t="str">
            <v>ST041176</v>
          </cell>
          <cell r="B2188" t="str">
            <v>320501-2</v>
          </cell>
        </row>
        <row r="2189">
          <cell r="A2189">
            <v>112561</v>
          </cell>
          <cell r="B2189" t="str">
            <v>2780522-1</v>
          </cell>
        </row>
        <row r="2190">
          <cell r="A2190">
            <v>112566</v>
          </cell>
          <cell r="B2190" t="str">
            <v>3182011-1</v>
          </cell>
        </row>
        <row r="2191">
          <cell r="A2191">
            <v>107636</v>
          </cell>
          <cell r="B2191" t="str">
            <v>320788-2</v>
          </cell>
        </row>
        <row r="2192">
          <cell r="A2192">
            <v>107637</v>
          </cell>
          <cell r="B2192" t="str">
            <v>320800-1</v>
          </cell>
        </row>
        <row r="2193">
          <cell r="A2193">
            <v>112570</v>
          </cell>
          <cell r="B2193" t="str">
            <v>84C66</v>
          </cell>
        </row>
        <row r="2194">
          <cell r="A2194">
            <v>112568</v>
          </cell>
          <cell r="B2194" t="str">
            <v>63004397-1</v>
          </cell>
        </row>
        <row r="2195">
          <cell r="A2195">
            <v>107638</v>
          </cell>
          <cell r="B2195" t="str">
            <v>3238700-3</v>
          </cell>
        </row>
        <row r="2196">
          <cell r="A2196">
            <v>107639</v>
          </cell>
          <cell r="B2196" t="str">
            <v>540-1839-1</v>
          </cell>
        </row>
        <row r="2197">
          <cell r="A2197">
            <v>107640</v>
          </cell>
          <cell r="B2197" t="str">
            <v>63005740-1</v>
          </cell>
        </row>
        <row r="2198">
          <cell r="A2198">
            <v>107641</v>
          </cell>
          <cell r="B2198" t="str">
            <v>82010254-001</v>
          </cell>
        </row>
        <row r="2199">
          <cell r="A2199">
            <v>109252</v>
          </cell>
          <cell r="B2199">
            <v>682419</v>
          </cell>
        </row>
        <row r="2200">
          <cell r="A2200" t="str">
            <v>ST029614</v>
          </cell>
          <cell r="B2200" t="str">
            <v>695322-1</v>
          </cell>
        </row>
        <row r="2201">
          <cell r="A2201">
            <v>110853</v>
          </cell>
          <cell r="B2201" t="str">
            <v>3810224-111</v>
          </cell>
        </row>
        <row r="2202">
          <cell r="A2202">
            <v>109756</v>
          </cell>
          <cell r="B2202" t="str">
            <v>155-02778-0004</v>
          </cell>
        </row>
        <row r="2203">
          <cell r="A2203">
            <v>109757</v>
          </cell>
          <cell r="B2203" t="str">
            <v>155-02803-0009</v>
          </cell>
        </row>
        <row r="2204">
          <cell r="A2204">
            <v>109758</v>
          </cell>
          <cell r="B2204" t="str">
            <v>2088286-0160</v>
          </cell>
        </row>
        <row r="2205">
          <cell r="A2205">
            <v>109759</v>
          </cell>
          <cell r="B2205" t="str">
            <v>2088286-0220</v>
          </cell>
        </row>
        <row r="2206">
          <cell r="A2206">
            <v>109760</v>
          </cell>
          <cell r="B2206" t="str">
            <v>2088286-0240</v>
          </cell>
        </row>
        <row r="2207">
          <cell r="A2207">
            <v>109761</v>
          </cell>
          <cell r="B2207" t="str">
            <v>2088286-0270</v>
          </cell>
        </row>
        <row r="2208">
          <cell r="A2208">
            <v>109762</v>
          </cell>
          <cell r="B2208" t="str">
            <v>2088286-0350</v>
          </cell>
        </row>
        <row r="2209">
          <cell r="A2209">
            <v>109763</v>
          </cell>
          <cell r="B2209" t="str">
            <v>2088286-0390</v>
          </cell>
        </row>
        <row r="2210">
          <cell r="A2210">
            <v>109764</v>
          </cell>
          <cell r="B2210" t="str">
            <v>24351-0011</v>
          </cell>
        </row>
        <row r="2211">
          <cell r="A2211">
            <v>109765</v>
          </cell>
          <cell r="B2211" t="str">
            <v>25041-0001</v>
          </cell>
        </row>
        <row r="2212">
          <cell r="A2212">
            <v>109766</v>
          </cell>
          <cell r="B2212" t="str">
            <v>300-80189-0505</v>
          </cell>
        </row>
        <row r="2213">
          <cell r="A2213">
            <v>109767</v>
          </cell>
          <cell r="B2213" t="str">
            <v>315-5181-001</v>
          </cell>
        </row>
        <row r="2214">
          <cell r="A2214">
            <v>109768</v>
          </cell>
          <cell r="B2214" t="str">
            <v>315-5181-009</v>
          </cell>
        </row>
        <row r="2215">
          <cell r="A2215">
            <v>109769</v>
          </cell>
          <cell r="B2215" t="str">
            <v>315-5181-010</v>
          </cell>
        </row>
        <row r="2216">
          <cell r="A2216">
            <v>109770</v>
          </cell>
          <cell r="B2216" t="str">
            <v>315-5181-015</v>
          </cell>
        </row>
        <row r="2217">
          <cell r="A2217">
            <v>109771</v>
          </cell>
          <cell r="B2217" t="str">
            <v>3611361-0001</v>
          </cell>
        </row>
        <row r="2218">
          <cell r="A2218">
            <v>109772</v>
          </cell>
          <cell r="B2218" t="str">
            <v>3611361-0002</v>
          </cell>
        </row>
        <row r="2219">
          <cell r="A2219">
            <v>109773</v>
          </cell>
          <cell r="B2219" t="str">
            <v>405-0476-001</v>
          </cell>
        </row>
        <row r="2220">
          <cell r="A2220">
            <v>109774</v>
          </cell>
          <cell r="B2220" t="str">
            <v>44086-2299</v>
          </cell>
        </row>
        <row r="2221">
          <cell r="A2221">
            <v>109775</v>
          </cell>
          <cell r="B2221" t="str">
            <v>520-1159-001</v>
          </cell>
        </row>
        <row r="2222">
          <cell r="A2222">
            <v>109777</v>
          </cell>
          <cell r="B2222" t="str">
            <v>57000525-001</v>
          </cell>
        </row>
        <row r="2223">
          <cell r="A2223">
            <v>109778</v>
          </cell>
          <cell r="B2223">
            <v>7003953</v>
          </cell>
        </row>
        <row r="2224">
          <cell r="A2224">
            <v>109779</v>
          </cell>
          <cell r="B2224" t="str">
            <v>704-2617-001</v>
          </cell>
        </row>
        <row r="2225">
          <cell r="A2225">
            <v>109780</v>
          </cell>
          <cell r="B2225" t="str">
            <v>704-2703-001</v>
          </cell>
        </row>
        <row r="2226">
          <cell r="A2226">
            <v>109781</v>
          </cell>
          <cell r="B2226" t="str">
            <v>704-2703-005</v>
          </cell>
        </row>
        <row r="2227">
          <cell r="A2227">
            <v>109782</v>
          </cell>
          <cell r="B2227" t="str">
            <v>704-3225-001</v>
          </cell>
        </row>
        <row r="2228">
          <cell r="A2228">
            <v>109783</v>
          </cell>
          <cell r="B2228" t="str">
            <v>704-3226-001</v>
          </cell>
        </row>
        <row r="2229">
          <cell r="A2229">
            <v>109784</v>
          </cell>
          <cell r="B2229" t="str">
            <v>704-3227-001</v>
          </cell>
        </row>
        <row r="2230">
          <cell r="A2230">
            <v>109785</v>
          </cell>
          <cell r="B2230" t="str">
            <v>704-3228-001</v>
          </cell>
        </row>
        <row r="2231">
          <cell r="A2231">
            <v>109786</v>
          </cell>
          <cell r="B2231" t="str">
            <v>8056354-0501</v>
          </cell>
        </row>
        <row r="2232">
          <cell r="A2232">
            <v>109787</v>
          </cell>
          <cell r="B2232" t="str">
            <v>8057517-0501</v>
          </cell>
        </row>
        <row r="2233">
          <cell r="A2233">
            <v>109788</v>
          </cell>
          <cell r="B2233" t="str">
            <v>70041061-1</v>
          </cell>
        </row>
        <row r="2234">
          <cell r="A2234">
            <v>109789</v>
          </cell>
          <cell r="B2234" t="str">
            <v>82010664-001</v>
          </cell>
        </row>
        <row r="2235">
          <cell r="A2235">
            <v>109790</v>
          </cell>
          <cell r="B2235" t="str">
            <v>3051104-1</v>
          </cell>
        </row>
        <row r="2236">
          <cell r="A2236">
            <v>109791</v>
          </cell>
          <cell r="B2236" t="str">
            <v>3169626-1</v>
          </cell>
        </row>
        <row r="2237">
          <cell r="A2237">
            <v>109792</v>
          </cell>
          <cell r="B2237" t="str">
            <v>373205-2</v>
          </cell>
        </row>
        <row r="2238">
          <cell r="A2238">
            <v>109793</v>
          </cell>
          <cell r="B2238" t="str">
            <v>3876001-4</v>
          </cell>
        </row>
        <row r="2239">
          <cell r="A2239">
            <v>109794</v>
          </cell>
          <cell r="B2239" t="str">
            <v>3876001-6</v>
          </cell>
        </row>
        <row r="2240">
          <cell r="A2240">
            <v>109795</v>
          </cell>
          <cell r="B2240" t="str">
            <v>3876001-8</v>
          </cell>
        </row>
        <row r="2241">
          <cell r="A2241">
            <v>109796</v>
          </cell>
          <cell r="B2241" t="str">
            <v>641119-6-1</v>
          </cell>
        </row>
        <row r="2242">
          <cell r="A2242">
            <v>109797</v>
          </cell>
          <cell r="B2242" t="str">
            <v>67041445-2</v>
          </cell>
        </row>
        <row r="2243">
          <cell r="A2243">
            <v>109798</v>
          </cell>
          <cell r="B2243" t="str">
            <v>67041445-5</v>
          </cell>
        </row>
        <row r="2244">
          <cell r="A2244">
            <v>109799</v>
          </cell>
          <cell r="B2244" t="str">
            <v>67041996-1</v>
          </cell>
        </row>
        <row r="2245">
          <cell r="A2245">
            <v>109800</v>
          </cell>
          <cell r="B2245">
            <v>692525</v>
          </cell>
        </row>
        <row r="2246">
          <cell r="A2246">
            <v>109801</v>
          </cell>
          <cell r="B2246" t="str">
            <v>698430-2</v>
          </cell>
        </row>
        <row r="2247">
          <cell r="A2247">
            <v>109802</v>
          </cell>
          <cell r="B2247" t="str">
            <v>698430-5</v>
          </cell>
        </row>
        <row r="2248">
          <cell r="A2248">
            <v>109803</v>
          </cell>
          <cell r="B2248" t="str">
            <v>865956-10</v>
          </cell>
        </row>
        <row r="2249">
          <cell r="A2249">
            <v>109804</v>
          </cell>
          <cell r="B2249" t="str">
            <v>865956-5</v>
          </cell>
        </row>
        <row r="2250">
          <cell r="A2250">
            <v>109805</v>
          </cell>
          <cell r="B2250" t="str">
            <v>865956-7</v>
          </cell>
        </row>
        <row r="2251">
          <cell r="A2251">
            <v>109806</v>
          </cell>
          <cell r="B2251" t="str">
            <v>897542-7</v>
          </cell>
        </row>
        <row r="2252">
          <cell r="A2252">
            <v>109807</v>
          </cell>
          <cell r="B2252" t="str">
            <v>897542-8</v>
          </cell>
        </row>
        <row r="2253">
          <cell r="A2253">
            <v>109808</v>
          </cell>
          <cell r="B2253" t="str">
            <v>927112-1-1</v>
          </cell>
        </row>
        <row r="2254">
          <cell r="A2254">
            <v>109809</v>
          </cell>
          <cell r="B2254" t="str">
            <v>927163-1-1</v>
          </cell>
        </row>
        <row r="2255">
          <cell r="A2255">
            <v>109810</v>
          </cell>
          <cell r="B2255" t="str">
            <v>148-00005-0000</v>
          </cell>
        </row>
        <row r="2256">
          <cell r="A2256">
            <v>109811</v>
          </cell>
          <cell r="B2256" t="str">
            <v>148-00023-0001</v>
          </cell>
        </row>
        <row r="2257">
          <cell r="A2257">
            <v>109812</v>
          </cell>
          <cell r="B2257" t="str">
            <v>148-00027-0000</v>
          </cell>
        </row>
        <row r="2258">
          <cell r="A2258">
            <v>109813</v>
          </cell>
          <cell r="B2258" t="str">
            <v>148-00034-0000</v>
          </cell>
        </row>
        <row r="2259">
          <cell r="A2259">
            <v>109814</v>
          </cell>
          <cell r="B2259" t="str">
            <v>148-00035-0000</v>
          </cell>
        </row>
        <row r="2260">
          <cell r="A2260">
            <v>109815</v>
          </cell>
          <cell r="B2260" t="str">
            <v>148-00036-0000</v>
          </cell>
        </row>
        <row r="2261">
          <cell r="A2261">
            <v>109816</v>
          </cell>
          <cell r="B2261" t="str">
            <v>148-00037-0000</v>
          </cell>
        </row>
        <row r="2262">
          <cell r="A2262">
            <v>109817</v>
          </cell>
          <cell r="B2262" t="str">
            <v>148-00038-0000</v>
          </cell>
        </row>
        <row r="2263">
          <cell r="A2263">
            <v>109818</v>
          </cell>
          <cell r="B2263" t="str">
            <v>148-00041-0000</v>
          </cell>
        </row>
        <row r="2264">
          <cell r="A2264">
            <v>109819</v>
          </cell>
          <cell r="B2264" t="str">
            <v>148-05009-0003</v>
          </cell>
        </row>
        <row r="2265">
          <cell r="A2265">
            <v>109820</v>
          </cell>
          <cell r="B2265" t="str">
            <v>1718780-1</v>
          </cell>
        </row>
        <row r="2266">
          <cell r="A2266">
            <v>109821</v>
          </cell>
          <cell r="B2266" t="str">
            <v>18077-0001 REV AP</v>
          </cell>
        </row>
        <row r="2267">
          <cell r="A2267">
            <v>109822</v>
          </cell>
          <cell r="B2267" t="str">
            <v>18077-0002</v>
          </cell>
        </row>
        <row r="2268">
          <cell r="A2268">
            <v>109823</v>
          </cell>
          <cell r="B2268" t="str">
            <v>3718954-1</v>
          </cell>
        </row>
        <row r="2269">
          <cell r="A2269">
            <v>109824</v>
          </cell>
          <cell r="B2269" t="str">
            <v>4008144-2</v>
          </cell>
        </row>
        <row r="2270">
          <cell r="A2270">
            <v>109825</v>
          </cell>
          <cell r="B2270" t="str">
            <v>4039572-4</v>
          </cell>
        </row>
        <row r="2271">
          <cell r="A2271">
            <v>109826</v>
          </cell>
          <cell r="B2271" t="str">
            <v>4041990-1</v>
          </cell>
        </row>
        <row r="2272">
          <cell r="A2272">
            <v>109827</v>
          </cell>
          <cell r="B2272" t="str">
            <v>4065799-1 (REV B)</v>
          </cell>
        </row>
        <row r="2273">
          <cell r="A2273">
            <v>109828</v>
          </cell>
          <cell r="B2273" t="str">
            <v>56003497-701</v>
          </cell>
        </row>
        <row r="2274">
          <cell r="A2274">
            <v>109829</v>
          </cell>
          <cell r="B2274" t="str">
            <v>56006440-001</v>
          </cell>
        </row>
        <row r="2275">
          <cell r="A2275">
            <v>109830</v>
          </cell>
          <cell r="B2275" t="str">
            <v>56008280-001</v>
          </cell>
        </row>
        <row r="2276">
          <cell r="A2276">
            <v>109831</v>
          </cell>
          <cell r="B2276" t="str">
            <v>62174-304</v>
          </cell>
        </row>
        <row r="2277">
          <cell r="A2277">
            <v>109832</v>
          </cell>
          <cell r="B2277" t="str">
            <v>64007279-301</v>
          </cell>
        </row>
        <row r="2278">
          <cell r="A2278">
            <v>109833</v>
          </cell>
          <cell r="B2278" t="str">
            <v>64007279-701</v>
          </cell>
        </row>
        <row r="2279">
          <cell r="A2279">
            <v>109834</v>
          </cell>
          <cell r="B2279" t="str">
            <v>64008554-701</v>
          </cell>
        </row>
        <row r="2280">
          <cell r="A2280">
            <v>109835</v>
          </cell>
          <cell r="B2280" t="str">
            <v>64008692-701</v>
          </cell>
        </row>
        <row r="2281">
          <cell r="A2281">
            <v>109836</v>
          </cell>
          <cell r="B2281" t="str">
            <v>64008692-702</v>
          </cell>
        </row>
        <row r="2282">
          <cell r="A2282">
            <v>109837</v>
          </cell>
          <cell r="B2282" t="str">
            <v>64008692-703</v>
          </cell>
        </row>
        <row r="2283">
          <cell r="A2283">
            <v>109838</v>
          </cell>
          <cell r="B2283" t="str">
            <v>64008692-704</v>
          </cell>
        </row>
        <row r="2284">
          <cell r="A2284">
            <v>109839</v>
          </cell>
          <cell r="B2284" t="str">
            <v>64008694-701</v>
          </cell>
        </row>
        <row r="2285">
          <cell r="A2285">
            <v>109840</v>
          </cell>
          <cell r="B2285" t="str">
            <v>74377370-001</v>
          </cell>
        </row>
        <row r="2286">
          <cell r="A2286">
            <v>109841</v>
          </cell>
          <cell r="B2286" t="str">
            <v>8274063-601</v>
          </cell>
        </row>
        <row r="2287">
          <cell r="A2287">
            <v>109842</v>
          </cell>
          <cell r="B2287" t="str">
            <v>8274562-702</v>
          </cell>
        </row>
        <row r="2288">
          <cell r="A2288">
            <v>109843</v>
          </cell>
          <cell r="B2288" t="str">
            <v>8275875-701</v>
          </cell>
        </row>
        <row r="2289">
          <cell r="A2289">
            <v>109844</v>
          </cell>
          <cell r="B2289" t="str">
            <v>JANS4N49U</v>
          </cell>
        </row>
        <row r="2290">
          <cell r="A2290" t="str">
            <v>ST037256</v>
          </cell>
          <cell r="B2290" t="str">
            <v>155-02568-0001</v>
          </cell>
        </row>
        <row r="2291">
          <cell r="A2291">
            <v>109726</v>
          </cell>
          <cell r="B2291" t="str">
            <v>3183823-6</v>
          </cell>
        </row>
        <row r="2292">
          <cell r="A2292">
            <v>109728</v>
          </cell>
          <cell r="B2292" t="str">
            <v>63002691-2</v>
          </cell>
        </row>
        <row r="2293">
          <cell r="A2293">
            <v>109725</v>
          </cell>
          <cell r="B2293" t="str">
            <v>3103128-111</v>
          </cell>
        </row>
        <row r="2294">
          <cell r="A2294">
            <v>109723</v>
          </cell>
          <cell r="B2294">
            <v>2606249</v>
          </cell>
        </row>
        <row r="2295">
          <cell r="A2295">
            <v>109724</v>
          </cell>
          <cell r="B2295">
            <v>2612097</v>
          </cell>
        </row>
        <row r="2296">
          <cell r="A2296">
            <v>109755</v>
          </cell>
          <cell r="B2296" t="str">
            <v>150-00038-0000</v>
          </cell>
        </row>
        <row r="2297">
          <cell r="A2297">
            <v>109743</v>
          </cell>
          <cell r="B2297" t="str">
            <v>63002563-2</v>
          </cell>
        </row>
        <row r="2298">
          <cell r="A2298">
            <v>109736</v>
          </cell>
          <cell r="B2298" t="str">
            <v>2040081-0501</v>
          </cell>
        </row>
        <row r="2299">
          <cell r="A2299">
            <v>109737</v>
          </cell>
          <cell r="B2299" t="str">
            <v>2040081-0502</v>
          </cell>
        </row>
        <row r="2300">
          <cell r="A2300">
            <v>109738</v>
          </cell>
          <cell r="B2300" t="str">
            <v>607-2884-010</v>
          </cell>
        </row>
        <row r="2301">
          <cell r="A2301">
            <v>109739</v>
          </cell>
          <cell r="B2301" t="str">
            <v>607-2884-019</v>
          </cell>
        </row>
        <row r="2302">
          <cell r="A2302">
            <v>109740</v>
          </cell>
          <cell r="B2302" t="str">
            <v>613-1377-001</v>
          </cell>
        </row>
        <row r="2303">
          <cell r="A2303">
            <v>109741</v>
          </cell>
          <cell r="B2303" t="str">
            <v>613-1378-001</v>
          </cell>
        </row>
        <row r="2304">
          <cell r="A2304">
            <v>109742</v>
          </cell>
          <cell r="B2304" t="str">
            <v>63001582-1</v>
          </cell>
        </row>
        <row r="2305">
          <cell r="A2305">
            <v>109744</v>
          </cell>
          <cell r="B2305" t="str">
            <v>63002981-1</v>
          </cell>
        </row>
        <row r="2306">
          <cell r="A2306">
            <v>109746</v>
          </cell>
          <cell r="B2306" t="str">
            <v>90000412-1</v>
          </cell>
        </row>
        <row r="2307">
          <cell r="A2307">
            <v>109747</v>
          </cell>
          <cell r="B2307" t="str">
            <v>90000421-1</v>
          </cell>
        </row>
        <row r="2308">
          <cell r="A2308">
            <v>109748</v>
          </cell>
          <cell r="B2308" t="str">
            <v>90000447-1</v>
          </cell>
        </row>
        <row r="2309">
          <cell r="A2309">
            <v>109749</v>
          </cell>
          <cell r="B2309" t="str">
            <v>90000448-1</v>
          </cell>
        </row>
        <row r="2310">
          <cell r="A2310">
            <v>109750</v>
          </cell>
          <cell r="B2310" t="str">
            <v>90000794-001</v>
          </cell>
        </row>
        <row r="2311">
          <cell r="A2311">
            <v>109751</v>
          </cell>
          <cell r="B2311" t="str">
            <v>90000847-001</v>
          </cell>
        </row>
        <row r="2312">
          <cell r="A2312" t="str">
            <v>ST032456</v>
          </cell>
          <cell r="B2312">
            <v>1034011</v>
          </cell>
        </row>
        <row r="2313">
          <cell r="A2313">
            <v>109752</v>
          </cell>
          <cell r="B2313" t="str">
            <v>3070204-3</v>
          </cell>
        </row>
        <row r="2314">
          <cell r="A2314">
            <v>109753</v>
          </cell>
          <cell r="B2314" t="str">
            <v>3070204-4</v>
          </cell>
        </row>
        <row r="2315">
          <cell r="A2315">
            <v>109754</v>
          </cell>
          <cell r="B2315" t="str">
            <v>3070148-20</v>
          </cell>
        </row>
        <row r="2316">
          <cell r="A2316">
            <v>109730</v>
          </cell>
          <cell r="B2316" t="str">
            <v>2-121-500-12</v>
          </cell>
        </row>
        <row r="2317">
          <cell r="A2317">
            <v>109731</v>
          </cell>
          <cell r="B2317" t="str">
            <v>2-141-338-06</v>
          </cell>
        </row>
        <row r="2318">
          <cell r="A2318">
            <v>109732</v>
          </cell>
          <cell r="B2318" t="str">
            <v>3-140-358-03</v>
          </cell>
        </row>
        <row r="2319">
          <cell r="A2319">
            <v>109733</v>
          </cell>
          <cell r="B2319" t="str">
            <v>LH50681-06</v>
          </cell>
        </row>
        <row r="2320">
          <cell r="A2320">
            <v>109734</v>
          </cell>
          <cell r="B2320" t="str">
            <v>LH50682-05</v>
          </cell>
        </row>
        <row r="2321">
          <cell r="A2321">
            <v>109735</v>
          </cell>
          <cell r="B2321" t="str">
            <v>LH50683-03</v>
          </cell>
        </row>
        <row r="2322">
          <cell r="A2322" t="str">
            <v>ST029200</v>
          </cell>
          <cell r="B2322" t="str">
            <v>95834-3</v>
          </cell>
        </row>
        <row r="2323">
          <cell r="A2323">
            <v>109722</v>
          </cell>
          <cell r="B2323" t="str">
            <v>1-100-078-13</v>
          </cell>
        </row>
        <row r="2324">
          <cell r="A2324" t="str">
            <v>ST029010</v>
          </cell>
          <cell r="B2324" t="str">
            <v>4-101-006-39</v>
          </cell>
        </row>
        <row r="2325">
          <cell r="A2325">
            <v>109727</v>
          </cell>
          <cell r="B2325" t="str">
            <v>4-101-052-64</v>
          </cell>
        </row>
        <row r="2326">
          <cell r="A2326">
            <v>109729</v>
          </cell>
          <cell r="B2326" t="str">
            <v>698245-2</v>
          </cell>
        </row>
        <row r="2327">
          <cell r="A2327" t="str">
            <v>ST037257</v>
          </cell>
          <cell r="B2327" t="str">
            <v>155-02600-0000</v>
          </cell>
        </row>
        <row r="2328">
          <cell r="A2328">
            <v>109776</v>
          </cell>
          <cell r="B2328" t="str">
            <v>54025-36030</v>
          </cell>
        </row>
        <row r="2329">
          <cell r="A2329">
            <v>109745</v>
          </cell>
          <cell r="B2329" t="str">
            <v>69000001-001</v>
          </cell>
        </row>
        <row r="2330">
          <cell r="A2330" t="str">
            <v>ST032474</v>
          </cell>
          <cell r="B2330" t="str">
            <v>2805229-1</v>
          </cell>
        </row>
        <row r="2331">
          <cell r="A2331" t="str">
            <v>ST031037</v>
          </cell>
          <cell r="B2331" t="str">
            <v>72325541-2</v>
          </cell>
        </row>
        <row r="2332">
          <cell r="A2332" t="str">
            <v>ST031036</v>
          </cell>
          <cell r="B2332" t="str">
            <v>72325541-1</v>
          </cell>
        </row>
        <row r="2333">
          <cell r="A2333" t="str">
            <v>ST029186</v>
          </cell>
          <cell r="B2333" t="str">
            <v>90400044-0001</v>
          </cell>
        </row>
        <row r="2334">
          <cell r="A2334" t="str">
            <v>ST029189</v>
          </cell>
          <cell r="B2334">
            <v>90402641</v>
          </cell>
        </row>
        <row r="2335">
          <cell r="A2335" t="str">
            <v>ST028988</v>
          </cell>
          <cell r="B2335" t="str">
            <v>3615122-2</v>
          </cell>
        </row>
        <row r="2336">
          <cell r="A2336" t="str">
            <v>ST031038</v>
          </cell>
          <cell r="B2336" t="str">
            <v>72326172-1</v>
          </cell>
        </row>
        <row r="2337">
          <cell r="A2337" t="str">
            <v>ST028493</v>
          </cell>
          <cell r="B2337" t="str">
            <v>1252-D-2064</v>
          </cell>
        </row>
        <row r="2338">
          <cell r="A2338" t="str">
            <v>ST030975</v>
          </cell>
          <cell r="B2338" t="str">
            <v>600-6150-001</v>
          </cell>
        </row>
        <row r="2339">
          <cell r="A2339" t="str">
            <v>ST031004</v>
          </cell>
          <cell r="B2339" t="str">
            <v>612-0351-001</v>
          </cell>
        </row>
        <row r="2340">
          <cell r="A2340" t="str">
            <v>ST031008</v>
          </cell>
          <cell r="B2340" t="str">
            <v>614-0754-003</v>
          </cell>
        </row>
        <row r="2341">
          <cell r="A2341" t="str">
            <v>ST031009</v>
          </cell>
          <cell r="B2341" t="str">
            <v>617-6360-001</v>
          </cell>
        </row>
        <row r="2342">
          <cell r="A2342" t="str">
            <v>ST031017</v>
          </cell>
          <cell r="B2342" t="str">
            <v>63002028-2</v>
          </cell>
        </row>
        <row r="2343">
          <cell r="A2343" t="str">
            <v>ST031023</v>
          </cell>
          <cell r="B2343" t="str">
            <v>63003269-1</v>
          </cell>
        </row>
        <row r="2344">
          <cell r="A2344" t="str">
            <v>ST031031</v>
          </cell>
          <cell r="B2344" t="str">
            <v>652-4422-001</v>
          </cell>
        </row>
        <row r="2345">
          <cell r="A2345" t="str">
            <v>ST031043</v>
          </cell>
          <cell r="B2345" t="str">
            <v>72326394-3</v>
          </cell>
        </row>
        <row r="2346">
          <cell r="A2346" t="str">
            <v>ST036716</v>
          </cell>
          <cell r="B2346" t="str">
            <v>607-2928-011</v>
          </cell>
        </row>
        <row r="2347">
          <cell r="A2347" t="str">
            <v>ST036717</v>
          </cell>
          <cell r="B2347" t="str">
            <v>607-2955-011</v>
          </cell>
        </row>
        <row r="2348">
          <cell r="A2348" t="str">
            <v>ST030935</v>
          </cell>
          <cell r="B2348" t="str">
            <v>073-00508-0005</v>
          </cell>
        </row>
        <row r="2349">
          <cell r="A2349" t="str">
            <v>ST030965</v>
          </cell>
          <cell r="B2349" t="str">
            <v>568-15158-1</v>
          </cell>
        </row>
        <row r="2350">
          <cell r="A2350" t="str">
            <v>ST030969</v>
          </cell>
          <cell r="B2350" t="str">
            <v>59000123-001</v>
          </cell>
        </row>
        <row r="2351">
          <cell r="A2351" t="str">
            <v>ST030971</v>
          </cell>
          <cell r="B2351" t="str">
            <v>59000222-001</v>
          </cell>
        </row>
        <row r="2352">
          <cell r="A2352" t="str">
            <v>ST030983</v>
          </cell>
          <cell r="B2352" t="str">
            <v>602-4080-001</v>
          </cell>
        </row>
        <row r="2353">
          <cell r="A2353" t="str">
            <v>ST031002</v>
          </cell>
          <cell r="B2353" t="str">
            <v>612-0312-001</v>
          </cell>
        </row>
        <row r="2354">
          <cell r="A2354" t="str">
            <v>ST031010</v>
          </cell>
          <cell r="B2354" t="str">
            <v>617-6455-002</v>
          </cell>
        </row>
        <row r="2355">
          <cell r="A2355" t="str">
            <v>ST028912</v>
          </cell>
          <cell r="B2355" t="str">
            <v>3183881-2</v>
          </cell>
        </row>
        <row r="2356">
          <cell r="A2356" t="str">
            <v>ST029063</v>
          </cell>
          <cell r="B2356" t="str">
            <v>63001462-1</v>
          </cell>
        </row>
        <row r="2357">
          <cell r="A2357" t="str">
            <v>ST032463</v>
          </cell>
          <cell r="B2357" t="str">
            <v>2-060-295-02</v>
          </cell>
        </row>
        <row r="2358">
          <cell r="A2358" t="str">
            <v>ST032471</v>
          </cell>
          <cell r="B2358" t="str">
            <v>2307598-1</v>
          </cell>
        </row>
        <row r="2359">
          <cell r="A2359" t="str">
            <v>ST032477</v>
          </cell>
          <cell r="B2359" t="str">
            <v>3050850-1</v>
          </cell>
        </row>
        <row r="2360">
          <cell r="A2360" t="str">
            <v>ST032479</v>
          </cell>
          <cell r="B2360" t="str">
            <v>3070152-1</v>
          </cell>
        </row>
        <row r="2361">
          <cell r="A2361" t="str">
            <v>ST032480</v>
          </cell>
          <cell r="B2361" t="str">
            <v>3070152-2</v>
          </cell>
        </row>
        <row r="2362">
          <cell r="A2362" t="str">
            <v>ST032481</v>
          </cell>
          <cell r="B2362" t="str">
            <v>3070152-3</v>
          </cell>
        </row>
        <row r="2363">
          <cell r="A2363" t="str">
            <v>ST032483</v>
          </cell>
          <cell r="B2363" t="str">
            <v>3070152-6</v>
          </cell>
        </row>
        <row r="2364">
          <cell r="A2364" t="str">
            <v>ST032484</v>
          </cell>
          <cell r="B2364" t="str">
            <v>3070204-2</v>
          </cell>
        </row>
        <row r="2365">
          <cell r="A2365" t="str">
            <v>ST032487</v>
          </cell>
          <cell r="B2365" t="str">
            <v>3070380-1</v>
          </cell>
        </row>
        <row r="2366">
          <cell r="A2366" t="str">
            <v>ST032489</v>
          </cell>
          <cell r="B2366" t="str">
            <v>3070473-1</v>
          </cell>
        </row>
        <row r="2367">
          <cell r="A2367" t="str">
            <v>ST032492</v>
          </cell>
          <cell r="B2367" t="str">
            <v>3071113-2</v>
          </cell>
        </row>
        <row r="2368">
          <cell r="A2368" t="str">
            <v>ST032496</v>
          </cell>
          <cell r="B2368" t="str">
            <v>3071765-1</v>
          </cell>
        </row>
        <row r="2369">
          <cell r="A2369" t="str">
            <v>ST032513</v>
          </cell>
          <cell r="B2369" t="str">
            <v>365423-7</v>
          </cell>
        </row>
        <row r="2370">
          <cell r="A2370" t="str">
            <v>ST032515</v>
          </cell>
          <cell r="B2370" t="str">
            <v>367065-3</v>
          </cell>
        </row>
        <row r="2371">
          <cell r="A2371" t="str">
            <v>ST032526</v>
          </cell>
          <cell r="B2371" t="str">
            <v>4-161-082-03</v>
          </cell>
        </row>
        <row r="2372">
          <cell r="A2372" t="str">
            <v>ST032543</v>
          </cell>
          <cell r="B2372" t="str">
            <v>645432-2</v>
          </cell>
        </row>
        <row r="2373">
          <cell r="A2373" t="str">
            <v>ST032549</v>
          </cell>
          <cell r="B2373" t="str">
            <v>67221459-1</v>
          </cell>
        </row>
        <row r="2374">
          <cell r="A2374" t="str">
            <v>ST032550</v>
          </cell>
          <cell r="B2374" t="str">
            <v>694531-2</v>
          </cell>
        </row>
        <row r="2375">
          <cell r="A2375" t="str">
            <v>ST032563</v>
          </cell>
          <cell r="B2375" t="str">
            <v>72906</v>
          </cell>
        </row>
        <row r="2376">
          <cell r="A2376" t="str">
            <v>ST032495</v>
          </cell>
          <cell r="B2376" t="str">
            <v>3071614-1</v>
          </cell>
        </row>
        <row r="2377">
          <cell r="A2377" t="str">
            <v>ST030987</v>
          </cell>
          <cell r="B2377" t="str">
            <v>602-4084-008</v>
          </cell>
        </row>
        <row r="2378">
          <cell r="A2378" t="str">
            <v>ST031041</v>
          </cell>
          <cell r="B2378" t="str">
            <v>72326394-1</v>
          </cell>
        </row>
        <row r="2379">
          <cell r="A2379" t="str">
            <v>ST030982</v>
          </cell>
          <cell r="B2379" t="str">
            <v>601-2893-005</v>
          </cell>
        </row>
        <row r="2380">
          <cell r="A2380" t="str">
            <v>ST036779</v>
          </cell>
          <cell r="B2380" t="str">
            <v>030-01497-0001</v>
          </cell>
        </row>
        <row r="2381">
          <cell r="A2381" t="str">
            <v>ST037261</v>
          </cell>
          <cell r="B2381" t="str">
            <v>155-03009-0001</v>
          </cell>
        </row>
        <row r="2382">
          <cell r="A2382" t="str">
            <v>ST037269</v>
          </cell>
          <cell r="B2382" t="str">
            <v>22025537-001</v>
          </cell>
        </row>
        <row r="2383">
          <cell r="A2383" t="str">
            <v>ST037328</v>
          </cell>
          <cell r="B2383" t="str">
            <v>8057507-0502</v>
          </cell>
        </row>
        <row r="2384">
          <cell r="A2384" t="str">
            <v>ST037329</v>
          </cell>
          <cell r="B2384" t="str">
            <v>8057507-0506</v>
          </cell>
        </row>
        <row r="2385">
          <cell r="A2385" t="str">
            <v>ST037331</v>
          </cell>
          <cell r="B2385" t="str">
            <v>8064085-0512</v>
          </cell>
        </row>
        <row r="2386">
          <cell r="A2386" t="str">
            <v>ST027671</v>
          </cell>
          <cell r="B2386" t="str">
            <v>2718896</v>
          </cell>
        </row>
        <row r="2387">
          <cell r="A2387" t="str">
            <v>ST027672</v>
          </cell>
          <cell r="B2387" t="str">
            <v>2718897</v>
          </cell>
        </row>
        <row r="2388">
          <cell r="A2388" t="str">
            <v>ST028480</v>
          </cell>
          <cell r="B2388" t="str">
            <v>1-140-268-01</v>
          </cell>
        </row>
        <row r="2389">
          <cell r="A2389" t="str">
            <v>ST028886</v>
          </cell>
          <cell r="B2389" t="str">
            <v>3071873-2</v>
          </cell>
        </row>
        <row r="2390">
          <cell r="A2390" t="str">
            <v>ST028887</v>
          </cell>
          <cell r="B2390" t="str">
            <v>3073374-5</v>
          </cell>
        </row>
        <row r="2391">
          <cell r="A2391" t="str">
            <v>ST028891</v>
          </cell>
          <cell r="B2391" t="str">
            <v>3075411-4</v>
          </cell>
        </row>
        <row r="2392">
          <cell r="A2392" t="str">
            <v>ST028892</v>
          </cell>
          <cell r="B2392" t="str">
            <v>3075411-6</v>
          </cell>
        </row>
        <row r="2393">
          <cell r="A2393" t="str">
            <v>ST028893</v>
          </cell>
          <cell r="B2393" t="str">
            <v>3075411-7</v>
          </cell>
        </row>
        <row r="2394">
          <cell r="A2394" t="str">
            <v>ST028894</v>
          </cell>
          <cell r="B2394" t="str">
            <v>3091404-2</v>
          </cell>
        </row>
        <row r="2395">
          <cell r="A2395" t="str">
            <v>ST028902</v>
          </cell>
          <cell r="B2395" t="str">
            <v>3163945-1</v>
          </cell>
        </row>
        <row r="2396">
          <cell r="A2396" t="str">
            <v>ST028919</v>
          </cell>
          <cell r="B2396" t="str">
            <v>320872-2</v>
          </cell>
        </row>
        <row r="2397">
          <cell r="A2397" t="str">
            <v>ST028920</v>
          </cell>
          <cell r="B2397" t="str">
            <v>320872-6</v>
          </cell>
        </row>
        <row r="2398">
          <cell r="A2398" t="str">
            <v>ST029009</v>
          </cell>
          <cell r="B2398" t="str">
            <v>4-081-266-01</v>
          </cell>
        </row>
        <row r="2399">
          <cell r="A2399" t="str">
            <v>ST029190</v>
          </cell>
          <cell r="B2399" t="str">
            <v>90402643</v>
          </cell>
        </row>
        <row r="2400">
          <cell r="A2400" t="str">
            <v>ST029191</v>
          </cell>
          <cell r="B2400" t="str">
            <v>90404434-001</v>
          </cell>
        </row>
        <row r="2401">
          <cell r="A2401" t="str">
            <v>ST029204</v>
          </cell>
          <cell r="B2401" t="str">
            <v>HDC70721130-1</v>
          </cell>
        </row>
        <row r="2402">
          <cell r="A2402" t="str">
            <v>ST030962</v>
          </cell>
          <cell r="B2402" t="str">
            <v>303-0032-001</v>
          </cell>
        </row>
        <row r="2403">
          <cell r="A2403" t="str">
            <v>ST030972</v>
          </cell>
          <cell r="B2403" t="str">
            <v>600-6130-001</v>
          </cell>
        </row>
        <row r="2404">
          <cell r="A2404" t="str">
            <v>ST031007</v>
          </cell>
          <cell r="B2404" t="str">
            <v>613-1422-001</v>
          </cell>
        </row>
        <row r="2405">
          <cell r="A2405" t="str">
            <v>ST041235</v>
          </cell>
          <cell r="B2405" t="str">
            <v>073-01158-0003</v>
          </cell>
        </row>
        <row r="2406">
          <cell r="A2406" t="str">
            <v>ST041236</v>
          </cell>
          <cell r="B2406" t="str">
            <v>073-01159-0003</v>
          </cell>
        </row>
        <row r="2407">
          <cell r="A2407" t="str">
            <v>ST035883</v>
          </cell>
          <cell r="B2407" t="str">
            <v>26018417-101</v>
          </cell>
        </row>
        <row r="2408">
          <cell r="A2408" t="str">
            <v>ST035909</v>
          </cell>
          <cell r="B2408" t="str">
            <v>4071370-2</v>
          </cell>
        </row>
        <row r="2409">
          <cell r="A2409">
            <v>108829</v>
          </cell>
          <cell r="B2409" t="str">
            <v>10153162-102</v>
          </cell>
        </row>
        <row r="2410">
          <cell r="A2410">
            <v>108830</v>
          </cell>
          <cell r="B2410" t="str">
            <v>10161286-101</v>
          </cell>
        </row>
        <row r="2411">
          <cell r="A2411">
            <v>108831</v>
          </cell>
          <cell r="B2411" t="str">
            <v>34272110-0001</v>
          </cell>
        </row>
        <row r="2412">
          <cell r="A2412">
            <v>108832</v>
          </cell>
          <cell r="B2412" t="str">
            <v>56000900-201</v>
          </cell>
        </row>
        <row r="2413">
          <cell r="A2413">
            <v>108833</v>
          </cell>
          <cell r="B2413" t="str">
            <v>62001306-1003</v>
          </cell>
        </row>
        <row r="2414">
          <cell r="A2414">
            <v>108834</v>
          </cell>
          <cell r="B2414" t="str">
            <v>62001306-1004</v>
          </cell>
        </row>
        <row r="2415">
          <cell r="A2415">
            <v>108835</v>
          </cell>
          <cell r="B2415" t="str">
            <v>62001747-1001</v>
          </cell>
        </row>
        <row r="2416">
          <cell r="A2416">
            <v>108836</v>
          </cell>
          <cell r="B2416" t="str">
            <v>62001747-1003</v>
          </cell>
        </row>
        <row r="2417">
          <cell r="A2417" t="str">
            <v>ST037798</v>
          </cell>
          <cell r="B2417" t="str">
            <v>7019488-901</v>
          </cell>
        </row>
        <row r="2418">
          <cell r="A2418">
            <v>108837</v>
          </cell>
          <cell r="B2418" t="str">
            <v>ASY-0514</v>
          </cell>
        </row>
        <row r="2419">
          <cell r="A2419">
            <v>108838</v>
          </cell>
          <cell r="B2419" t="str">
            <v>ASY-0515</v>
          </cell>
        </row>
        <row r="2420">
          <cell r="A2420">
            <v>108839</v>
          </cell>
          <cell r="B2420" t="str">
            <v>ASY-0843-2</v>
          </cell>
        </row>
        <row r="2421">
          <cell r="A2421" t="str">
            <v>ST021985</v>
          </cell>
          <cell r="B2421" t="str">
            <v>4-301-356-01</v>
          </cell>
        </row>
        <row r="2422">
          <cell r="A2422" t="str">
            <v>ST022582</v>
          </cell>
          <cell r="B2422" t="str">
            <v>3888291-2</v>
          </cell>
        </row>
        <row r="2423">
          <cell r="A2423" t="str">
            <v>ST022583</v>
          </cell>
          <cell r="B2423" t="str">
            <v>3888292-5</v>
          </cell>
        </row>
        <row r="2424">
          <cell r="A2424" t="str">
            <v>ST022585</v>
          </cell>
          <cell r="B2424" t="str">
            <v>4-301-112-02</v>
          </cell>
        </row>
        <row r="2425">
          <cell r="A2425" t="str">
            <v>ST030268</v>
          </cell>
          <cell r="B2425" t="str">
            <v>34215570-001</v>
          </cell>
        </row>
        <row r="2426">
          <cell r="A2426" t="str">
            <v>ST030272</v>
          </cell>
          <cell r="B2426" t="str">
            <v>74372390-001</v>
          </cell>
        </row>
        <row r="2427">
          <cell r="A2427" t="str">
            <v>ST030393</v>
          </cell>
          <cell r="B2427" t="str">
            <v>74380827-001</v>
          </cell>
        </row>
        <row r="2428">
          <cell r="A2428" t="str">
            <v>ST033027</v>
          </cell>
          <cell r="B2428" t="str">
            <v>34203305-201</v>
          </cell>
        </row>
        <row r="2429">
          <cell r="A2429" t="str">
            <v>ST035798</v>
          </cell>
          <cell r="B2429" t="str">
            <v>26020864-101</v>
          </cell>
        </row>
        <row r="2430">
          <cell r="A2430" t="str">
            <v>ST035799</v>
          </cell>
          <cell r="B2430" t="str">
            <v>26020864-102CM</v>
          </cell>
        </row>
        <row r="2431">
          <cell r="A2431" t="str">
            <v>ST035800</v>
          </cell>
          <cell r="B2431" t="str">
            <v>26021712-102CK</v>
          </cell>
        </row>
        <row r="2432">
          <cell r="A2432" t="str">
            <v>ST035801</v>
          </cell>
          <cell r="B2432" t="str">
            <v>26021935-101CK</v>
          </cell>
        </row>
        <row r="2433">
          <cell r="A2433" t="str">
            <v>ST035802</v>
          </cell>
          <cell r="B2433" t="str">
            <v>66000015-102CM</v>
          </cell>
        </row>
        <row r="2434">
          <cell r="A2434" t="str">
            <v>ST035803</v>
          </cell>
          <cell r="B2434" t="str">
            <v>66000015-103CK</v>
          </cell>
        </row>
        <row r="2435">
          <cell r="A2435" t="str">
            <v>ST035804</v>
          </cell>
          <cell r="B2435" t="str">
            <v>66020054-001CK</v>
          </cell>
        </row>
        <row r="2436">
          <cell r="A2436" t="str">
            <v>ST035805</v>
          </cell>
          <cell r="B2436" t="str">
            <v>66020809-001CM</v>
          </cell>
        </row>
        <row r="2437">
          <cell r="A2437" t="str">
            <v>ST035806</v>
          </cell>
          <cell r="B2437" t="str">
            <v>66020809-002</v>
          </cell>
        </row>
        <row r="2438">
          <cell r="A2438" t="str">
            <v>ST035807</v>
          </cell>
          <cell r="B2438" t="str">
            <v>66020809-101</v>
          </cell>
        </row>
        <row r="2439">
          <cell r="A2439" t="str">
            <v>ST035808</v>
          </cell>
          <cell r="B2439" t="str">
            <v>66020809-201</v>
          </cell>
        </row>
        <row r="2440">
          <cell r="A2440" t="str">
            <v>ST035809</v>
          </cell>
          <cell r="B2440" t="str">
            <v>26020864-101</v>
          </cell>
        </row>
        <row r="2441">
          <cell r="A2441" t="str">
            <v>ST035810</v>
          </cell>
          <cell r="B2441" t="str">
            <v>26020864-102CM</v>
          </cell>
        </row>
        <row r="2442">
          <cell r="A2442" t="str">
            <v>ST035811</v>
          </cell>
          <cell r="B2442" t="str">
            <v>26021712-102CK</v>
          </cell>
        </row>
        <row r="2443">
          <cell r="A2443" t="str">
            <v>ST035812</v>
          </cell>
          <cell r="B2443" t="str">
            <v>26021935-101CK</v>
          </cell>
        </row>
        <row r="2444">
          <cell r="A2444" t="str">
            <v>ST035814</v>
          </cell>
          <cell r="B2444" t="str">
            <v>66000015-103CK</v>
          </cell>
        </row>
        <row r="2445">
          <cell r="A2445" t="str">
            <v>ST035815</v>
          </cell>
          <cell r="B2445" t="str">
            <v>66020054-001CK</v>
          </cell>
        </row>
        <row r="2446">
          <cell r="A2446" t="str">
            <v>ST035816</v>
          </cell>
          <cell r="B2446" t="str">
            <v>66000015-102CM</v>
          </cell>
        </row>
        <row r="2447">
          <cell r="A2447" t="str">
            <v>ST035817</v>
          </cell>
          <cell r="B2447" t="str">
            <v>66020809-001CM</v>
          </cell>
        </row>
        <row r="2448">
          <cell r="A2448" t="str">
            <v>ST035818</v>
          </cell>
          <cell r="B2448" t="str">
            <v>66020809-002</v>
          </cell>
        </row>
        <row r="2449">
          <cell r="A2449" t="str">
            <v>ST035819</v>
          </cell>
          <cell r="B2449" t="str">
            <v>66020809-101</v>
          </cell>
        </row>
        <row r="2450">
          <cell r="A2450" t="str">
            <v>ST035820</v>
          </cell>
          <cell r="B2450" t="str">
            <v>66020809-201</v>
          </cell>
        </row>
        <row r="2451">
          <cell r="A2451" t="str">
            <v>ST035821</v>
          </cell>
          <cell r="B2451" t="str">
            <v>26020864-101</v>
          </cell>
        </row>
        <row r="2452">
          <cell r="A2452" t="str">
            <v>ST035822</v>
          </cell>
          <cell r="B2452" t="str">
            <v>26020864-102CM</v>
          </cell>
        </row>
        <row r="2453">
          <cell r="A2453" t="str">
            <v>ST035823</v>
          </cell>
          <cell r="B2453" t="str">
            <v>26021712-102CK</v>
          </cell>
        </row>
        <row r="2454">
          <cell r="A2454" t="str">
            <v>ST035824</v>
          </cell>
          <cell r="B2454" t="str">
            <v>26021935-101CK</v>
          </cell>
        </row>
        <row r="2455">
          <cell r="A2455" t="str">
            <v>ST035825</v>
          </cell>
          <cell r="B2455" t="str">
            <v>66000015-102CM</v>
          </cell>
        </row>
        <row r="2456">
          <cell r="A2456" t="str">
            <v>ST035826</v>
          </cell>
          <cell r="B2456" t="str">
            <v>66000015-103CK</v>
          </cell>
        </row>
        <row r="2457">
          <cell r="A2457" t="str">
            <v>ST035827</v>
          </cell>
          <cell r="B2457" t="str">
            <v>66020054-001CK</v>
          </cell>
        </row>
        <row r="2458">
          <cell r="A2458" t="str">
            <v>ST035828</v>
          </cell>
          <cell r="B2458" t="str">
            <v>66020809-001CM</v>
          </cell>
        </row>
        <row r="2459">
          <cell r="A2459" t="str">
            <v>ST035829</v>
          </cell>
          <cell r="B2459" t="str">
            <v>66020809-002</v>
          </cell>
        </row>
        <row r="2460">
          <cell r="A2460" t="str">
            <v>ST035830</v>
          </cell>
          <cell r="B2460" t="str">
            <v>66020809-101</v>
          </cell>
        </row>
        <row r="2461">
          <cell r="A2461" t="str">
            <v>ST035831</v>
          </cell>
          <cell r="B2461" t="str">
            <v>66020809-201</v>
          </cell>
        </row>
        <row r="2462">
          <cell r="A2462" t="str">
            <v>ST035832</v>
          </cell>
          <cell r="B2462" t="str">
            <v>26021712-102CK</v>
          </cell>
        </row>
        <row r="2463">
          <cell r="A2463" t="str">
            <v>ST035833</v>
          </cell>
          <cell r="B2463" t="str">
            <v>26021935-101CK</v>
          </cell>
        </row>
        <row r="2464">
          <cell r="A2464" t="str">
            <v>ST035834</v>
          </cell>
          <cell r="B2464" t="str">
            <v>66000015-102CM</v>
          </cell>
        </row>
        <row r="2465">
          <cell r="A2465" t="str">
            <v>ST035835</v>
          </cell>
          <cell r="B2465" t="str">
            <v>66000015-103CK</v>
          </cell>
        </row>
        <row r="2466">
          <cell r="A2466" t="str">
            <v>ST035836</v>
          </cell>
          <cell r="B2466" t="str">
            <v>66020054-001CK</v>
          </cell>
        </row>
        <row r="2467">
          <cell r="A2467" t="str">
            <v>ST035837</v>
          </cell>
          <cell r="B2467" t="str">
            <v>66020809-001CM</v>
          </cell>
        </row>
        <row r="2468">
          <cell r="A2468" t="str">
            <v>ST035838</v>
          </cell>
          <cell r="B2468" t="str">
            <v>66020809-002</v>
          </cell>
        </row>
        <row r="2469">
          <cell r="A2469" t="str">
            <v>ST035839</v>
          </cell>
          <cell r="B2469" t="str">
            <v>66020809-101</v>
          </cell>
        </row>
        <row r="2470">
          <cell r="A2470" t="str">
            <v>ST035840</v>
          </cell>
          <cell r="B2470" t="str">
            <v>66020809-201</v>
          </cell>
        </row>
        <row r="2471">
          <cell r="A2471" t="str">
            <v>ST035842</v>
          </cell>
          <cell r="B2471" t="str">
            <v>26018616-104CK</v>
          </cell>
        </row>
        <row r="2472">
          <cell r="A2472" t="str">
            <v>ST035843</v>
          </cell>
          <cell r="B2472" t="str">
            <v>26018616-102CK</v>
          </cell>
        </row>
        <row r="2473">
          <cell r="A2473" t="str">
            <v>ST035844</v>
          </cell>
          <cell r="B2473" t="str">
            <v>26018623-101CK</v>
          </cell>
        </row>
        <row r="2474">
          <cell r="A2474" t="str">
            <v>ST035845</v>
          </cell>
          <cell r="B2474" t="str">
            <v>26018616-103CK</v>
          </cell>
        </row>
        <row r="2475">
          <cell r="A2475">
            <v>108828</v>
          </cell>
          <cell r="B2475" t="str">
            <v>26018616-105CK</v>
          </cell>
        </row>
        <row r="2476">
          <cell r="A2476" t="str">
            <v>ST035870</v>
          </cell>
          <cell r="B2476" t="str">
            <v>10148405-101</v>
          </cell>
        </row>
        <row r="2477">
          <cell r="A2477" t="str">
            <v>ST035873</v>
          </cell>
          <cell r="B2477" t="str">
            <v>10156651-103</v>
          </cell>
        </row>
        <row r="2478">
          <cell r="A2478" t="str">
            <v>ST035885</v>
          </cell>
          <cell r="B2478" t="str">
            <v>26018457-105</v>
          </cell>
        </row>
        <row r="2479">
          <cell r="A2479" t="str">
            <v>ST035899</v>
          </cell>
          <cell r="B2479" t="str">
            <v>34215763-001</v>
          </cell>
        </row>
        <row r="2480">
          <cell r="A2480" t="str">
            <v>ST035908</v>
          </cell>
          <cell r="B2480" t="str">
            <v>4055964-4</v>
          </cell>
        </row>
        <row r="2481">
          <cell r="A2481" t="str">
            <v>ST035922</v>
          </cell>
          <cell r="B2481" t="str">
            <v>8520378-1</v>
          </cell>
        </row>
        <row r="2482">
          <cell r="A2482" t="str">
            <v>ST035923</v>
          </cell>
          <cell r="B2482" t="str">
            <v>8520865-65</v>
          </cell>
        </row>
        <row r="2483">
          <cell r="A2483" t="str">
            <v>ST035945</v>
          </cell>
          <cell r="B2483" t="str">
            <v>A12309-001</v>
          </cell>
        </row>
        <row r="2484">
          <cell r="A2484" t="str">
            <v>ST035952</v>
          </cell>
          <cell r="B2484" t="str">
            <v>A29200-009</v>
          </cell>
        </row>
        <row r="2485">
          <cell r="A2485" t="str">
            <v>ST035953</v>
          </cell>
          <cell r="B2485" t="str">
            <v>A8072-001</v>
          </cell>
        </row>
        <row r="2486">
          <cell r="A2486" t="str">
            <v>ST037258</v>
          </cell>
          <cell r="B2486" t="str">
            <v>155-02744-0001</v>
          </cell>
        </row>
        <row r="2487">
          <cell r="A2487" t="str">
            <v>ST037323</v>
          </cell>
          <cell r="B2487" t="str">
            <v>74374357-001</v>
          </cell>
        </row>
        <row r="2488">
          <cell r="A2488" t="str">
            <v>ST037324</v>
          </cell>
          <cell r="B2488" t="str">
            <v>74374374-001</v>
          </cell>
        </row>
        <row r="2489">
          <cell r="A2489" t="str">
            <v>ST037325</v>
          </cell>
          <cell r="B2489" t="str">
            <v>74376509-001</v>
          </cell>
        </row>
        <row r="2490">
          <cell r="A2490" t="str">
            <v>ST037326</v>
          </cell>
          <cell r="B2490" t="str">
            <v>74377574-002</v>
          </cell>
        </row>
        <row r="2491">
          <cell r="A2491" t="str">
            <v>ST037334</v>
          </cell>
          <cell r="B2491" t="str">
            <v>902-18578-980</v>
          </cell>
        </row>
        <row r="2492">
          <cell r="A2492" t="str">
            <v>ST018437</v>
          </cell>
          <cell r="B2492" t="str">
            <v>62000933-1001</v>
          </cell>
        </row>
        <row r="2493">
          <cell r="A2493" t="str">
            <v>ST022584</v>
          </cell>
          <cell r="B2493" t="str">
            <v>3888292-6</v>
          </cell>
        </row>
        <row r="2494">
          <cell r="A2494" t="str">
            <v>ST033036</v>
          </cell>
          <cell r="B2494" t="str">
            <v>34206715-401</v>
          </cell>
        </row>
        <row r="2495">
          <cell r="A2495" t="str">
            <v>ST035841</v>
          </cell>
          <cell r="B2495" t="str">
            <v>26018616-101CK</v>
          </cell>
        </row>
        <row r="2496">
          <cell r="A2496" t="str">
            <v>ST035869</v>
          </cell>
          <cell r="B2496" t="str">
            <v>10133592-101</v>
          </cell>
        </row>
        <row r="2497">
          <cell r="A2497">
            <v>108840</v>
          </cell>
          <cell r="B2497" t="str">
            <v>990-61508940-00</v>
          </cell>
        </row>
        <row r="2498">
          <cell r="A2498" t="str">
            <v>ST018570</v>
          </cell>
          <cell r="B2498" t="str">
            <v>969018-1</v>
          </cell>
        </row>
        <row r="2499">
          <cell r="A2499" t="str">
            <v>ST035898</v>
          </cell>
          <cell r="B2499" t="str">
            <v>34215762-001</v>
          </cell>
        </row>
        <row r="2500">
          <cell r="A2500" t="str">
            <v>ST035878</v>
          </cell>
          <cell r="B2500" t="str">
            <v>10162619-101</v>
          </cell>
        </row>
        <row r="2501">
          <cell r="A2501" t="str">
            <v>ST035877</v>
          </cell>
          <cell r="B2501" t="str">
            <v>10162531-101</v>
          </cell>
        </row>
        <row r="2502">
          <cell r="A2502" t="str">
            <v>ST035891</v>
          </cell>
          <cell r="B2502" t="str">
            <v>34208992-003</v>
          </cell>
        </row>
        <row r="2503">
          <cell r="A2503" t="str">
            <v>ST035920</v>
          </cell>
          <cell r="B2503" t="str">
            <v>74201716-001</v>
          </cell>
        </row>
        <row r="2504">
          <cell r="A2504" t="str">
            <v>ST035871</v>
          </cell>
          <cell r="B2504" t="str">
            <v>10154900-102</v>
          </cell>
        </row>
        <row r="2505">
          <cell r="A2505" t="str">
            <v>ST035872</v>
          </cell>
          <cell r="B2505" t="str">
            <v>10156651-102</v>
          </cell>
        </row>
        <row r="2506">
          <cell r="A2506" t="str">
            <v>ST041114</v>
          </cell>
          <cell r="B2506" t="str">
            <v>969018-1</v>
          </cell>
        </row>
        <row r="2507">
          <cell r="A2507" t="str">
            <v>ST041138</v>
          </cell>
          <cell r="B2507" t="str">
            <v>4091166-901</v>
          </cell>
        </row>
        <row r="2508">
          <cell r="A2508">
            <v>108841</v>
          </cell>
          <cell r="B2508" t="str">
            <v>7017010-905//CM</v>
          </cell>
        </row>
        <row r="2509">
          <cell r="A2509">
            <v>108842</v>
          </cell>
          <cell r="B2509" t="str">
            <v>7026236-1001</v>
          </cell>
        </row>
        <row r="2510">
          <cell r="A2510" t="str">
            <v>ST041143</v>
          </cell>
          <cell r="B2510" t="str">
            <v>7026236-1001</v>
          </cell>
        </row>
        <row r="2511">
          <cell r="A2511">
            <v>108843</v>
          </cell>
          <cell r="B2511" t="str">
            <v>7517460-856</v>
          </cell>
        </row>
        <row r="2512">
          <cell r="A2512">
            <v>108844</v>
          </cell>
          <cell r="B2512" t="str">
            <v>7517460-857</v>
          </cell>
        </row>
        <row r="2513">
          <cell r="A2513">
            <v>108845</v>
          </cell>
          <cell r="B2513" t="str">
            <v>90000452-1</v>
          </cell>
        </row>
        <row r="2514">
          <cell r="A2514" t="str">
            <v>ST041225</v>
          </cell>
          <cell r="B2514" t="str">
            <v>56010733-001</v>
          </cell>
        </row>
        <row r="2515">
          <cell r="A2515">
            <v>108846</v>
          </cell>
          <cell r="B2515" t="str">
            <v>7003186-919</v>
          </cell>
        </row>
        <row r="2516">
          <cell r="A2516">
            <v>108847</v>
          </cell>
          <cell r="B2516" t="str">
            <v>7003202-904</v>
          </cell>
        </row>
        <row r="2517">
          <cell r="A2517">
            <v>108848</v>
          </cell>
          <cell r="B2517" t="str">
            <v>7035192-901</v>
          </cell>
        </row>
        <row r="2518">
          <cell r="A2518" t="str">
            <v>ST041229</v>
          </cell>
          <cell r="B2518" t="str">
            <v>90000452-1</v>
          </cell>
        </row>
        <row r="2519">
          <cell r="A2519" t="str">
            <v>ST041230</v>
          </cell>
          <cell r="B2519" t="str">
            <v>90000452-1</v>
          </cell>
        </row>
        <row r="2520">
          <cell r="A2520">
            <v>108849</v>
          </cell>
          <cell r="B2520" t="str">
            <v>300-90437-9506</v>
          </cell>
        </row>
        <row r="2521">
          <cell r="A2521">
            <v>108850</v>
          </cell>
          <cell r="B2521" t="str">
            <v>300-90437-9506</v>
          </cell>
        </row>
        <row r="2522">
          <cell r="A2522">
            <v>108851</v>
          </cell>
          <cell r="B2522" t="str">
            <v>30090238-9502</v>
          </cell>
        </row>
        <row r="2523">
          <cell r="A2523" t="str">
            <v>ST041608</v>
          </cell>
          <cell r="B2523" t="str">
            <v>1242-F-7121</v>
          </cell>
        </row>
        <row r="2524">
          <cell r="A2524" t="str">
            <v>ST041609</v>
          </cell>
          <cell r="B2524" t="str">
            <v>1428-F-0295</v>
          </cell>
        </row>
        <row r="2525">
          <cell r="A2525" t="str">
            <v>ST041610</v>
          </cell>
          <cell r="B2525" t="str">
            <v>1428-F-0380-24</v>
          </cell>
        </row>
        <row r="2526">
          <cell r="A2526" t="str">
            <v>ST041611</v>
          </cell>
          <cell r="B2526" t="str">
            <v>1428-F-0380-30</v>
          </cell>
        </row>
        <row r="2527">
          <cell r="A2527" t="str">
            <v>ST041612</v>
          </cell>
          <cell r="B2527" t="str">
            <v>1428-F-0380-48</v>
          </cell>
        </row>
        <row r="2528">
          <cell r="A2528" t="str">
            <v>ST041613</v>
          </cell>
          <cell r="B2528" t="str">
            <v>1428-F-0381-30</v>
          </cell>
        </row>
        <row r="2529">
          <cell r="A2529" t="str">
            <v>ST041614</v>
          </cell>
          <cell r="B2529" t="str">
            <v>155-02826-0000</v>
          </cell>
        </row>
        <row r="2530">
          <cell r="A2530" t="str">
            <v>ST041615</v>
          </cell>
          <cell r="B2530" t="str">
            <v>198030-1</v>
          </cell>
        </row>
        <row r="2531">
          <cell r="A2531" t="str">
            <v>ST041616</v>
          </cell>
          <cell r="B2531" t="str">
            <v>198030-2</v>
          </cell>
        </row>
        <row r="2532">
          <cell r="A2532" t="str">
            <v>ST041617</v>
          </cell>
          <cell r="B2532" t="str">
            <v>198030-3</v>
          </cell>
        </row>
        <row r="2533">
          <cell r="A2533" t="str">
            <v>ST041618</v>
          </cell>
          <cell r="B2533" t="str">
            <v>198030-4</v>
          </cell>
        </row>
        <row r="2534">
          <cell r="A2534" t="str">
            <v>ST041619</v>
          </cell>
          <cell r="B2534" t="str">
            <v>198030-5</v>
          </cell>
        </row>
        <row r="2535">
          <cell r="A2535" t="str">
            <v>ST041630</v>
          </cell>
          <cell r="B2535" t="str">
            <v>4059366-901</v>
          </cell>
        </row>
        <row r="2536">
          <cell r="A2536" t="str">
            <v>ST041636</v>
          </cell>
          <cell r="B2536" t="str">
            <v>540-E0040-014</v>
          </cell>
        </row>
        <row r="2537">
          <cell r="A2537" t="str">
            <v>ST041650</v>
          </cell>
          <cell r="B2537" t="str">
            <v>7033046-901</v>
          </cell>
        </row>
        <row r="2538">
          <cell r="A2538" t="str">
            <v>ST041657</v>
          </cell>
          <cell r="B2538" t="str">
            <v>704-2554-002</v>
          </cell>
        </row>
        <row r="2539">
          <cell r="A2539" t="str">
            <v>ST041658</v>
          </cell>
          <cell r="B2539" t="str">
            <v>81153-00</v>
          </cell>
        </row>
        <row r="2540">
          <cell r="A2540" t="str">
            <v>ST041659</v>
          </cell>
          <cell r="B2540" t="str">
            <v>82087-00</v>
          </cell>
        </row>
        <row r="2541">
          <cell r="A2541" t="str">
            <v>ST041660</v>
          </cell>
          <cell r="B2541" t="str">
            <v>90004123-001</v>
          </cell>
        </row>
        <row r="2542">
          <cell r="A2542" t="str">
            <v>ST041661</v>
          </cell>
          <cell r="B2542" t="str">
            <v>90004549-001</v>
          </cell>
        </row>
        <row r="2543">
          <cell r="A2543" t="str">
            <v>ST041662</v>
          </cell>
          <cell r="B2543" t="str">
            <v>90004558-001</v>
          </cell>
        </row>
        <row r="2544">
          <cell r="A2544" t="str">
            <v>ST042544</v>
          </cell>
          <cell r="B2544" t="str">
            <v>1242-F-7121</v>
          </cell>
        </row>
        <row r="2545">
          <cell r="A2545">
            <v>108852</v>
          </cell>
          <cell r="B2545" t="str">
            <v>1428-F-0295</v>
          </cell>
        </row>
        <row r="2546">
          <cell r="A2546">
            <v>108853</v>
          </cell>
          <cell r="B2546" t="str">
            <v>1428-F-0380-24</v>
          </cell>
        </row>
        <row r="2547">
          <cell r="A2547">
            <v>108854</v>
          </cell>
          <cell r="B2547" t="str">
            <v>1428-F-0380-30</v>
          </cell>
        </row>
        <row r="2548">
          <cell r="A2548">
            <v>108855</v>
          </cell>
          <cell r="B2548" t="str">
            <v>1428-F-0380-48</v>
          </cell>
        </row>
        <row r="2549">
          <cell r="A2549">
            <v>108856</v>
          </cell>
          <cell r="B2549" t="str">
            <v>1428-F-0381-30</v>
          </cell>
        </row>
        <row r="2550">
          <cell r="A2550">
            <v>108857</v>
          </cell>
          <cell r="B2550" t="str">
            <v>155-02826-0000</v>
          </cell>
        </row>
        <row r="2551">
          <cell r="A2551" t="str">
            <v>ST042569</v>
          </cell>
          <cell r="B2551" t="str">
            <v>198030-1</v>
          </cell>
        </row>
        <row r="2552">
          <cell r="A2552" t="str">
            <v>ST042570</v>
          </cell>
          <cell r="B2552" t="str">
            <v>198030-2</v>
          </cell>
        </row>
        <row r="2553">
          <cell r="A2553" t="str">
            <v>ST042571</v>
          </cell>
          <cell r="B2553" t="str">
            <v>198030-3</v>
          </cell>
        </row>
        <row r="2554">
          <cell r="A2554" t="str">
            <v>ST042572</v>
          </cell>
          <cell r="B2554" t="str">
            <v>198030-4</v>
          </cell>
        </row>
        <row r="2555">
          <cell r="A2555" t="str">
            <v>ST042573</v>
          </cell>
          <cell r="B2555" t="str">
            <v>198030-5</v>
          </cell>
        </row>
        <row r="2556">
          <cell r="A2556">
            <v>108858</v>
          </cell>
          <cell r="B2556" t="str">
            <v>330-E0851-000</v>
          </cell>
        </row>
        <row r="2557">
          <cell r="A2557">
            <v>108859</v>
          </cell>
          <cell r="B2557" t="str">
            <v>4059366-901</v>
          </cell>
        </row>
        <row r="2558">
          <cell r="A2558">
            <v>108860</v>
          </cell>
          <cell r="B2558" t="str">
            <v>540-E0040-013</v>
          </cell>
        </row>
        <row r="2559">
          <cell r="A2559">
            <v>108861</v>
          </cell>
          <cell r="B2559" t="str">
            <v>540-E0040-014</v>
          </cell>
        </row>
        <row r="2560">
          <cell r="A2560" t="str">
            <v>ST042762</v>
          </cell>
          <cell r="B2560" t="str">
            <v>7033046-901</v>
          </cell>
        </row>
        <row r="2561">
          <cell r="A2561" t="str">
            <v>ST042763</v>
          </cell>
          <cell r="B2561" t="str">
            <v>704-2554-002</v>
          </cell>
        </row>
        <row r="2562">
          <cell r="A2562">
            <v>108862</v>
          </cell>
          <cell r="B2562" t="str">
            <v>81153-00</v>
          </cell>
        </row>
        <row r="2563">
          <cell r="A2563">
            <v>108863</v>
          </cell>
          <cell r="B2563" t="str">
            <v>82087-00</v>
          </cell>
        </row>
        <row r="2564">
          <cell r="A2564" t="str">
            <v>ST042775</v>
          </cell>
          <cell r="B2564" t="str">
            <v>90004123-001</v>
          </cell>
        </row>
        <row r="2565">
          <cell r="A2565" t="str">
            <v>ST042776</v>
          </cell>
          <cell r="B2565" t="str">
            <v>90004549-001</v>
          </cell>
        </row>
        <row r="2566">
          <cell r="A2566" t="str">
            <v>ST042777</v>
          </cell>
          <cell r="B2566" t="str">
            <v>90004558-001</v>
          </cell>
        </row>
        <row r="2567">
          <cell r="A2567" t="str">
            <v>ST042780</v>
          </cell>
          <cell r="B2567" t="str">
            <v>990-61508940-00</v>
          </cell>
        </row>
        <row r="2568">
          <cell r="A2568">
            <v>108864</v>
          </cell>
          <cell r="B2568" t="str">
            <v>2815262-2(SF)</v>
          </cell>
        </row>
        <row r="2569">
          <cell r="A2569">
            <v>108865</v>
          </cell>
          <cell r="B2569" t="str">
            <v>2815265-2(SF)</v>
          </cell>
        </row>
        <row r="2570">
          <cell r="A2570">
            <v>108866</v>
          </cell>
          <cell r="B2570" t="str">
            <v>2816381-1</v>
          </cell>
        </row>
        <row r="2571">
          <cell r="A2571">
            <v>108867</v>
          </cell>
          <cell r="B2571" t="str">
            <v>5101858-19</v>
          </cell>
        </row>
        <row r="2572">
          <cell r="A2572">
            <v>108868</v>
          </cell>
          <cell r="B2572" t="str">
            <v>5101858-19</v>
          </cell>
        </row>
        <row r="2573">
          <cell r="A2573">
            <v>108869</v>
          </cell>
          <cell r="B2573" t="str">
            <v>7001644-49(SF)</v>
          </cell>
        </row>
        <row r="2574">
          <cell r="A2574">
            <v>108870</v>
          </cell>
          <cell r="B2574" t="str">
            <v>8513068-922</v>
          </cell>
        </row>
        <row r="2575">
          <cell r="A2575">
            <v>108871</v>
          </cell>
          <cell r="B2575" t="str">
            <v>8513068-922</v>
          </cell>
        </row>
        <row r="2576">
          <cell r="A2576" t="str">
            <v>ST042805</v>
          </cell>
          <cell r="B2576" t="str">
            <v>8520001-901</v>
          </cell>
        </row>
        <row r="2577">
          <cell r="A2577">
            <v>108872</v>
          </cell>
          <cell r="B2577" t="str">
            <v>8525358-921</v>
          </cell>
        </row>
        <row r="2578">
          <cell r="A2578">
            <v>108873</v>
          </cell>
          <cell r="B2578" t="str">
            <v>8525358-921</v>
          </cell>
        </row>
        <row r="2579">
          <cell r="A2579">
            <v>108874</v>
          </cell>
          <cell r="B2579" t="str">
            <v>8525423-910</v>
          </cell>
        </row>
        <row r="2580">
          <cell r="A2580" t="str">
            <v>ST042809</v>
          </cell>
          <cell r="B2580" t="str">
            <v>8525435-912(SF)</v>
          </cell>
        </row>
        <row r="2581">
          <cell r="A2581" t="str">
            <v>ST042810</v>
          </cell>
          <cell r="B2581" t="str">
            <v>8526080-922</v>
          </cell>
        </row>
        <row r="2582">
          <cell r="A2582" t="str">
            <v>ST042811</v>
          </cell>
          <cell r="B2582" t="str">
            <v>8526540-930</v>
          </cell>
        </row>
        <row r="2583">
          <cell r="A2583" t="str">
            <v>ST042812</v>
          </cell>
          <cell r="B2583" t="str">
            <v>8526550-960</v>
          </cell>
        </row>
        <row r="2584">
          <cell r="A2584" t="str">
            <v>ST042813</v>
          </cell>
          <cell r="B2584" t="str">
            <v>8526580-921</v>
          </cell>
        </row>
        <row r="2585">
          <cell r="A2585">
            <v>108875</v>
          </cell>
          <cell r="B2585" t="str">
            <v>8526580-921</v>
          </cell>
        </row>
        <row r="2586">
          <cell r="A2586">
            <v>108876</v>
          </cell>
          <cell r="B2586" t="str">
            <v>8528945-920</v>
          </cell>
        </row>
        <row r="2587">
          <cell r="A2587" t="str">
            <v>ST042816</v>
          </cell>
          <cell r="B2587" t="str">
            <v>8528954-920</v>
          </cell>
        </row>
        <row r="2588">
          <cell r="A2588" t="str">
            <v>ST042817</v>
          </cell>
          <cell r="B2588" t="str">
            <v>8528967-930(SF)</v>
          </cell>
        </row>
        <row r="2589">
          <cell r="A2589" t="str">
            <v>ST042818</v>
          </cell>
          <cell r="B2589" t="str">
            <v>8529287-920</v>
          </cell>
        </row>
        <row r="2590">
          <cell r="A2590" t="str">
            <v>ST042819</v>
          </cell>
          <cell r="B2590" t="str">
            <v>8529562-950</v>
          </cell>
        </row>
        <row r="2591">
          <cell r="A2591" t="str">
            <v>ST042820</v>
          </cell>
          <cell r="B2591" t="str">
            <v>8529563-950</v>
          </cell>
        </row>
        <row r="2592">
          <cell r="A2592">
            <v>108877</v>
          </cell>
          <cell r="B2592" t="str">
            <v>8533020-920</v>
          </cell>
        </row>
        <row r="2593">
          <cell r="A2593" t="str">
            <v>ST042822</v>
          </cell>
          <cell r="B2593" t="str">
            <v>8533025-920</v>
          </cell>
        </row>
        <row r="2594">
          <cell r="A2594">
            <v>108878</v>
          </cell>
          <cell r="B2594" t="str">
            <v>2815262-2(SF)</v>
          </cell>
        </row>
        <row r="2595">
          <cell r="A2595">
            <v>108879</v>
          </cell>
          <cell r="B2595" t="str">
            <v>2815265-2</v>
          </cell>
        </row>
        <row r="2596">
          <cell r="A2596">
            <v>108880</v>
          </cell>
          <cell r="B2596" t="str">
            <v>7001644-49(SF)</v>
          </cell>
        </row>
        <row r="2597">
          <cell r="A2597">
            <v>108881</v>
          </cell>
          <cell r="B2597" t="str">
            <v>73000138-9</v>
          </cell>
        </row>
        <row r="2598">
          <cell r="A2598">
            <v>112571</v>
          </cell>
          <cell r="B2598" t="str">
            <v>R63005531-1</v>
          </cell>
        </row>
        <row r="2599">
          <cell r="A2599">
            <v>110889</v>
          </cell>
          <cell r="B2599" t="str">
            <v>3178411-1</v>
          </cell>
        </row>
        <row r="2600">
          <cell r="A2600">
            <v>110668</v>
          </cell>
          <cell r="B2600" t="str">
            <v>34201675-101</v>
          </cell>
        </row>
        <row r="2601">
          <cell r="A2601">
            <v>110669</v>
          </cell>
          <cell r="B2601" t="str">
            <v>34203704-002</v>
          </cell>
        </row>
        <row r="2602">
          <cell r="A2602">
            <v>110670</v>
          </cell>
          <cell r="B2602" t="str">
            <v>34203704-101</v>
          </cell>
        </row>
        <row r="2603">
          <cell r="A2603">
            <v>110671</v>
          </cell>
          <cell r="B2603" t="str">
            <v>34207877-001</v>
          </cell>
        </row>
        <row r="2604">
          <cell r="A2604" t="str">
            <v>ST040995</v>
          </cell>
          <cell r="B2604" t="str">
            <v>34211558-001</v>
          </cell>
        </row>
        <row r="2605">
          <cell r="A2605">
            <v>110672</v>
          </cell>
          <cell r="B2605" t="str">
            <v>34212908-001</v>
          </cell>
        </row>
        <row r="2606">
          <cell r="A2606">
            <v>110673</v>
          </cell>
          <cell r="B2606" t="str">
            <v>34213153-002</v>
          </cell>
        </row>
        <row r="2607">
          <cell r="A2607">
            <v>110674</v>
          </cell>
          <cell r="B2607" t="str">
            <v>34213154-002</v>
          </cell>
        </row>
        <row r="2608">
          <cell r="A2608">
            <v>110675</v>
          </cell>
          <cell r="B2608" t="str">
            <v>34213315-001</v>
          </cell>
        </row>
        <row r="2609">
          <cell r="A2609">
            <v>110676</v>
          </cell>
          <cell r="B2609" t="str">
            <v>34213315-002</v>
          </cell>
        </row>
        <row r="2610">
          <cell r="A2610">
            <v>110677</v>
          </cell>
          <cell r="B2610" t="str">
            <v>34215127-001</v>
          </cell>
        </row>
        <row r="2611">
          <cell r="A2611">
            <v>110678</v>
          </cell>
          <cell r="B2611" t="str">
            <v>34215344-003</v>
          </cell>
        </row>
        <row r="2612">
          <cell r="A2612">
            <v>110679</v>
          </cell>
          <cell r="B2612" t="str">
            <v>34215668-002</v>
          </cell>
        </row>
        <row r="2613">
          <cell r="A2613">
            <v>110680</v>
          </cell>
          <cell r="B2613" t="str">
            <v>3888438-1</v>
          </cell>
        </row>
        <row r="2614">
          <cell r="A2614">
            <v>110681</v>
          </cell>
          <cell r="B2614" t="str">
            <v>3888438-2</v>
          </cell>
        </row>
        <row r="2615">
          <cell r="A2615">
            <v>110682</v>
          </cell>
          <cell r="B2615" t="str">
            <v>3888449-2</v>
          </cell>
        </row>
        <row r="2616">
          <cell r="A2616">
            <v>110683</v>
          </cell>
          <cell r="B2616" t="str">
            <v>52001868-3001</v>
          </cell>
        </row>
        <row r="2617">
          <cell r="A2617">
            <v>110684</v>
          </cell>
          <cell r="B2617" t="str">
            <v>52001868-3002</v>
          </cell>
        </row>
        <row r="2618">
          <cell r="A2618">
            <v>110685</v>
          </cell>
          <cell r="B2618" t="str">
            <v>52001868-3003</v>
          </cell>
        </row>
        <row r="2619">
          <cell r="A2619">
            <v>121948</v>
          </cell>
          <cell r="B2619" t="str">
            <v>60008067-901</v>
          </cell>
        </row>
        <row r="2620">
          <cell r="A2620">
            <v>121949</v>
          </cell>
          <cell r="B2620" t="str">
            <v>60008068-901</v>
          </cell>
        </row>
        <row r="2621">
          <cell r="A2621">
            <v>110890</v>
          </cell>
          <cell r="B2621" t="str">
            <v>3179881-1</v>
          </cell>
        </row>
        <row r="2622">
          <cell r="A2622">
            <v>110899</v>
          </cell>
          <cell r="B2622" t="str">
            <v>320115-12</v>
          </cell>
        </row>
        <row r="2623">
          <cell r="A2623">
            <v>110900</v>
          </cell>
          <cell r="B2623" t="str">
            <v>320115-14</v>
          </cell>
        </row>
        <row r="2624">
          <cell r="A2624" t="str">
            <v>ST041066</v>
          </cell>
          <cell r="B2624" t="str">
            <v>70723472-1</v>
          </cell>
        </row>
        <row r="2625">
          <cell r="A2625" t="str">
            <v>ST041067</v>
          </cell>
          <cell r="B2625" t="str">
            <v>70724167-1</v>
          </cell>
        </row>
        <row r="2626">
          <cell r="A2626">
            <v>110686</v>
          </cell>
          <cell r="B2626" t="str">
            <v>72510902-1</v>
          </cell>
        </row>
        <row r="2627">
          <cell r="A2627">
            <v>110687</v>
          </cell>
          <cell r="B2627" t="str">
            <v>72510902-2</v>
          </cell>
        </row>
        <row r="2628">
          <cell r="A2628">
            <v>110688</v>
          </cell>
          <cell r="B2628" t="str">
            <v>72510902-5</v>
          </cell>
        </row>
        <row r="2629">
          <cell r="A2629">
            <v>110689</v>
          </cell>
          <cell r="B2629" t="str">
            <v>72510902-6</v>
          </cell>
        </row>
        <row r="2630">
          <cell r="A2630">
            <v>110690</v>
          </cell>
          <cell r="B2630" t="str">
            <v>72510903-1</v>
          </cell>
        </row>
        <row r="2631">
          <cell r="A2631">
            <v>110691</v>
          </cell>
          <cell r="B2631" t="str">
            <v>72510903-2</v>
          </cell>
        </row>
        <row r="2632">
          <cell r="A2632">
            <v>110692</v>
          </cell>
          <cell r="B2632" t="str">
            <v>72510903-3</v>
          </cell>
        </row>
        <row r="2633">
          <cell r="A2633">
            <v>110693</v>
          </cell>
          <cell r="B2633" t="str">
            <v>72510903-4</v>
          </cell>
        </row>
        <row r="2634">
          <cell r="A2634">
            <v>110694</v>
          </cell>
          <cell r="B2634" t="str">
            <v>72510903-5</v>
          </cell>
        </row>
        <row r="2635">
          <cell r="A2635">
            <v>110695</v>
          </cell>
          <cell r="B2635" t="str">
            <v>72510903-6</v>
          </cell>
        </row>
        <row r="2636">
          <cell r="A2636">
            <v>110696</v>
          </cell>
          <cell r="B2636" t="str">
            <v>72510903-7</v>
          </cell>
        </row>
        <row r="2637">
          <cell r="A2637">
            <v>110697</v>
          </cell>
          <cell r="B2637" t="str">
            <v>72510903-8</v>
          </cell>
        </row>
        <row r="2638">
          <cell r="A2638">
            <v>110698</v>
          </cell>
          <cell r="B2638" t="str">
            <v>72510955-1</v>
          </cell>
        </row>
        <row r="2639">
          <cell r="A2639">
            <v>110699</v>
          </cell>
          <cell r="B2639" t="str">
            <v>72510964-1</v>
          </cell>
        </row>
        <row r="2640">
          <cell r="A2640">
            <v>110700</v>
          </cell>
          <cell r="B2640" t="str">
            <v>72510992-1</v>
          </cell>
        </row>
        <row r="2641">
          <cell r="A2641">
            <v>110701</v>
          </cell>
          <cell r="B2641" t="str">
            <v>72510992-2</v>
          </cell>
        </row>
        <row r="2642">
          <cell r="A2642" t="str">
            <v>ST041084</v>
          </cell>
          <cell r="B2642" t="str">
            <v>72511173-001</v>
          </cell>
        </row>
        <row r="2643">
          <cell r="A2643">
            <v>110702</v>
          </cell>
          <cell r="B2643" t="str">
            <v>72511200-001</v>
          </cell>
        </row>
        <row r="2644">
          <cell r="A2644">
            <v>110703</v>
          </cell>
          <cell r="B2644" t="str">
            <v>72511200-002</v>
          </cell>
        </row>
        <row r="2645">
          <cell r="A2645">
            <v>110704</v>
          </cell>
          <cell r="B2645" t="str">
            <v>72614200-1</v>
          </cell>
        </row>
        <row r="2646">
          <cell r="A2646">
            <v>110705</v>
          </cell>
          <cell r="B2646" t="str">
            <v>72614201-1</v>
          </cell>
        </row>
        <row r="2647">
          <cell r="A2647">
            <v>110706</v>
          </cell>
          <cell r="B2647" t="str">
            <v>72614201-2</v>
          </cell>
        </row>
        <row r="2648">
          <cell r="A2648">
            <v>110707</v>
          </cell>
          <cell r="B2648" t="str">
            <v>72614201-3</v>
          </cell>
        </row>
        <row r="2649">
          <cell r="A2649">
            <v>110708</v>
          </cell>
          <cell r="B2649" t="str">
            <v>74200705-001</v>
          </cell>
        </row>
        <row r="2650">
          <cell r="A2650">
            <v>110709</v>
          </cell>
          <cell r="B2650" t="str">
            <v>74200706-001</v>
          </cell>
        </row>
        <row r="2651">
          <cell r="A2651">
            <v>110710</v>
          </cell>
          <cell r="B2651" t="str">
            <v>74201172-001</v>
          </cell>
        </row>
        <row r="2652">
          <cell r="A2652">
            <v>110711</v>
          </cell>
          <cell r="B2652" t="str">
            <v>74201301-001</v>
          </cell>
        </row>
        <row r="2653">
          <cell r="A2653">
            <v>110712</v>
          </cell>
          <cell r="B2653" t="str">
            <v>74371888-001</v>
          </cell>
        </row>
        <row r="2654">
          <cell r="A2654">
            <v>110713</v>
          </cell>
          <cell r="B2654" t="str">
            <v>74371889-001</v>
          </cell>
        </row>
        <row r="2655">
          <cell r="A2655">
            <v>110714</v>
          </cell>
          <cell r="B2655" t="str">
            <v>74374515-001</v>
          </cell>
        </row>
        <row r="2656">
          <cell r="A2656">
            <v>110715</v>
          </cell>
          <cell r="B2656" t="str">
            <v>74375988-001</v>
          </cell>
        </row>
        <row r="2657">
          <cell r="A2657">
            <v>110716</v>
          </cell>
          <cell r="B2657" t="str">
            <v>34201675-001</v>
          </cell>
        </row>
        <row r="2658">
          <cell r="A2658">
            <v>110717</v>
          </cell>
          <cell r="B2658" t="str">
            <v>34203704-003</v>
          </cell>
        </row>
        <row r="2659">
          <cell r="A2659">
            <v>110718</v>
          </cell>
          <cell r="B2659" t="str">
            <v>34207879-001</v>
          </cell>
        </row>
        <row r="2660">
          <cell r="A2660">
            <v>110719</v>
          </cell>
          <cell r="B2660" t="str">
            <v>34211146-002</v>
          </cell>
        </row>
        <row r="2661">
          <cell r="A2661">
            <v>110720</v>
          </cell>
          <cell r="B2661" t="str">
            <v>34215127-002</v>
          </cell>
        </row>
        <row r="2662">
          <cell r="A2662">
            <v>110721</v>
          </cell>
          <cell r="B2662" t="str">
            <v>34215344-001</v>
          </cell>
        </row>
        <row r="2663">
          <cell r="A2663">
            <v>110722</v>
          </cell>
          <cell r="B2663" t="str">
            <v>113642-55</v>
          </cell>
        </row>
        <row r="2664">
          <cell r="A2664">
            <v>110723</v>
          </cell>
          <cell r="B2664" t="str">
            <v>1531850-2</v>
          </cell>
        </row>
        <row r="2665">
          <cell r="A2665">
            <v>110724</v>
          </cell>
          <cell r="B2665" t="str">
            <v>1543306-1</v>
          </cell>
        </row>
        <row r="2666">
          <cell r="A2666">
            <v>110725</v>
          </cell>
          <cell r="B2666" t="str">
            <v>1580089-1</v>
          </cell>
        </row>
        <row r="2667">
          <cell r="A2667">
            <v>110726</v>
          </cell>
          <cell r="B2667" t="str">
            <v>2050268-1</v>
          </cell>
        </row>
        <row r="2668">
          <cell r="A2668">
            <v>110727</v>
          </cell>
          <cell r="B2668" t="str">
            <v>2050980-1</v>
          </cell>
        </row>
        <row r="2669">
          <cell r="A2669">
            <v>110728</v>
          </cell>
          <cell r="B2669" t="str">
            <v>2103505-2</v>
          </cell>
        </row>
        <row r="2670">
          <cell r="A2670">
            <v>110729</v>
          </cell>
          <cell r="B2670" t="str">
            <v>2205425-1</v>
          </cell>
        </row>
        <row r="2671">
          <cell r="A2671">
            <v>110730</v>
          </cell>
          <cell r="B2671" t="str">
            <v>2205438-2</v>
          </cell>
        </row>
        <row r="2672">
          <cell r="A2672">
            <v>110731</v>
          </cell>
          <cell r="B2672" t="str">
            <v>2205793-1</v>
          </cell>
        </row>
        <row r="2673">
          <cell r="A2673">
            <v>110732</v>
          </cell>
          <cell r="B2673" t="str">
            <v>26396-9</v>
          </cell>
        </row>
        <row r="2674">
          <cell r="A2674" t="str">
            <v>ST043146</v>
          </cell>
          <cell r="B2674" t="str">
            <v>2689589</v>
          </cell>
        </row>
        <row r="2675">
          <cell r="A2675" t="str">
            <v>ST043147</v>
          </cell>
          <cell r="B2675" t="str">
            <v>2689590</v>
          </cell>
        </row>
        <row r="2676">
          <cell r="A2676">
            <v>121041</v>
          </cell>
          <cell r="B2676" t="str">
            <v>2743808-1</v>
          </cell>
        </row>
        <row r="2677">
          <cell r="A2677">
            <v>110733</v>
          </cell>
          <cell r="B2677" t="str">
            <v>2743809-2</v>
          </cell>
        </row>
        <row r="2678">
          <cell r="A2678">
            <v>121043</v>
          </cell>
          <cell r="B2678" t="str">
            <v>2743810-1</v>
          </cell>
        </row>
        <row r="2679">
          <cell r="A2679">
            <v>121044</v>
          </cell>
          <cell r="B2679" t="str">
            <v>2743810-2</v>
          </cell>
        </row>
        <row r="2680">
          <cell r="A2680">
            <v>110734</v>
          </cell>
          <cell r="B2680" t="str">
            <v>2744827-2</v>
          </cell>
        </row>
        <row r="2681">
          <cell r="A2681" t="str">
            <v>ST043156</v>
          </cell>
          <cell r="B2681" t="str">
            <v>3050129-1</v>
          </cell>
        </row>
        <row r="2682">
          <cell r="A2682">
            <v>110735</v>
          </cell>
          <cell r="B2682" t="str">
            <v>3050686-5</v>
          </cell>
        </row>
        <row r="2683">
          <cell r="A2683">
            <v>110736</v>
          </cell>
          <cell r="B2683" t="str">
            <v>3060967-1</v>
          </cell>
        </row>
        <row r="2684">
          <cell r="A2684">
            <v>110737</v>
          </cell>
          <cell r="B2684" t="str">
            <v>3091069-3</v>
          </cell>
        </row>
        <row r="2685">
          <cell r="A2685">
            <v>110738</v>
          </cell>
          <cell r="B2685" t="str">
            <v>3091621-1</v>
          </cell>
        </row>
        <row r="2686">
          <cell r="A2686">
            <v>110739</v>
          </cell>
          <cell r="B2686" t="str">
            <v>3101703-16</v>
          </cell>
        </row>
        <row r="2687">
          <cell r="A2687">
            <v>110740</v>
          </cell>
          <cell r="B2687" t="str">
            <v>3101703-17</v>
          </cell>
        </row>
        <row r="2688">
          <cell r="A2688" t="str">
            <v>ST043163</v>
          </cell>
          <cell r="B2688" t="str">
            <v>3101703-18</v>
          </cell>
        </row>
        <row r="2689">
          <cell r="A2689">
            <v>110741</v>
          </cell>
          <cell r="B2689" t="str">
            <v>3101703-19</v>
          </cell>
        </row>
        <row r="2690">
          <cell r="A2690">
            <v>110742</v>
          </cell>
          <cell r="B2690" t="str">
            <v>3101703-27</v>
          </cell>
        </row>
        <row r="2691">
          <cell r="A2691">
            <v>110743</v>
          </cell>
          <cell r="B2691" t="str">
            <v>3101703-29</v>
          </cell>
        </row>
        <row r="2692">
          <cell r="A2692">
            <v>110744</v>
          </cell>
          <cell r="B2692" t="str">
            <v>3101707-9</v>
          </cell>
        </row>
        <row r="2693">
          <cell r="A2693">
            <v>110745</v>
          </cell>
          <cell r="B2693" t="str">
            <v>3102968-1</v>
          </cell>
        </row>
        <row r="2694">
          <cell r="A2694">
            <v>121042</v>
          </cell>
          <cell r="B2694" t="str">
            <v>3237760-1</v>
          </cell>
        </row>
        <row r="2695">
          <cell r="A2695">
            <v>110746</v>
          </cell>
          <cell r="B2695" t="str">
            <v>3507487-1</v>
          </cell>
        </row>
        <row r="2696">
          <cell r="A2696">
            <v>121045</v>
          </cell>
          <cell r="B2696" t="str">
            <v>3601979-1</v>
          </cell>
        </row>
        <row r="2697">
          <cell r="A2697">
            <v>110747</v>
          </cell>
          <cell r="B2697" t="str">
            <v>3609740-1</v>
          </cell>
        </row>
        <row r="2698">
          <cell r="A2698">
            <v>110748</v>
          </cell>
          <cell r="B2698" t="str">
            <v>4-163-143-02</v>
          </cell>
        </row>
        <row r="2699">
          <cell r="A2699">
            <v>110749</v>
          </cell>
          <cell r="B2699" t="str">
            <v>582013-1</v>
          </cell>
        </row>
        <row r="2700">
          <cell r="A2700">
            <v>110750</v>
          </cell>
          <cell r="B2700" t="str">
            <v>585215-1</v>
          </cell>
        </row>
        <row r="2701">
          <cell r="A2701">
            <v>110914</v>
          </cell>
          <cell r="B2701" t="str">
            <v>320774-3</v>
          </cell>
        </row>
        <row r="2702">
          <cell r="A2702">
            <v>110918</v>
          </cell>
          <cell r="B2702" t="str">
            <v>320882-1</v>
          </cell>
        </row>
        <row r="2703">
          <cell r="A2703">
            <v>112569</v>
          </cell>
          <cell r="B2703" t="str">
            <v>7205978-1</v>
          </cell>
        </row>
        <row r="2704">
          <cell r="A2704">
            <v>112567</v>
          </cell>
          <cell r="B2704" t="str">
            <v>3182604-1</v>
          </cell>
        </row>
        <row r="2705">
          <cell r="A2705">
            <v>112586</v>
          </cell>
          <cell r="B2705" t="str">
            <v>3863510-2</v>
          </cell>
        </row>
        <row r="2706">
          <cell r="A2706" t="str">
            <v>ST043227</v>
          </cell>
          <cell r="B2706" t="str">
            <v>680078</v>
          </cell>
        </row>
        <row r="2707">
          <cell r="A2707">
            <v>110751</v>
          </cell>
          <cell r="B2707" t="str">
            <v>7206385-3</v>
          </cell>
        </row>
        <row r="2708">
          <cell r="A2708">
            <v>110752</v>
          </cell>
          <cell r="B2708" t="str">
            <v>74661</v>
          </cell>
        </row>
        <row r="2709">
          <cell r="A2709">
            <v>110753</v>
          </cell>
          <cell r="B2709" t="str">
            <v>868513-13</v>
          </cell>
        </row>
        <row r="2710">
          <cell r="A2710">
            <v>110754</v>
          </cell>
          <cell r="B2710" t="str">
            <v>893579-1</v>
          </cell>
        </row>
        <row r="2711">
          <cell r="A2711">
            <v>120223</v>
          </cell>
          <cell r="B2711" t="str">
            <v>955213-2</v>
          </cell>
        </row>
        <row r="2712">
          <cell r="A2712">
            <v>110755</v>
          </cell>
          <cell r="B2712" t="str">
            <v>S9014T56</v>
          </cell>
        </row>
        <row r="2713">
          <cell r="A2713">
            <v>110756</v>
          </cell>
          <cell r="B2713" t="str">
            <v>3610444-7</v>
          </cell>
        </row>
        <row r="2714">
          <cell r="A2714">
            <v>110757</v>
          </cell>
          <cell r="B2714" t="str">
            <v>6426863-1</v>
          </cell>
        </row>
        <row r="2715">
          <cell r="A2715">
            <v>110758</v>
          </cell>
          <cell r="B2715" t="str">
            <v>6428015-4</v>
          </cell>
        </row>
        <row r="2716">
          <cell r="A2716">
            <v>110759</v>
          </cell>
          <cell r="B2716" t="str">
            <v>6428181-1</v>
          </cell>
        </row>
        <row r="2717">
          <cell r="A2717">
            <v>110760</v>
          </cell>
          <cell r="B2717" t="str">
            <v>6430309-1</v>
          </cell>
        </row>
        <row r="2718">
          <cell r="A2718" t="str">
            <v>ST032359</v>
          </cell>
          <cell r="B2718" t="str">
            <v>90401204</v>
          </cell>
        </row>
        <row r="2719">
          <cell r="A2719" t="str">
            <v>ST032358</v>
          </cell>
          <cell r="B2719" t="str">
            <v>90400041-0001</v>
          </cell>
        </row>
        <row r="2720">
          <cell r="A2720" t="str">
            <v>ST040293</v>
          </cell>
          <cell r="B2720" t="str">
            <v>11-5878-1</v>
          </cell>
        </row>
        <row r="2721">
          <cell r="A2721" t="str">
            <v>ST040294</v>
          </cell>
          <cell r="B2721" t="str">
            <v>67040704-1KIT</v>
          </cell>
        </row>
        <row r="2722">
          <cell r="A2722">
            <v>110953</v>
          </cell>
          <cell r="B2722">
            <v>26684</v>
          </cell>
        </row>
        <row r="2723">
          <cell r="A2723">
            <v>112587</v>
          </cell>
          <cell r="B2723" t="str">
            <v>698358-1</v>
          </cell>
        </row>
        <row r="2724">
          <cell r="A2724">
            <v>110955</v>
          </cell>
          <cell r="B2724" t="str">
            <v>48332-311</v>
          </cell>
        </row>
        <row r="2725">
          <cell r="A2725">
            <v>107642</v>
          </cell>
          <cell r="B2725" t="str">
            <v>805672-1</v>
          </cell>
        </row>
        <row r="2726">
          <cell r="A2726">
            <v>107643</v>
          </cell>
          <cell r="B2726" t="str">
            <v>805795-1</v>
          </cell>
        </row>
        <row r="2727">
          <cell r="A2727">
            <v>112601</v>
          </cell>
          <cell r="B2727" t="str">
            <v>109861-904</v>
          </cell>
        </row>
        <row r="2728">
          <cell r="A2728">
            <v>112602</v>
          </cell>
          <cell r="B2728" t="str">
            <v>135233-8</v>
          </cell>
        </row>
        <row r="2729">
          <cell r="A2729">
            <v>112603</v>
          </cell>
          <cell r="B2729" t="str">
            <v>135233-9</v>
          </cell>
        </row>
        <row r="2730">
          <cell r="A2730">
            <v>112604</v>
          </cell>
          <cell r="B2730">
            <v>136569</v>
          </cell>
        </row>
        <row r="2731">
          <cell r="A2731">
            <v>112605</v>
          </cell>
          <cell r="B2731" t="str">
            <v>2663506</v>
          </cell>
        </row>
        <row r="2732">
          <cell r="A2732">
            <v>107644</v>
          </cell>
          <cell r="B2732" t="str">
            <v>3002780-10</v>
          </cell>
        </row>
        <row r="2733">
          <cell r="A2733">
            <v>107645</v>
          </cell>
          <cell r="B2733" t="str">
            <v>3002780-4</v>
          </cell>
        </row>
        <row r="2734">
          <cell r="A2734">
            <v>107646</v>
          </cell>
          <cell r="B2734" t="str">
            <v>3002780-5</v>
          </cell>
        </row>
        <row r="2735">
          <cell r="A2735">
            <v>112606</v>
          </cell>
          <cell r="B2735" t="str">
            <v>310488-49</v>
          </cell>
        </row>
        <row r="2736">
          <cell r="A2736">
            <v>112607</v>
          </cell>
          <cell r="B2736" t="str">
            <v>311400-6</v>
          </cell>
        </row>
        <row r="2737">
          <cell r="A2737">
            <v>107647</v>
          </cell>
          <cell r="B2737" t="str">
            <v>311473-4</v>
          </cell>
        </row>
        <row r="2738">
          <cell r="A2738">
            <v>107648</v>
          </cell>
          <cell r="B2738" t="str">
            <v>311548-6</v>
          </cell>
        </row>
        <row r="2739">
          <cell r="A2739">
            <v>107649</v>
          </cell>
          <cell r="B2739" t="str">
            <v>311569-10</v>
          </cell>
        </row>
        <row r="2740">
          <cell r="A2740">
            <v>107650</v>
          </cell>
          <cell r="B2740" t="str">
            <v>3165736-3</v>
          </cell>
        </row>
        <row r="2741">
          <cell r="A2741">
            <v>107651</v>
          </cell>
          <cell r="B2741" t="str">
            <v>3177070-1</v>
          </cell>
        </row>
        <row r="2742">
          <cell r="A2742">
            <v>107652</v>
          </cell>
          <cell r="B2742" t="str">
            <v>3177292-2</v>
          </cell>
        </row>
        <row r="2743">
          <cell r="A2743">
            <v>112608</v>
          </cell>
          <cell r="B2743" t="str">
            <v>3177655-3</v>
          </cell>
        </row>
        <row r="2744">
          <cell r="A2744">
            <v>112609</v>
          </cell>
          <cell r="B2744" t="str">
            <v>3177845-1</v>
          </cell>
        </row>
        <row r="2745">
          <cell r="A2745">
            <v>107653</v>
          </cell>
          <cell r="B2745" t="str">
            <v>3178297-1</v>
          </cell>
        </row>
        <row r="2746">
          <cell r="A2746">
            <v>112610</v>
          </cell>
          <cell r="B2746" t="str">
            <v>3178654-4</v>
          </cell>
        </row>
        <row r="2747">
          <cell r="A2747">
            <v>112611</v>
          </cell>
          <cell r="B2747" t="str">
            <v>3180140-1</v>
          </cell>
        </row>
        <row r="2748">
          <cell r="A2748">
            <v>112612</v>
          </cell>
          <cell r="B2748" t="str">
            <v>3180140-2</v>
          </cell>
        </row>
        <row r="2749">
          <cell r="A2749">
            <v>112613</v>
          </cell>
          <cell r="B2749" t="str">
            <v>3180140-5</v>
          </cell>
        </row>
        <row r="2750">
          <cell r="A2750">
            <v>112614</v>
          </cell>
          <cell r="B2750" t="str">
            <v>3180140-6</v>
          </cell>
        </row>
        <row r="2751">
          <cell r="A2751">
            <v>112615</v>
          </cell>
          <cell r="B2751" t="str">
            <v>3180501-3</v>
          </cell>
        </row>
        <row r="2752">
          <cell r="A2752">
            <v>112616</v>
          </cell>
          <cell r="B2752" t="str">
            <v>3180618-2</v>
          </cell>
        </row>
        <row r="2753">
          <cell r="A2753">
            <v>112617</v>
          </cell>
          <cell r="B2753" t="str">
            <v>3180618-3</v>
          </cell>
        </row>
        <row r="2754">
          <cell r="A2754">
            <v>112618</v>
          </cell>
          <cell r="B2754" t="str">
            <v>3181429-2</v>
          </cell>
        </row>
        <row r="2755">
          <cell r="A2755">
            <v>112619</v>
          </cell>
          <cell r="B2755" t="str">
            <v>3181434-1</v>
          </cell>
        </row>
        <row r="2756">
          <cell r="A2756">
            <v>107654</v>
          </cell>
          <cell r="B2756" t="str">
            <v>3183448-2</v>
          </cell>
        </row>
        <row r="2757">
          <cell r="A2757">
            <v>107655</v>
          </cell>
          <cell r="B2757" t="str">
            <v>3184354-4</v>
          </cell>
        </row>
        <row r="2758">
          <cell r="A2758">
            <v>107656</v>
          </cell>
          <cell r="B2758" t="str">
            <v>3184789-2</v>
          </cell>
        </row>
        <row r="2759">
          <cell r="A2759">
            <v>107657</v>
          </cell>
          <cell r="B2759" t="str">
            <v>3184825-1</v>
          </cell>
        </row>
        <row r="2760">
          <cell r="A2760">
            <v>112620</v>
          </cell>
          <cell r="B2760" t="str">
            <v>3185487-1</v>
          </cell>
        </row>
        <row r="2761">
          <cell r="A2761">
            <v>112621</v>
          </cell>
          <cell r="B2761" t="str">
            <v>319465-8</v>
          </cell>
        </row>
        <row r="2762">
          <cell r="A2762">
            <v>107658</v>
          </cell>
          <cell r="B2762" t="str">
            <v>319525-11</v>
          </cell>
        </row>
        <row r="2763">
          <cell r="A2763">
            <v>107659</v>
          </cell>
          <cell r="B2763" t="str">
            <v>319525-14</v>
          </cell>
        </row>
        <row r="2764">
          <cell r="A2764">
            <v>107660</v>
          </cell>
          <cell r="B2764" t="str">
            <v>319525-20</v>
          </cell>
        </row>
        <row r="2765">
          <cell r="A2765">
            <v>107661</v>
          </cell>
          <cell r="B2765" t="str">
            <v>319525-25</v>
          </cell>
        </row>
        <row r="2766">
          <cell r="A2766">
            <v>107662</v>
          </cell>
          <cell r="B2766" t="str">
            <v>319545-45</v>
          </cell>
        </row>
        <row r="2767">
          <cell r="A2767">
            <v>107663</v>
          </cell>
          <cell r="B2767" t="str">
            <v>319545-50</v>
          </cell>
        </row>
        <row r="2768">
          <cell r="A2768">
            <v>107664</v>
          </cell>
          <cell r="B2768" t="str">
            <v>319545-51</v>
          </cell>
        </row>
        <row r="2769">
          <cell r="A2769">
            <v>107665</v>
          </cell>
          <cell r="B2769" t="str">
            <v>319545-55</v>
          </cell>
        </row>
        <row r="2770">
          <cell r="A2770">
            <v>107666</v>
          </cell>
          <cell r="B2770" t="str">
            <v>319545-73</v>
          </cell>
        </row>
        <row r="2771">
          <cell r="A2771">
            <v>107667</v>
          </cell>
          <cell r="B2771" t="str">
            <v>319545-75</v>
          </cell>
        </row>
        <row r="2772">
          <cell r="A2772">
            <v>107668</v>
          </cell>
          <cell r="B2772" t="str">
            <v>319545-8</v>
          </cell>
        </row>
        <row r="2773">
          <cell r="A2773">
            <v>107669</v>
          </cell>
          <cell r="B2773" t="str">
            <v>319545-82</v>
          </cell>
        </row>
        <row r="2774">
          <cell r="A2774">
            <v>107670</v>
          </cell>
          <cell r="B2774" t="str">
            <v>319545-85</v>
          </cell>
        </row>
        <row r="2775">
          <cell r="A2775">
            <v>107671</v>
          </cell>
          <cell r="B2775" t="str">
            <v>319545-86</v>
          </cell>
        </row>
        <row r="2776">
          <cell r="A2776">
            <v>107672</v>
          </cell>
          <cell r="B2776" t="str">
            <v>319545-96</v>
          </cell>
        </row>
        <row r="2777">
          <cell r="A2777">
            <v>107673</v>
          </cell>
          <cell r="B2777" t="str">
            <v>319565-2</v>
          </cell>
        </row>
        <row r="2778">
          <cell r="A2778">
            <v>107674</v>
          </cell>
          <cell r="B2778" t="str">
            <v>319565-3</v>
          </cell>
        </row>
        <row r="2779">
          <cell r="A2779">
            <v>107675</v>
          </cell>
          <cell r="B2779" t="str">
            <v>319625-1</v>
          </cell>
        </row>
        <row r="2780">
          <cell r="A2780">
            <v>112622</v>
          </cell>
          <cell r="B2780" t="str">
            <v>319675-38</v>
          </cell>
        </row>
        <row r="2781">
          <cell r="A2781">
            <v>112623</v>
          </cell>
          <cell r="B2781" t="str">
            <v>319675-5</v>
          </cell>
        </row>
        <row r="2782">
          <cell r="A2782">
            <v>112624</v>
          </cell>
          <cell r="B2782" t="str">
            <v>319675-9</v>
          </cell>
        </row>
        <row r="2783">
          <cell r="A2783">
            <v>112625</v>
          </cell>
          <cell r="B2783" t="str">
            <v>319981-8-900</v>
          </cell>
        </row>
        <row r="2784">
          <cell r="A2784">
            <v>112626</v>
          </cell>
          <cell r="B2784" t="str">
            <v>320105-11</v>
          </cell>
        </row>
        <row r="2785">
          <cell r="A2785">
            <v>112627</v>
          </cell>
          <cell r="B2785" t="str">
            <v>320105-12</v>
          </cell>
        </row>
        <row r="2786">
          <cell r="A2786">
            <v>112628</v>
          </cell>
          <cell r="B2786" t="str">
            <v>320105-13</v>
          </cell>
        </row>
        <row r="2787">
          <cell r="A2787">
            <v>107676</v>
          </cell>
          <cell r="B2787" t="str">
            <v>320115-16</v>
          </cell>
        </row>
        <row r="2788">
          <cell r="A2788">
            <v>112629</v>
          </cell>
          <cell r="B2788" t="str">
            <v>320243-6</v>
          </cell>
        </row>
        <row r="2789">
          <cell r="A2789">
            <v>112630</v>
          </cell>
          <cell r="B2789" t="str">
            <v>320291-6</v>
          </cell>
        </row>
        <row r="2790">
          <cell r="A2790">
            <v>107677</v>
          </cell>
          <cell r="B2790" t="str">
            <v>320295-7</v>
          </cell>
        </row>
        <row r="2791">
          <cell r="A2791">
            <v>112631</v>
          </cell>
          <cell r="B2791" t="str">
            <v>320335-12</v>
          </cell>
        </row>
        <row r="2792">
          <cell r="A2792">
            <v>112632</v>
          </cell>
          <cell r="B2792" t="str">
            <v>320335-3</v>
          </cell>
        </row>
        <row r="2793">
          <cell r="A2793">
            <v>112633</v>
          </cell>
          <cell r="B2793" t="str">
            <v>320335-4</v>
          </cell>
        </row>
        <row r="2794">
          <cell r="A2794">
            <v>112634</v>
          </cell>
          <cell r="B2794" t="str">
            <v>320335-5</v>
          </cell>
        </row>
        <row r="2795">
          <cell r="A2795">
            <v>112635</v>
          </cell>
          <cell r="B2795" t="str">
            <v>320335-9</v>
          </cell>
        </row>
        <row r="2796">
          <cell r="A2796">
            <v>112636</v>
          </cell>
          <cell r="B2796" t="str">
            <v>320353-13</v>
          </cell>
        </row>
        <row r="2797">
          <cell r="A2797">
            <v>112637</v>
          </cell>
          <cell r="B2797" t="str">
            <v>320353-7</v>
          </cell>
        </row>
        <row r="2798">
          <cell r="A2798">
            <v>107678</v>
          </cell>
          <cell r="B2798" t="str">
            <v>320379-6</v>
          </cell>
        </row>
        <row r="2799">
          <cell r="A2799">
            <v>107679</v>
          </cell>
          <cell r="B2799" t="str">
            <v>320379-9</v>
          </cell>
        </row>
        <row r="2800">
          <cell r="A2800">
            <v>112638</v>
          </cell>
          <cell r="B2800" t="str">
            <v>320395-4</v>
          </cell>
        </row>
        <row r="2801">
          <cell r="A2801">
            <v>112639</v>
          </cell>
          <cell r="B2801" t="str">
            <v>320421-3</v>
          </cell>
        </row>
        <row r="2802">
          <cell r="A2802">
            <v>112640</v>
          </cell>
          <cell r="B2802" t="str">
            <v>320421-4</v>
          </cell>
        </row>
        <row r="2803">
          <cell r="A2803">
            <v>112641</v>
          </cell>
          <cell r="B2803" t="str">
            <v>320421-8</v>
          </cell>
        </row>
        <row r="2804">
          <cell r="A2804">
            <v>107680</v>
          </cell>
          <cell r="B2804" t="str">
            <v>320453-1</v>
          </cell>
        </row>
        <row r="2805">
          <cell r="A2805">
            <v>107681</v>
          </cell>
          <cell r="B2805" t="str">
            <v>320453-5</v>
          </cell>
        </row>
        <row r="2806">
          <cell r="A2806">
            <v>107682</v>
          </cell>
          <cell r="B2806" t="str">
            <v>320467-3</v>
          </cell>
        </row>
        <row r="2807">
          <cell r="A2807">
            <v>107683</v>
          </cell>
          <cell r="B2807" t="str">
            <v>320467-6</v>
          </cell>
        </row>
        <row r="2808">
          <cell r="A2808">
            <v>107684</v>
          </cell>
          <cell r="B2808" t="str">
            <v>320469-1</v>
          </cell>
        </row>
        <row r="2809">
          <cell r="A2809">
            <v>107685</v>
          </cell>
          <cell r="B2809" t="str">
            <v>320469-7</v>
          </cell>
        </row>
        <row r="2810">
          <cell r="A2810">
            <v>112642</v>
          </cell>
          <cell r="B2810" t="str">
            <v>320485-1</v>
          </cell>
        </row>
        <row r="2811">
          <cell r="A2811">
            <v>112643</v>
          </cell>
          <cell r="B2811" t="str">
            <v>320485-4</v>
          </cell>
        </row>
        <row r="2812">
          <cell r="A2812">
            <v>107686</v>
          </cell>
          <cell r="B2812" t="str">
            <v>320493-1</v>
          </cell>
        </row>
        <row r="2813">
          <cell r="A2813">
            <v>112644</v>
          </cell>
          <cell r="B2813" t="str">
            <v>320497-2</v>
          </cell>
        </row>
        <row r="2814">
          <cell r="A2814">
            <v>107687</v>
          </cell>
          <cell r="B2814" t="str">
            <v>320501-13</v>
          </cell>
        </row>
        <row r="2815">
          <cell r="A2815">
            <v>107688</v>
          </cell>
          <cell r="B2815" t="str">
            <v>320501-2</v>
          </cell>
        </row>
        <row r="2816">
          <cell r="A2816">
            <v>107689</v>
          </cell>
          <cell r="B2816" t="str">
            <v>320501-5</v>
          </cell>
        </row>
        <row r="2817">
          <cell r="A2817">
            <v>107690</v>
          </cell>
          <cell r="B2817" t="str">
            <v>320503-12</v>
          </cell>
        </row>
        <row r="2818">
          <cell r="A2818">
            <v>107691</v>
          </cell>
          <cell r="B2818" t="str">
            <v>320503-14</v>
          </cell>
        </row>
        <row r="2819">
          <cell r="A2819">
            <v>112645</v>
          </cell>
          <cell r="B2819" t="str">
            <v>320507-4</v>
          </cell>
        </row>
        <row r="2820">
          <cell r="A2820">
            <v>107692</v>
          </cell>
          <cell r="B2820" t="str">
            <v>320545-33</v>
          </cell>
        </row>
        <row r="2821">
          <cell r="A2821">
            <v>107693</v>
          </cell>
          <cell r="B2821" t="str">
            <v>320571-5</v>
          </cell>
        </row>
        <row r="2822">
          <cell r="A2822">
            <v>107694</v>
          </cell>
          <cell r="B2822" t="str">
            <v>320572-2</v>
          </cell>
        </row>
        <row r="2823">
          <cell r="A2823">
            <v>112646</v>
          </cell>
          <cell r="B2823" t="str">
            <v>320575-1</v>
          </cell>
        </row>
        <row r="2824">
          <cell r="A2824">
            <v>107695</v>
          </cell>
          <cell r="B2824" t="str">
            <v>320655-4</v>
          </cell>
        </row>
        <row r="2825">
          <cell r="A2825">
            <v>107696</v>
          </cell>
          <cell r="B2825" t="str">
            <v>320774-1</v>
          </cell>
        </row>
        <row r="2826">
          <cell r="A2826">
            <v>107697</v>
          </cell>
          <cell r="B2826" t="str">
            <v>320800-3</v>
          </cell>
        </row>
        <row r="2827">
          <cell r="A2827">
            <v>107698</v>
          </cell>
          <cell r="B2827" t="str">
            <v>320840-3</v>
          </cell>
        </row>
        <row r="2828">
          <cell r="A2828">
            <v>107699</v>
          </cell>
          <cell r="B2828" t="str">
            <v>320841-3</v>
          </cell>
        </row>
        <row r="2829">
          <cell r="A2829">
            <v>112647</v>
          </cell>
          <cell r="B2829" t="str">
            <v>320845-1</v>
          </cell>
        </row>
        <row r="2830">
          <cell r="A2830">
            <v>112648</v>
          </cell>
          <cell r="B2830" t="str">
            <v>320867-1</v>
          </cell>
        </row>
        <row r="2831">
          <cell r="A2831">
            <v>112649</v>
          </cell>
          <cell r="B2831" t="str">
            <v>3214959-910</v>
          </cell>
        </row>
        <row r="2832">
          <cell r="A2832">
            <v>112650</v>
          </cell>
          <cell r="B2832" t="str">
            <v>3215205-910</v>
          </cell>
        </row>
        <row r="2833">
          <cell r="A2833">
            <v>112651</v>
          </cell>
          <cell r="B2833" t="str">
            <v>3215619-914</v>
          </cell>
        </row>
        <row r="2834">
          <cell r="A2834">
            <v>112652</v>
          </cell>
          <cell r="B2834" t="str">
            <v>3215963-904</v>
          </cell>
        </row>
        <row r="2835">
          <cell r="A2835">
            <v>112653</v>
          </cell>
          <cell r="B2835" t="str">
            <v>3216023-901</v>
          </cell>
        </row>
        <row r="2836">
          <cell r="A2836">
            <v>112654</v>
          </cell>
          <cell r="B2836" t="str">
            <v>3224813-910</v>
          </cell>
        </row>
        <row r="2837">
          <cell r="A2837">
            <v>107700</v>
          </cell>
          <cell r="B2837" t="str">
            <v>3237220-7</v>
          </cell>
        </row>
        <row r="2838">
          <cell r="A2838">
            <v>107701</v>
          </cell>
          <cell r="B2838">
            <v>3242619</v>
          </cell>
        </row>
        <row r="2839">
          <cell r="A2839">
            <v>112655</v>
          </cell>
          <cell r="B2839" t="str">
            <v>3242684</v>
          </cell>
        </row>
        <row r="2840">
          <cell r="A2840">
            <v>107702</v>
          </cell>
          <cell r="B2840" t="str">
            <v>3244025</v>
          </cell>
        </row>
        <row r="2841">
          <cell r="A2841">
            <v>107703</v>
          </cell>
          <cell r="B2841" t="str">
            <v>3289591-904</v>
          </cell>
        </row>
        <row r="2842">
          <cell r="A2842">
            <v>107704</v>
          </cell>
          <cell r="B2842" t="str">
            <v>3289631-910</v>
          </cell>
        </row>
        <row r="2843">
          <cell r="A2843">
            <v>112656</v>
          </cell>
          <cell r="B2843" t="str">
            <v>3290889-910</v>
          </cell>
        </row>
        <row r="2844">
          <cell r="A2844">
            <v>112657</v>
          </cell>
          <cell r="B2844" t="str">
            <v>3291215-914</v>
          </cell>
        </row>
        <row r="2845">
          <cell r="A2845">
            <v>112658</v>
          </cell>
          <cell r="B2845" t="str">
            <v>3291217-910</v>
          </cell>
        </row>
        <row r="2846">
          <cell r="A2846">
            <v>112659</v>
          </cell>
          <cell r="B2846" t="str">
            <v>3291433-910</v>
          </cell>
        </row>
        <row r="2847">
          <cell r="A2847">
            <v>112660</v>
          </cell>
          <cell r="B2847" t="str">
            <v>3291523-922</v>
          </cell>
        </row>
        <row r="2848">
          <cell r="A2848">
            <v>112661</v>
          </cell>
          <cell r="B2848" t="str">
            <v>3291777-910</v>
          </cell>
        </row>
        <row r="2849">
          <cell r="A2849">
            <v>112662</v>
          </cell>
          <cell r="B2849" t="str">
            <v>367636-2</v>
          </cell>
        </row>
        <row r="2850">
          <cell r="A2850">
            <v>112663</v>
          </cell>
          <cell r="B2850" t="str">
            <v>367799-1</v>
          </cell>
        </row>
        <row r="2851">
          <cell r="A2851">
            <v>112664</v>
          </cell>
          <cell r="B2851" t="str">
            <v>3876170-1</v>
          </cell>
        </row>
        <row r="2852">
          <cell r="A2852">
            <v>107705</v>
          </cell>
          <cell r="B2852" t="str">
            <v>3883536-2</v>
          </cell>
        </row>
        <row r="2853">
          <cell r="A2853">
            <v>112665</v>
          </cell>
          <cell r="B2853" t="str">
            <v>394231-910</v>
          </cell>
        </row>
        <row r="2854">
          <cell r="A2854">
            <v>107706</v>
          </cell>
          <cell r="B2854" t="str">
            <v>399655-2</v>
          </cell>
        </row>
        <row r="2855">
          <cell r="A2855">
            <v>112666</v>
          </cell>
          <cell r="B2855" t="str">
            <v>4140284-8</v>
          </cell>
        </row>
        <row r="2856">
          <cell r="A2856">
            <v>107707</v>
          </cell>
          <cell r="B2856" t="str">
            <v>540-1839-1</v>
          </cell>
        </row>
        <row r="2857">
          <cell r="A2857">
            <v>107708</v>
          </cell>
          <cell r="B2857" t="str">
            <v>63000931-1</v>
          </cell>
        </row>
        <row r="2858">
          <cell r="A2858">
            <v>112667</v>
          </cell>
          <cell r="B2858" t="str">
            <v>63000933-2</v>
          </cell>
        </row>
        <row r="2859">
          <cell r="A2859">
            <v>107709</v>
          </cell>
          <cell r="B2859" t="str">
            <v>63001001-1</v>
          </cell>
        </row>
        <row r="2860">
          <cell r="A2860">
            <v>107710</v>
          </cell>
          <cell r="B2860" t="str">
            <v>63001094-1</v>
          </cell>
        </row>
        <row r="2861">
          <cell r="A2861">
            <v>107711</v>
          </cell>
          <cell r="B2861" t="str">
            <v>63001178-2</v>
          </cell>
        </row>
        <row r="2862">
          <cell r="A2862">
            <v>107712</v>
          </cell>
          <cell r="B2862" t="str">
            <v>63001202-1</v>
          </cell>
        </row>
        <row r="2863">
          <cell r="A2863">
            <v>112668</v>
          </cell>
          <cell r="B2863" t="str">
            <v>63001977-1</v>
          </cell>
        </row>
        <row r="2864">
          <cell r="A2864">
            <v>107713</v>
          </cell>
          <cell r="B2864" t="str">
            <v>63001978-1</v>
          </cell>
        </row>
        <row r="2865">
          <cell r="A2865">
            <v>107714</v>
          </cell>
          <cell r="B2865" t="str">
            <v>63002085-1</v>
          </cell>
        </row>
        <row r="2866">
          <cell r="A2866">
            <v>107715</v>
          </cell>
          <cell r="B2866" t="str">
            <v>63002132-1</v>
          </cell>
        </row>
        <row r="2867">
          <cell r="A2867">
            <v>107716</v>
          </cell>
          <cell r="B2867" t="str">
            <v>63002174-1</v>
          </cell>
        </row>
        <row r="2868">
          <cell r="A2868">
            <v>107717</v>
          </cell>
          <cell r="B2868" t="str">
            <v>63002458-1</v>
          </cell>
        </row>
        <row r="2869">
          <cell r="A2869">
            <v>107718</v>
          </cell>
          <cell r="B2869" t="str">
            <v>63002459-1</v>
          </cell>
        </row>
        <row r="2870">
          <cell r="A2870">
            <v>112669</v>
          </cell>
          <cell r="B2870" t="str">
            <v>63002460-1</v>
          </cell>
        </row>
        <row r="2871">
          <cell r="A2871">
            <v>107719</v>
          </cell>
          <cell r="B2871" t="str">
            <v>63002775-1</v>
          </cell>
        </row>
        <row r="2872">
          <cell r="A2872">
            <v>112670</v>
          </cell>
          <cell r="B2872" t="str">
            <v>63005397-1</v>
          </cell>
        </row>
        <row r="2873">
          <cell r="A2873">
            <v>112671</v>
          </cell>
          <cell r="B2873" t="str">
            <v>6309904</v>
          </cell>
        </row>
        <row r="2874">
          <cell r="A2874">
            <v>112672</v>
          </cell>
          <cell r="B2874">
            <v>6309905</v>
          </cell>
        </row>
        <row r="2875">
          <cell r="A2875">
            <v>112673</v>
          </cell>
          <cell r="B2875" t="str">
            <v>6309906</v>
          </cell>
        </row>
        <row r="2876">
          <cell r="A2876">
            <v>112674</v>
          </cell>
          <cell r="B2876">
            <v>6310224</v>
          </cell>
        </row>
        <row r="2877">
          <cell r="A2877">
            <v>107720</v>
          </cell>
          <cell r="B2877" t="str">
            <v>65055178-2</v>
          </cell>
        </row>
        <row r="2878">
          <cell r="A2878">
            <v>107721</v>
          </cell>
          <cell r="B2878" t="str">
            <v>662658-1</v>
          </cell>
        </row>
        <row r="2879">
          <cell r="A2879">
            <v>112675</v>
          </cell>
          <cell r="B2879" t="str">
            <v>665200-3</v>
          </cell>
        </row>
        <row r="2880">
          <cell r="A2880">
            <v>112676</v>
          </cell>
          <cell r="B2880" t="str">
            <v>7205163-1</v>
          </cell>
        </row>
        <row r="2881">
          <cell r="A2881">
            <v>107722</v>
          </cell>
          <cell r="B2881" t="str">
            <v>7205597-1</v>
          </cell>
        </row>
        <row r="2882">
          <cell r="A2882">
            <v>107723</v>
          </cell>
          <cell r="B2882" t="str">
            <v>7205640-2</v>
          </cell>
        </row>
        <row r="2883">
          <cell r="A2883">
            <v>107724</v>
          </cell>
          <cell r="B2883" t="str">
            <v>7205747-2</v>
          </cell>
        </row>
        <row r="2884">
          <cell r="A2884">
            <v>112677</v>
          </cell>
          <cell r="B2884" t="str">
            <v>7205981-1</v>
          </cell>
        </row>
        <row r="2885">
          <cell r="A2885">
            <v>107725</v>
          </cell>
          <cell r="B2885" t="str">
            <v>7205984-2</v>
          </cell>
        </row>
        <row r="2886">
          <cell r="A2886">
            <v>107726</v>
          </cell>
          <cell r="B2886" t="str">
            <v>7205984-3</v>
          </cell>
        </row>
        <row r="2887">
          <cell r="A2887">
            <v>107727</v>
          </cell>
          <cell r="B2887" t="str">
            <v>7206016-2</v>
          </cell>
        </row>
        <row r="2888">
          <cell r="A2888">
            <v>107728</v>
          </cell>
          <cell r="B2888" t="str">
            <v>7206168-1</v>
          </cell>
        </row>
        <row r="2889">
          <cell r="A2889">
            <v>107729</v>
          </cell>
          <cell r="B2889" t="str">
            <v>7206169-1</v>
          </cell>
        </row>
        <row r="2890">
          <cell r="A2890">
            <v>107730</v>
          </cell>
          <cell r="B2890" t="str">
            <v>7206370-1</v>
          </cell>
        </row>
        <row r="2891">
          <cell r="A2891">
            <v>107731</v>
          </cell>
          <cell r="B2891" t="str">
            <v>7206370-2</v>
          </cell>
        </row>
        <row r="2892">
          <cell r="A2892">
            <v>107732</v>
          </cell>
          <cell r="B2892" t="str">
            <v>7206490-1</v>
          </cell>
        </row>
        <row r="2893">
          <cell r="A2893">
            <v>107733</v>
          </cell>
          <cell r="B2893" t="str">
            <v>7206811-1</v>
          </cell>
        </row>
        <row r="2894">
          <cell r="A2894">
            <v>107734</v>
          </cell>
          <cell r="B2894" t="str">
            <v>870288-2</v>
          </cell>
        </row>
        <row r="2895">
          <cell r="A2895">
            <v>107735</v>
          </cell>
          <cell r="B2895" t="str">
            <v>95623-2</v>
          </cell>
        </row>
        <row r="2896">
          <cell r="A2896">
            <v>112678</v>
          </cell>
          <cell r="B2896" t="str">
            <v>95626-5</v>
          </cell>
        </row>
        <row r="2897">
          <cell r="A2897">
            <v>112679</v>
          </cell>
          <cell r="B2897" t="str">
            <v>95992-4</v>
          </cell>
        </row>
        <row r="2898">
          <cell r="A2898">
            <v>107736</v>
          </cell>
          <cell r="B2898" t="str">
            <v>967286-1</v>
          </cell>
        </row>
        <row r="2899">
          <cell r="A2899">
            <v>107737</v>
          </cell>
          <cell r="B2899" t="str">
            <v>979627-904</v>
          </cell>
        </row>
        <row r="2900">
          <cell r="A2900">
            <v>107738</v>
          </cell>
          <cell r="B2900" t="str">
            <v>979999-904</v>
          </cell>
        </row>
        <row r="2901">
          <cell r="A2901">
            <v>112680</v>
          </cell>
          <cell r="B2901" t="str">
            <v>98717-2</v>
          </cell>
        </row>
        <row r="2902">
          <cell r="A2902">
            <v>112681</v>
          </cell>
          <cell r="B2902" t="str">
            <v>G77C56-1</v>
          </cell>
        </row>
        <row r="2903">
          <cell r="A2903">
            <v>108882</v>
          </cell>
          <cell r="B2903" t="str">
            <v>26014219-106</v>
          </cell>
        </row>
        <row r="2904">
          <cell r="A2904" t="str">
            <v>ST043638</v>
          </cell>
          <cell r="B2904" t="str">
            <v>100-005-8809</v>
          </cell>
        </row>
        <row r="2905">
          <cell r="A2905" t="str">
            <v>ST043678</v>
          </cell>
          <cell r="B2905" t="str">
            <v>3001S018008</v>
          </cell>
        </row>
        <row r="2906">
          <cell r="A2906">
            <v>107215</v>
          </cell>
          <cell r="B2906" t="str">
            <v>3001S023010</v>
          </cell>
        </row>
        <row r="2907">
          <cell r="A2907" t="str">
            <v>ST043687</v>
          </cell>
          <cell r="B2907" t="str">
            <v>3001S019011</v>
          </cell>
        </row>
        <row r="2908">
          <cell r="A2908" t="str">
            <v>ST043680</v>
          </cell>
          <cell r="B2908" t="str">
            <v>3001S018012</v>
          </cell>
        </row>
        <row r="2909">
          <cell r="A2909" t="str">
            <v>ST043681</v>
          </cell>
          <cell r="B2909" t="str">
            <v>3001S018013</v>
          </cell>
        </row>
        <row r="2910">
          <cell r="A2910" t="str">
            <v>ST043733</v>
          </cell>
          <cell r="B2910" t="str">
            <v>3001S029014</v>
          </cell>
        </row>
        <row r="2911">
          <cell r="A2911" t="str">
            <v>ST043690</v>
          </cell>
          <cell r="B2911" t="str">
            <v>3001S019014</v>
          </cell>
        </row>
        <row r="2912">
          <cell r="A2912" t="str">
            <v>ST043691</v>
          </cell>
          <cell r="B2912" t="str">
            <v>3001S019016</v>
          </cell>
        </row>
        <row r="2913">
          <cell r="A2913" t="str">
            <v>ST043756</v>
          </cell>
          <cell r="B2913" t="str">
            <v>AOS079073-18</v>
          </cell>
        </row>
        <row r="2914">
          <cell r="A2914" t="str">
            <v>ST043699</v>
          </cell>
          <cell r="B2914" t="str">
            <v>3001S019041</v>
          </cell>
        </row>
        <row r="2915">
          <cell r="A2915" t="str">
            <v>ST043703</v>
          </cell>
          <cell r="B2915" t="str">
            <v>3001S019110</v>
          </cell>
        </row>
        <row r="2916">
          <cell r="A2916" t="str">
            <v>ST043652</v>
          </cell>
          <cell r="B2916" t="str">
            <v>100-150-8810</v>
          </cell>
        </row>
        <row r="2917">
          <cell r="A2917" t="str">
            <v>ST043730</v>
          </cell>
          <cell r="B2917" t="str">
            <v>3001S023902</v>
          </cell>
        </row>
        <row r="2918">
          <cell r="A2918" t="str">
            <v>ST043669</v>
          </cell>
          <cell r="B2918" t="str">
            <v>100-903-8810</v>
          </cell>
        </row>
        <row r="2919">
          <cell r="A2919" t="str">
            <v>ST043738</v>
          </cell>
          <cell r="B2919" t="str">
            <v>3001S029904</v>
          </cell>
        </row>
        <row r="2920">
          <cell r="A2920" t="str">
            <v>ST043726</v>
          </cell>
          <cell r="B2920" t="str">
            <v>3001S019904</v>
          </cell>
        </row>
        <row r="2921">
          <cell r="A2921" t="str">
            <v>ST043721</v>
          </cell>
          <cell r="B2921" t="str">
            <v>3001S019536</v>
          </cell>
        </row>
        <row r="2922">
          <cell r="A2922" t="str">
            <v>ST043749</v>
          </cell>
          <cell r="B2922" t="str">
            <v>555104-29</v>
          </cell>
        </row>
        <row r="2923">
          <cell r="A2923" t="str">
            <v>ST043723</v>
          </cell>
          <cell r="B2923" t="str">
            <v>3001S019641</v>
          </cell>
        </row>
        <row r="2924">
          <cell r="A2924" t="str">
            <v>ST043739</v>
          </cell>
          <cell r="B2924" t="str">
            <v>3001S050610</v>
          </cell>
        </row>
        <row r="2925">
          <cell r="A2925" t="str">
            <v>ST043744</v>
          </cell>
          <cell r="B2925" t="str">
            <v>3001S051521</v>
          </cell>
        </row>
        <row r="2926">
          <cell r="A2926" t="str">
            <v>ST043745</v>
          </cell>
          <cell r="B2926" t="str">
            <v>3001S051524</v>
          </cell>
        </row>
        <row r="2927">
          <cell r="A2927" t="str">
            <v>ST043746</v>
          </cell>
          <cell r="B2927" t="str">
            <v>3001S051760</v>
          </cell>
        </row>
        <row r="2928">
          <cell r="A2928" t="str">
            <v>ST043728</v>
          </cell>
          <cell r="B2928" t="str">
            <v>3001S023006</v>
          </cell>
        </row>
        <row r="2929">
          <cell r="A2929" t="str">
            <v>ST043685</v>
          </cell>
          <cell r="B2929" t="str">
            <v>3001S019008</v>
          </cell>
        </row>
        <row r="2930">
          <cell r="A2930" t="str">
            <v>ST043686</v>
          </cell>
          <cell r="B2930" t="str">
            <v>3001S019010</v>
          </cell>
        </row>
        <row r="2931">
          <cell r="A2931" t="str">
            <v>ST043688</v>
          </cell>
          <cell r="B2931" t="str">
            <v>3001S019012</v>
          </cell>
        </row>
        <row r="2932">
          <cell r="A2932" t="str">
            <v>ST043697</v>
          </cell>
          <cell r="B2932" t="str">
            <v>3001S019031</v>
          </cell>
        </row>
        <row r="2933">
          <cell r="A2933" t="str">
            <v>ST043700</v>
          </cell>
          <cell r="B2933" t="str">
            <v>3001S019045</v>
          </cell>
        </row>
        <row r="2934">
          <cell r="A2934" t="str">
            <v>ST043712</v>
          </cell>
          <cell r="B2934" t="str">
            <v>3001S019158</v>
          </cell>
        </row>
        <row r="2935">
          <cell r="A2935" t="str">
            <v>ST043715</v>
          </cell>
          <cell r="B2935" t="str">
            <v>3001S019162</v>
          </cell>
        </row>
        <row r="2936">
          <cell r="A2936" t="str">
            <v>ST043735</v>
          </cell>
          <cell r="B2936" t="str">
            <v>3001S029169</v>
          </cell>
        </row>
        <row r="2937">
          <cell r="A2937" t="str">
            <v>ST043637</v>
          </cell>
          <cell r="B2937" t="str">
            <v>100-004-8809</v>
          </cell>
        </row>
        <row r="2938">
          <cell r="A2938" t="str">
            <v>ST043682</v>
          </cell>
          <cell r="B2938" t="str">
            <v>3001S019002</v>
          </cell>
        </row>
        <row r="2939">
          <cell r="A2939" t="str">
            <v>ST043639</v>
          </cell>
          <cell r="B2939" t="str">
            <v>100-007-8809</v>
          </cell>
        </row>
        <row r="2940">
          <cell r="A2940" t="str">
            <v>ST043683</v>
          </cell>
          <cell r="B2940" t="str">
            <v>3001S019004</v>
          </cell>
        </row>
        <row r="2941">
          <cell r="A2941" t="str">
            <v>ST043677</v>
          </cell>
          <cell r="B2941" t="str">
            <v>3001S018006</v>
          </cell>
        </row>
        <row r="2942">
          <cell r="A2942" t="str">
            <v>ST043684</v>
          </cell>
          <cell r="B2942" t="str">
            <v>3001S019006</v>
          </cell>
        </row>
        <row r="2943">
          <cell r="A2943" t="str">
            <v>ST043732</v>
          </cell>
          <cell r="B2943" t="str">
            <v>3001S029010</v>
          </cell>
        </row>
        <row r="2944">
          <cell r="A2944">
            <v>107207</v>
          </cell>
          <cell r="B2944" t="str">
            <v>100-012-8819</v>
          </cell>
        </row>
        <row r="2945">
          <cell r="A2945" t="str">
            <v>ST043645</v>
          </cell>
          <cell r="B2945" t="str">
            <v>100-014-8815</v>
          </cell>
        </row>
        <row r="2946">
          <cell r="A2946" t="str">
            <v>ST043651</v>
          </cell>
          <cell r="B2946" t="str">
            <v>100-138-8810</v>
          </cell>
        </row>
        <row r="2947">
          <cell r="A2947" t="str">
            <v>ST043689</v>
          </cell>
          <cell r="B2947" t="str">
            <v>3001S019013</v>
          </cell>
        </row>
        <row r="2948">
          <cell r="A2948" t="str">
            <v>ST043667</v>
          </cell>
          <cell r="B2948" t="str">
            <v>100-606-8809</v>
          </cell>
        </row>
        <row r="2949">
          <cell r="A2949" t="str">
            <v>ST043693</v>
          </cell>
          <cell r="B2949" t="str">
            <v>3001S019020</v>
          </cell>
        </row>
        <row r="2950">
          <cell r="A2950">
            <v>107210</v>
          </cell>
          <cell r="B2950" t="str">
            <v>1037D743</v>
          </cell>
        </row>
        <row r="2951">
          <cell r="A2951" t="str">
            <v>ST043698</v>
          </cell>
          <cell r="B2951" t="str">
            <v>3001S019032</v>
          </cell>
        </row>
        <row r="2952">
          <cell r="A2952" t="str">
            <v>ST043647</v>
          </cell>
          <cell r="B2952" t="str">
            <v>100-038-8815</v>
          </cell>
        </row>
        <row r="2953">
          <cell r="A2953" t="str">
            <v>ST043702</v>
          </cell>
          <cell r="B2953" t="str">
            <v>3001S019107</v>
          </cell>
        </row>
        <row r="2954">
          <cell r="A2954" t="str">
            <v>ST043704</v>
          </cell>
          <cell r="B2954" t="str">
            <v>3001S019111</v>
          </cell>
        </row>
        <row r="2955">
          <cell r="A2955" t="str">
            <v>ST043649</v>
          </cell>
          <cell r="B2955" t="str">
            <v>100-112-8809</v>
          </cell>
        </row>
        <row r="2956">
          <cell r="A2956" t="str">
            <v>ST043705</v>
          </cell>
          <cell r="B2956" t="str">
            <v>3001S019112</v>
          </cell>
        </row>
        <row r="2957">
          <cell r="A2957" t="str">
            <v>ST043650</v>
          </cell>
          <cell r="B2957" t="str">
            <v>100-112-8810</v>
          </cell>
        </row>
        <row r="2958">
          <cell r="A2958" t="str">
            <v>ST043734</v>
          </cell>
          <cell r="B2958" t="str">
            <v>3001S029113</v>
          </cell>
        </row>
        <row r="2959">
          <cell r="A2959" t="str">
            <v>ST043692</v>
          </cell>
          <cell r="B2959" t="str">
            <v>3001S019019</v>
          </cell>
        </row>
        <row r="2960">
          <cell r="A2960" t="str">
            <v>ST043707</v>
          </cell>
          <cell r="B2960" t="str">
            <v>3001S019123</v>
          </cell>
        </row>
        <row r="2961">
          <cell r="A2961" t="str">
            <v>ST043709</v>
          </cell>
          <cell r="B2961" t="str">
            <v>3001S019144</v>
          </cell>
        </row>
        <row r="2962">
          <cell r="A2962" t="str">
            <v>ST043710</v>
          </cell>
          <cell r="B2962" t="str">
            <v>3001S019145</v>
          </cell>
        </row>
        <row r="2963">
          <cell r="A2963" t="str">
            <v>ST043654</v>
          </cell>
          <cell r="B2963" t="str">
            <v>100-155-8810</v>
          </cell>
        </row>
        <row r="2964">
          <cell r="A2964" t="str">
            <v>ST043701</v>
          </cell>
          <cell r="B2964" t="str">
            <v>3001S019103</v>
          </cell>
        </row>
        <row r="2965">
          <cell r="A2965" t="str">
            <v>ST043711</v>
          </cell>
          <cell r="B2965" t="str">
            <v>3001S019156</v>
          </cell>
        </row>
        <row r="2966">
          <cell r="A2966" t="str">
            <v>ST043655</v>
          </cell>
          <cell r="B2966" t="str">
            <v>100-158-8810</v>
          </cell>
        </row>
        <row r="2967">
          <cell r="A2967" t="str">
            <v>ST043713</v>
          </cell>
          <cell r="B2967" t="str">
            <v>3001S019159</v>
          </cell>
        </row>
        <row r="2968">
          <cell r="A2968" t="str">
            <v>ST043714</v>
          </cell>
          <cell r="B2968" t="str">
            <v>3001S019160</v>
          </cell>
        </row>
        <row r="2969">
          <cell r="A2969" t="str">
            <v>ST043706</v>
          </cell>
          <cell r="B2969" t="str">
            <v>3001S019120</v>
          </cell>
        </row>
        <row r="2970">
          <cell r="A2970" t="str">
            <v>ST043737</v>
          </cell>
          <cell r="B2970" t="str">
            <v>3001S029174</v>
          </cell>
        </row>
        <row r="2971">
          <cell r="A2971" t="str">
            <v>ST043656</v>
          </cell>
          <cell r="B2971" t="str">
            <v>100-210-8808</v>
          </cell>
        </row>
        <row r="2972">
          <cell r="A2972" t="str">
            <v>ST043716</v>
          </cell>
          <cell r="B2972" t="str">
            <v>3001S019225</v>
          </cell>
        </row>
        <row r="2973">
          <cell r="A2973" t="str">
            <v>ST043658</v>
          </cell>
          <cell r="B2973" t="str">
            <v>100-236-8810</v>
          </cell>
        </row>
        <row r="2974">
          <cell r="A2974" t="str">
            <v>ST043659</v>
          </cell>
          <cell r="B2974" t="str">
            <v>100-265-8810</v>
          </cell>
        </row>
        <row r="2975">
          <cell r="A2975" t="str">
            <v>ST043668</v>
          </cell>
          <cell r="B2975" t="str">
            <v>100-902-8815</v>
          </cell>
        </row>
        <row r="2976">
          <cell r="A2976">
            <v>107218</v>
          </cell>
          <cell r="B2976" t="str">
            <v>6224C023</v>
          </cell>
        </row>
        <row r="2977">
          <cell r="A2977" t="str">
            <v>ST043731</v>
          </cell>
          <cell r="B2977" t="str">
            <v>3001S023906</v>
          </cell>
        </row>
        <row r="2978">
          <cell r="A2978" t="str">
            <v>ST043727</v>
          </cell>
          <cell r="B2978" t="str">
            <v>3001S019905</v>
          </cell>
        </row>
        <row r="2979">
          <cell r="A2979" t="str">
            <v>ST043751</v>
          </cell>
          <cell r="B2979" t="str">
            <v>A223732</v>
          </cell>
        </row>
        <row r="2980">
          <cell r="A2980">
            <v>107219</v>
          </cell>
          <cell r="B2980" t="str">
            <v>AOS010073-14</v>
          </cell>
        </row>
        <row r="2981">
          <cell r="A2981" t="str">
            <v>ST043662</v>
          </cell>
          <cell r="B2981" t="str">
            <v>100-534-8810</v>
          </cell>
        </row>
        <row r="2982">
          <cell r="A2982" t="str">
            <v>ST043664</v>
          </cell>
          <cell r="B2982" t="str">
            <v>100-542-8810</v>
          </cell>
        </row>
        <row r="2983">
          <cell r="A2983" t="str">
            <v>ST043648</v>
          </cell>
          <cell r="B2983" t="str">
            <v>100-048-8810</v>
          </cell>
        </row>
        <row r="2984">
          <cell r="A2984">
            <v>107221</v>
          </cell>
          <cell r="B2984" t="str">
            <v>AOS042073-14</v>
          </cell>
        </row>
        <row r="2985">
          <cell r="A2985" t="str">
            <v>ST043665</v>
          </cell>
          <cell r="B2985" t="str">
            <v>100-553-8810</v>
          </cell>
        </row>
        <row r="2986">
          <cell r="A2986" t="str">
            <v>ST043666</v>
          </cell>
          <cell r="B2986" t="str">
            <v>100-556-8815</v>
          </cell>
        </row>
        <row r="2987">
          <cell r="A2987" t="str">
            <v>ST043740</v>
          </cell>
          <cell r="B2987" t="str">
            <v>3001S050619</v>
          </cell>
        </row>
        <row r="2988">
          <cell r="A2988" t="str">
            <v>ST043741</v>
          </cell>
          <cell r="B2988" t="str">
            <v>3001S050623</v>
          </cell>
        </row>
        <row r="2989">
          <cell r="A2989">
            <v>107222</v>
          </cell>
          <cell r="B2989" t="str">
            <v>AOS060073-14</v>
          </cell>
        </row>
        <row r="2990">
          <cell r="A2990" t="str">
            <v>ST043742</v>
          </cell>
          <cell r="B2990" t="str">
            <v>3001S051513</v>
          </cell>
        </row>
        <row r="2991">
          <cell r="A2991" t="str">
            <v>ST043743</v>
          </cell>
          <cell r="B2991" t="str">
            <v>3001S051515</v>
          </cell>
        </row>
        <row r="2992">
          <cell r="A2992">
            <v>107216</v>
          </cell>
          <cell r="B2992" t="str">
            <v>3009W279</v>
          </cell>
        </row>
        <row r="2993">
          <cell r="A2993" t="str">
            <v>ST043640</v>
          </cell>
          <cell r="B2993" t="str">
            <v>100-009-8809</v>
          </cell>
        </row>
        <row r="2994">
          <cell r="A2994" t="str">
            <v>ST043641</v>
          </cell>
          <cell r="B2994" t="str">
            <v>100-010-8810</v>
          </cell>
        </row>
        <row r="2995">
          <cell r="A2995" t="str">
            <v>ST043642</v>
          </cell>
          <cell r="B2995" t="str">
            <v>100-010-8815</v>
          </cell>
        </row>
        <row r="2996">
          <cell r="A2996">
            <v>107206</v>
          </cell>
          <cell r="B2996" t="str">
            <v>100-011-8815</v>
          </cell>
        </row>
        <row r="2997">
          <cell r="A2997" t="str">
            <v>ST043653</v>
          </cell>
          <cell r="B2997" t="str">
            <v>100-155-8808</v>
          </cell>
        </row>
        <row r="2998">
          <cell r="A2998" t="str">
            <v>ST043657</v>
          </cell>
          <cell r="B2998" t="str">
            <v>100-214-8810</v>
          </cell>
        </row>
        <row r="2999">
          <cell r="A2999" t="str">
            <v>ST043660</v>
          </cell>
          <cell r="B2999" t="str">
            <v>100-439-8815</v>
          </cell>
        </row>
        <row r="3000">
          <cell r="A3000" t="str">
            <v>ST043661</v>
          </cell>
          <cell r="B3000" t="str">
            <v>100-441-8815</v>
          </cell>
        </row>
        <row r="3001">
          <cell r="A3001" t="str">
            <v>ST043663</v>
          </cell>
          <cell r="B3001" t="str">
            <v>100-538-8808</v>
          </cell>
        </row>
        <row r="3002">
          <cell r="A3002" t="str">
            <v>ST043646</v>
          </cell>
          <cell r="B3002" t="str">
            <v>100-016-8809</v>
          </cell>
        </row>
        <row r="3003">
          <cell r="A3003" t="str">
            <v>ST043670</v>
          </cell>
          <cell r="B3003" t="str">
            <v>100-904-8810</v>
          </cell>
        </row>
        <row r="3004">
          <cell r="A3004">
            <v>107208</v>
          </cell>
          <cell r="B3004" t="str">
            <v>102-521-8810</v>
          </cell>
        </row>
        <row r="3005">
          <cell r="A3005">
            <v>107209</v>
          </cell>
          <cell r="B3005" t="str">
            <v>1037D153</v>
          </cell>
        </row>
        <row r="3006">
          <cell r="A3006">
            <v>107211</v>
          </cell>
          <cell r="B3006" t="str">
            <v>1088D124</v>
          </cell>
        </row>
        <row r="3007">
          <cell r="A3007">
            <v>107212</v>
          </cell>
          <cell r="B3007" t="str">
            <v>2515W774</v>
          </cell>
        </row>
        <row r="3008">
          <cell r="A3008" t="str">
            <v>ST043679</v>
          </cell>
          <cell r="B3008" t="str">
            <v>3001S018010</v>
          </cell>
        </row>
        <row r="3009">
          <cell r="A3009">
            <v>107213</v>
          </cell>
          <cell r="B3009" t="str">
            <v>3001S019021</v>
          </cell>
        </row>
        <row r="3010">
          <cell r="A3010" t="str">
            <v>ST043695</v>
          </cell>
          <cell r="B3010" t="str">
            <v>3001S019024</v>
          </cell>
        </row>
        <row r="3011">
          <cell r="A3011" t="str">
            <v>ST043696</v>
          </cell>
          <cell r="B3011" t="str">
            <v>3001S019028</v>
          </cell>
        </row>
        <row r="3012">
          <cell r="A3012" t="str">
            <v>ST043708</v>
          </cell>
          <cell r="B3012" t="str">
            <v>3001S019137</v>
          </cell>
        </row>
        <row r="3013">
          <cell r="A3013" t="str">
            <v>ST043717</v>
          </cell>
          <cell r="B3013" t="str">
            <v>3001S019232</v>
          </cell>
        </row>
        <row r="3014">
          <cell r="A3014" t="str">
            <v>ST043718</v>
          </cell>
          <cell r="B3014" t="str">
            <v>3001S019233</v>
          </cell>
        </row>
        <row r="3015">
          <cell r="A3015">
            <v>107214</v>
          </cell>
          <cell r="B3015" t="str">
            <v>3001S019267</v>
          </cell>
        </row>
        <row r="3016">
          <cell r="A3016" t="str">
            <v>ST043720</v>
          </cell>
          <cell r="B3016" t="str">
            <v>3001S019532</v>
          </cell>
        </row>
        <row r="3017">
          <cell r="A3017" t="str">
            <v>ST043722</v>
          </cell>
          <cell r="B3017" t="str">
            <v>3001S019546</v>
          </cell>
        </row>
        <row r="3018">
          <cell r="A3018" t="str">
            <v>ST043724</v>
          </cell>
          <cell r="B3018" t="str">
            <v>3001S019806</v>
          </cell>
        </row>
        <row r="3019">
          <cell r="A3019" t="str">
            <v>ST043725</v>
          </cell>
          <cell r="B3019" t="str">
            <v>3001S019903</v>
          </cell>
        </row>
        <row r="3020">
          <cell r="A3020" t="str">
            <v>ST043736</v>
          </cell>
          <cell r="B3020" t="str">
            <v>3001S029171</v>
          </cell>
        </row>
        <row r="3021">
          <cell r="A3021" t="str">
            <v>ST043671</v>
          </cell>
          <cell r="B3021" t="str">
            <v>100-907-8810</v>
          </cell>
        </row>
        <row r="3022">
          <cell r="A3022">
            <v>107217</v>
          </cell>
          <cell r="B3022" t="str">
            <v>3479W027</v>
          </cell>
        </row>
        <row r="3023">
          <cell r="A3023">
            <v>107220</v>
          </cell>
          <cell r="B3023" t="str">
            <v>AOS014073-11</v>
          </cell>
        </row>
        <row r="3024">
          <cell r="A3024" t="str">
            <v>ST043757</v>
          </cell>
          <cell r="B3024" t="str">
            <v>GD3008C6</v>
          </cell>
        </row>
        <row r="3025">
          <cell r="A3025" t="str">
            <v>ST043758</v>
          </cell>
          <cell r="B3025" t="str">
            <v>MOS029025-01</v>
          </cell>
        </row>
        <row r="3026">
          <cell r="A3026" t="str">
            <v>ST043759</v>
          </cell>
          <cell r="B3026" t="str">
            <v>S8057A121NA</v>
          </cell>
        </row>
        <row r="3027">
          <cell r="A3027">
            <v>107144</v>
          </cell>
          <cell r="B3027" t="str">
            <v>019-02281-0000</v>
          </cell>
        </row>
        <row r="3028">
          <cell r="A3028">
            <v>107145</v>
          </cell>
          <cell r="B3028" t="str">
            <v>019-02281-0000</v>
          </cell>
        </row>
        <row r="3029">
          <cell r="A3029">
            <v>107146</v>
          </cell>
          <cell r="B3029" t="str">
            <v>019-03105-0000</v>
          </cell>
        </row>
        <row r="3030">
          <cell r="A3030">
            <v>107147</v>
          </cell>
          <cell r="B3030" t="str">
            <v>019-03341-0000</v>
          </cell>
        </row>
        <row r="3031">
          <cell r="A3031">
            <v>107148</v>
          </cell>
          <cell r="B3031" t="str">
            <v>019-05084-0000</v>
          </cell>
        </row>
        <row r="3032">
          <cell r="A3032">
            <v>107149</v>
          </cell>
          <cell r="B3032" t="str">
            <v>019-05084-0000</v>
          </cell>
        </row>
        <row r="3033">
          <cell r="A3033">
            <v>107150</v>
          </cell>
          <cell r="B3033" t="str">
            <v>019-06019-0000</v>
          </cell>
        </row>
        <row r="3034">
          <cell r="A3034">
            <v>107151</v>
          </cell>
          <cell r="B3034" t="str">
            <v>019-06134-0000</v>
          </cell>
        </row>
        <row r="3035">
          <cell r="A3035">
            <v>107152</v>
          </cell>
          <cell r="B3035" t="str">
            <v>019-07072-0000</v>
          </cell>
        </row>
        <row r="3036">
          <cell r="A3036">
            <v>107153</v>
          </cell>
          <cell r="B3036" t="str">
            <v>019-07080-0000</v>
          </cell>
        </row>
        <row r="3037">
          <cell r="A3037">
            <v>107154</v>
          </cell>
          <cell r="B3037" t="str">
            <v>019-07090-0000</v>
          </cell>
        </row>
        <row r="3038">
          <cell r="A3038">
            <v>107155</v>
          </cell>
          <cell r="B3038" t="str">
            <v>019-07090-0000</v>
          </cell>
        </row>
        <row r="3039">
          <cell r="A3039">
            <v>107156</v>
          </cell>
          <cell r="B3039" t="str">
            <v>019-07090-0000</v>
          </cell>
        </row>
        <row r="3040">
          <cell r="A3040">
            <v>107157</v>
          </cell>
          <cell r="B3040" t="str">
            <v>019-07090-0000</v>
          </cell>
        </row>
        <row r="3041">
          <cell r="A3041">
            <v>107158</v>
          </cell>
          <cell r="B3041" t="str">
            <v>019-07102-0000</v>
          </cell>
        </row>
        <row r="3042">
          <cell r="A3042">
            <v>107159</v>
          </cell>
          <cell r="B3042" t="str">
            <v>019-07277-0001</v>
          </cell>
        </row>
        <row r="3043">
          <cell r="A3043">
            <v>108534</v>
          </cell>
          <cell r="B3043" t="str">
            <v>ABS/M/076</v>
          </cell>
        </row>
        <row r="3044">
          <cell r="A3044" t="str">
            <v>ST043926</v>
          </cell>
          <cell r="B3044" t="str">
            <v>1072001-041A00</v>
          </cell>
        </row>
        <row r="3045">
          <cell r="A3045">
            <v>107223</v>
          </cell>
          <cell r="B3045" t="str">
            <v>3001S018029</v>
          </cell>
        </row>
        <row r="3046">
          <cell r="A3046">
            <v>112530</v>
          </cell>
          <cell r="B3046" t="str">
            <v>146070-1</v>
          </cell>
        </row>
        <row r="3047">
          <cell r="A3047">
            <v>108535</v>
          </cell>
          <cell r="B3047" t="str">
            <v>3888262-1</v>
          </cell>
        </row>
        <row r="3048">
          <cell r="A3048">
            <v>107224</v>
          </cell>
          <cell r="B3048" t="str">
            <v>3037109-111</v>
          </cell>
        </row>
        <row r="3049">
          <cell r="A3049">
            <v>107225</v>
          </cell>
          <cell r="B3049" t="str">
            <v>3060295-915</v>
          </cell>
        </row>
        <row r="3050">
          <cell r="A3050">
            <v>107226</v>
          </cell>
          <cell r="B3050" t="str">
            <v>3060662-935</v>
          </cell>
        </row>
        <row r="3051">
          <cell r="A3051">
            <v>107227</v>
          </cell>
          <cell r="B3051" t="str">
            <v>3071770-901</v>
          </cell>
        </row>
        <row r="3052">
          <cell r="A3052">
            <v>107228</v>
          </cell>
          <cell r="B3052" t="str">
            <v>3617132-113</v>
          </cell>
        </row>
        <row r="3053">
          <cell r="A3053">
            <v>107229</v>
          </cell>
          <cell r="B3053" t="str">
            <v>3826919-112</v>
          </cell>
        </row>
        <row r="3054">
          <cell r="A3054">
            <v>107230</v>
          </cell>
          <cell r="B3054" t="str">
            <v>3844053-935</v>
          </cell>
        </row>
        <row r="3055">
          <cell r="A3055">
            <v>107231</v>
          </cell>
          <cell r="B3055" t="str">
            <v>3900311-111</v>
          </cell>
        </row>
        <row r="3056">
          <cell r="A3056">
            <v>107232</v>
          </cell>
          <cell r="B3056" t="str">
            <v>3900312-111</v>
          </cell>
        </row>
        <row r="3057">
          <cell r="A3057">
            <v>108536</v>
          </cell>
          <cell r="B3057" t="str">
            <v>67040646-8</v>
          </cell>
        </row>
        <row r="3058">
          <cell r="A3058">
            <v>108537</v>
          </cell>
          <cell r="B3058" t="str">
            <v>67040772-6</v>
          </cell>
        </row>
        <row r="3059">
          <cell r="A3059">
            <v>107233</v>
          </cell>
          <cell r="B3059" t="str">
            <v>WB3827295-1</v>
          </cell>
        </row>
        <row r="3060">
          <cell r="A3060">
            <v>107234</v>
          </cell>
          <cell r="B3060" t="str">
            <v>WB3827296-1</v>
          </cell>
        </row>
        <row r="3061">
          <cell r="A3061">
            <v>107235</v>
          </cell>
          <cell r="B3061" t="str">
            <v>WB3827368-2</v>
          </cell>
        </row>
        <row r="3062">
          <cell r="A3062">
            <v>107160</v>
          </cell>
          <cell r="B3062" t="str">
            <v>2-063-158-02</v>
          </cell>
        </row>
        <row r="3063">
          <cell r="A3063">
            <v>107161</v>
          </cell>
          <cell r="B3063" t="str">
            <v>2-063-161-02</v>
          </cell>
        </row>
        <row r="3064">
          <cell r="A3064">
            <v>107162</v>
          </cell>
          <cell r="B3064" t="str">
            <v>3034038-2</v>
          </cell>
        </row>
        <row r="3065">
          <cell r="A3065">
            <v>107163</v>
          </cell>
          <cell r="B3065" t="str">
            <v>3037098-1</v>
          </cell>
        </row>
        <row r="3066">
          <cell r="A3066">
            <v>107164</v>
          </cell>
          <cell r="B3066" t="str">
            <v>3038013-6</v>
          </cell>
        </row>
        <row r="3067">
          <cell r="A3067">
            <v>107165</v>
          </cell>
          <cell r="B3067" t="str">
            <v>3038095-3</v>
          </cell>
        </row>
        <row r="3068">
          <cell r="A3068">
            <v>107166</v>
          </cell>
          <cell r="B3068" t="str">
            <v>3060534-937</v>
          </cell>
        </row>
        <row r="3069">
          <cell r="A3069">
            <v>107167</v>
          </cell>
          <cell r="B3069" t="str">
            <v>3060534-991</v>
          </cell>
        </row>
        <row r="3070">
          <cell r="A3070">
            <v>107168</v>
          </cell>
          <cell r="B3070" t="str">
            <v>3060584-1</v>
          </cell>
        </row>
        <row r="3071">
          <cell r="A3071">
            <v>107169</v>
          </cell>
          <cell r="B3071" t="str">
            <v>3060694-951</v>
          </cell>
        </row>
        <row r="3072">
          <cell r="A3072">
            <v>107170</v>
          </cell>
          <cell r="B3072" t="str">
            <v>3072464-6</v>
          </cell>
        </row>
        <row r="3073">
          <cell r="A3073">
            <v>107171</v>
          </cell>
          <cell r="B3073" t="str">
            <v>3184904-1</v>
          </cell>
        </row>
        <row r="3074">
          <cell r="A3074">
            <v>107172</v>
          </cell>
          <cell r="B3074" t="str">
            <v>3822413-1</v>
          </cell>
        </row>
        <row r="3075">
          <cell r="A3075">
            <v>107173</v>
          </cell>
          <cell r="B3075" t="str">
            <v>3827265-8</v>
          </cell>
        </row>
        <row r="3076">
          <cell r="A3076">
            <v>107174</v>
          </cell>
          <cell r="B3076" t="str">
            <v>3827505-2</v>
          </cell>
        </row>
        <row r="3077">
          <cell r="A3077">
            <v>107175</v>
          </cell>
          <cell r="B3077" t="str">
            <v>3830462-947</v>
          </cell>
        </row>
        <row r="3078">
          <cell r="A3078">
            <v>107176</v>
          </cell>
          <cell r="B3078" t="str">
            <v>3842154-1</v>
          </cell>
        </row>
        <row r="3079">
          <cell r="A3079">
            <v>107177</v>
          </cell>
          <cell r="B3079" t="str">
            <v>3842162-910</v>
          </cell>
        </row>
        <row r="3080">
          <cell r="A3080">
            <v>107178</v>
          </cell>
          <cell r="B3080" t="str">
            <v>3844058-1</v>
          </cell>
        </row>
        <row r="3081">
          <cell r="A3081">
            <v>107179</v>
          </cell>
          <cell r="B3081" t="str">
            <v>3844332-919</v>
          </cell>
        </row>
        <row r="3082">
          <cell r="A3082">
            <v>107180</v>
          </cell>
          <cell r="B3082" t="str">
            <v>3844332-923</v>
          </cell>
        </row>
        <row r="3083">
          <cell r="A3083">
            <v>107181</v>
          </cell>
          <cell r="B3083" t="str">
            <v>3844907-1</v>
          </cell>
        </row>
        <row r="3084">
          <cell r="A3084">
            <v>107182</v>
          </cell>
          <cell r="B3084" t="str">
            <v>3870175-1</v>
          </cell>
        </row>
        <row r="3085">
          <cell r="A3085">
            <v>107183</v>
          </cell>
          <cell r="B3085" t="str">
            <v>3870183-1</v>
          </cell>
        </row>
        <row r="3086">
          <cell r="A3086">
            <v>107184</v>
          </cell>
          <cell r="B3086" t="str">
            <v>4-081-130-15</v>
          </cell>
        </row>
        <row r="3087">
          <cell r="A3087">
            <v>107185</v>
          </cell>
          <cell r="B3087" t="str">
            <v>4-081-286-04</v>
          </cell>
        </row>
        <row r="3088">
          <cell r="A3088">
            <v>107186</v>
          </cell>
          <cell r="B3088" t="str">
            <v>4-101-154-05</v>
          </cell>
        </row>
        <row r="3089">
          <cell r="A3089">
            <v>107187</v>
          </cell>
          <cell r="B3089" t="str">
            <v>4-101-430-09</v>
          </cell>
        </row>
        <row r="3090">
          <cell r="A3090">
            <v>107188</v>
          </cell>
          <cell r="B3090" t="str">
            <v>4-141-140-18</v>
          </cell>
        </row>
        <row r="3091">
          <cell r="A3091">
            <v>107189</v>
          </cell>
          <cell r="B3091" t="str">
            <v>4009406</v>
          </cell>
        </row>
        <row r="3092">
          <cell r="A3092">
            <v>107190</v>
          </cell>
          <cell r="B3092" t="str">
            <v>63003625-1</v>
          </cell>
        </row>
        <row r="3093">
          <cell r="A3093">
            <v>107236</v>
          </cell>
          <cell r="B3093" t="str">
            <v>GA453-0011-1</v>
          </cell>
        </row>
        <row r="3094">
          <cell r="A3094">
            <v>107191</v>
          </cell>
          <cell r="B3094" t="str">
            <v>70720031-1</v>
          </cell>
        </row>
        <row r="3095">
          <cell r="A3095">
            <v>107192</v>
          </cell>
          <cell r="B3095" t="str">
            <v>70720187-2</v>
          </cell>
        </row>
        <row r="3096">
          <cell r="A3096">
            <v>107193</v>
          </cell>
          <cell r="B3096" t="str">
            <v>70720261-1</v>
          </cell>
        </row>
        <row r="3097">
          <cell r="A3097">
            <v>107194</v>
          </cell>
          <cell r="B3097" t="str">
            <v>70720262-2</v>
          </cell>
        </row>
        <row r="3098">
          <cell r="A3098">
            <v>107195</v>
          </cell>
          <cell r="B3098" t="str">
            <v>70722031-1</v>
          </cell>
        </row>
        <row r="3099">
          <cell r="A3099">
            <v>107196</v>
          </cell>
          <cell r="B3099" t="str">
            <v>70722031-2</v>
          </cell>
        </row>
        <row r="3100">
          <cell r="A3100">
            <v>107237</v>
          </cell>
          <cell r="B3100" t="str">
            <v>GA453-0011-3</v>
          </cell>
        </row>
        <row r="3101">
          <cell r="A3101">
            <v>107197</v>
          </cell>
          <cell r="B3101" t="str">
            <v>WB3827624-1</v>
          </cell>
        </row>
        <row r="3102">
          <cell r="A3102">
            <v>110956</v>
          </cell>
          <cell r="B3102" t="str">
            <v>3179311-1</v>
          </cell>
        </row>
        <row r="3103">
          <cell r="A3103">
            <v>110957</v>
          </cell>
          <cell r="B3103" t="str">
            <v>319465-2</v>
          </cell>
        </row>
        <row r="3104">
          <cell r="A3104">
            <v>110958</v>
          </cell>
          <cell r="B3104" t="str">
            <v>320291-3</v>
          </cell>
        </row>
        <row r="3105">
          <cell r="A3105">
            <v>110959</v>
          </cell>
          <cell r="B3105" t="str">
            <v>320337-2</v>
          </cell>
        </row>
        <row r="3106">
          <cell r="A3106">
            <v>107739</v>
          </cell>
          <cell r="B3106" t="str">
            <v>320467-5</v>
          </cell>
        </row>
        <row r="3107">
          <cell r="A3107">
            <v>107740</v>
          </cell>
          <cell r="B3107" t="str">
            <v>320467-7</v>
          </cell>
        </row>
        <row r="3108">
          <cell r="A3108">
            <v>107741</v>
          </cell>
          <cell r="B3108" t="str">
            <v>320808-1</v>
          </cell>
        </row>
        <row r="3109">
          <cell r="A3109">
            <v>107742</v>
          </cell>
          <cell r="B3109" t="str">
            <v>320883-1</v>
          </cell>
        </row>
        <row r="3110">
          <cell r="A3110">
            <v>107743</v>
          </cell>
          <cell r="B3110" t="str">
            <v>399551-1</v>
          </cell>
        </row>
        <row r="3111">
          <cell r="A3111">
            <v>107744</v>
          </cell>
          <cell r="B3111" t="str">
            <v>399571-5</v>
          </cell>
        </row>
        <row r="3112">
          <cell r="A3112">
            <v>107745</v>
          </cell>
          <cell r="B3112" t="str">
            <v>540-1817-1</v>
          </cell>
        </row>
        <row r="3113">
          <cell r="A3113">
            <v>107263</v>
          </cell>
          <cell r="B3113" t="str">
            <v>67220648-2</v>
          </cell>
        </row>
        <row r="3114">
          <cell r="A3114">
            <v>107264</v>
          </cell>
          <cell r="B3114" t="str">
            <v>67220648-3</v>
          </cell>
        </row>
        <row r="3115">
          <cell r="A3115">
            <v>107265</v>
          </cell>
          <cell r="B3115" t="str">
            <v>67220648-4</v>
          </cell>
        </row>
        <row r="3116">
          <cell r="A3116">
            <v>107243</v>
          </cell>
          <cell r="B3116" t="str">
            <v>3035096-3</v>
          </cell>
        </row>
        <row r="3117">
          <cell r="A3117">
            <v>107242</v>
          </cell>
          <cell r="B3117" t="str">
            <v>3035095-2</v>
          </cell>
        </row>
        <row r="3118">
          <cell r="A3118">
            <v>107244</v>
          </cell>
          <cell r="B3118" t="str">
            <v>3035097-2</v>
          </cell>
        </row>
        <row r="3119">
          <cell r="A3119">
            <v>107260</v>
          </cell>
          <cell r="B3119" t="str">
            <v>3103314-6</v>
          </cell>
        </row>
        <row r="3120">
          <cell r="A3120">
            <v>107259</v>
          </cell>
          <cell r="B3120" t="str">
            <v>3103314-5</v>
          </cell>
        </row>
        <row r="3121">
          <cell r="A3121">
            <v>107296</v>
          </cell>
          <cell r="B3121" t="str">
            <v>VH3844474-904</v>
          </cell>
        </row>
        <row r="3122">
          <cell r="A3122">
            <v>107270</v>
          </cell>
          <cell r="B3122" t="str">
            <v>VH3035614-905</v>
          </cell>
        </row>
        <row r="3123">
          <cell r="A3123">
            <v>107269</v>
          </cell>
          <cell r="B3123" t="str">
            <v>VH3035614-904</v>
          </cell>
        </row>
        <row r="3124">
          <cell r="A3124">
            <v>107271</v>
          </cell>
          <cell r="B3124" t="str">
            <v>VH3035614-906</v>
          </cell>
        </row>
        <row r="3125">
          <cell r="A3125">
            <v>107287</v>
          </cell>
          <cell r="B3125" t="str">
            <v>VH3102327-904</v>
          </cell>
        </row>
        <row r="3126">
          <cell r="A3126">
            <v>107298</v>
          </cell>
          <cell r="B3126" t="str">
            <v>VH3844821-904</v>
          </cell>
        </row>
        <row r="3127">
          <cell r="A3127">
            <v>107295</v>
          </cell>
          <cell r="B3127" t="str">
            <v>VH3844447-902</v>
          </cell>
        </row>
        <row r="3128">
          <cell r="A3128">
            <v>107289</v>
          </cell>
          <cell r="B3128" t="str">
            <v>VH3103298-917</v>
          </cell>
        </row>
        <row r="3129">
          <cell r="A3129">
            <v>107290</v>
          </cell>
          <cell r="B3129" t="str">
            <v>VH3103314-903</v>
          </cell>
        </row>
        <row r="3130">
          <cell r="A3130">
            <v>107262</v>
          </cell>
          <cell r="B3130" t="str">
            <v>3844050-921</v>
          </cell>
        </row>
        <row r="3131">
          <cell r="A3131">
            <v>107257</v>
          </cell>
          <cell r="B3131" t="str">
            <v>3102103-945</v>
          </cell>
        </row>
        <row r="3132">
          <cell r="A3132">
            <v>107256</v>
          </cell>
          <cell r="B3132" t="str">
            <v>3102103-943</v>
          </cell>
        </row>
        <row r="3133">
          <cell r="A3133">
            <v>107284</v>
          </cell>
          <cell r="B3133" t="str">
            <v>VH3073765-906.1</v>
          </cell>
        </row>
        <row r="3134">
          <cell r="A3134">
            <v>107274</v>
          </cell>
          <cell r="B3134" t="str">
            <v>VH3060579-904</v>
          </cell>
        </row>
        <row r="3135">
          <cell r="A3135">
            <v>107255</v>
          </cell>
          <cell r="B3135" t="str">
            <v>3075339-923</v>
          </cell>
        </row>
        <row r="3136">
          <cell r="A3136">
            <v>107281</v>
          </cell>
          <cell r="B3136" t="str">
            <v>VH3073417-904</v>
          </cell>
        </row>
        <row r="3137">
          <cell r="A3137">
            <v>107279</v>
          </cell>
          <cell r="B3137" t="str">
            <v>VH3073330-903</v>
          </cell>
        </row>
        <row r="3138">
          <cell r="A3138">
            <v>107249</v>
          </cell>
          <cell r="B3138" t="str">
            <v>3074749-943</v>
          </cell>
        </row>
        <row r="3139">
          <cell r="A3139">
            <v>107246</v>
          </cell>
          <cell r="B3139" t="str">
            <v>3060675-917</v>
          </cell>
        </row>
        <row r="3140">
          <cell r="A3140">
            <v>107239</v>
          </cell>
          <cell r="B3140" t="str">
            <v>3002979-949</v>
          </cell>
        </row>
        <row r="3141">
          <cell r="A3141">
            <v>107240</v>
          </cell>
          <cell r="B3141" t="str">
            <v>3002979-951</v>
          </cell>
        </row>
        <row r="3142">
          <cell r="A3142">
            <v>107241</v>
          </cell>
          <cell r="B3142" t="str">
            <v>3002979-953</v>
          </cell>
        </row>
        <row r="3143">
          <cell r="A3143">
            <v>107245</v>
          </cell>
          <cell r="B3143" t="str">
            <v>3035111-2</v>
          </cell>
        </row>
        <row r="3144">
          <cell r="A3144">
            <v>107247</v>
          </cell>
          <cell r="B3144" t="str">
            <v>3074075-921</v>
          </cell>
        </row>
        <row r="3145">
          <cell r="A3145">
            <v>107248</v>
          </cell>
          <cell r="B3145" t="str">
            <v>3074749-941</v>
          </cell>
        </row>
        <row r="3146">
          <cell r="A3146">
            <v>107250</v>
          </cell>
          <cell r="B3146" t="str">
            <v>3074754-929</v>
          </cell>
        </row>
        <row r="3147">
          <cell r="A3147">
            <v>107251</v>
          </cell>
          <cell r="B3147" t="str">
            <v>3074754-931</v>
          </cell>
        </row>
        <row r="3148">
          <cell r="A3148">
            <v>107252</v>
          </cell>
          <cell r="B3148" t="str">
            <v>3074754-933</v>
          </cell>
        </row>
        <row r="3149">
          <cell r="A3149">
            <v>107253</v>
          </cell>
          <cell r="B3149" t="str">
            <v>3074754-935</v>
          </cell>
        </row>
        <row r="3150">
          <cell r="A3150">
            <v>107254</v>
          </cell>
          <cell r="B3150" t="str">
            <v>3074948-935</v>
          </cell>
        </row>
        <row r="3151">
          <cell r="A3151">
            <v>107258</v>
          </cell>
          <cell r="B3151" t="str">
            <v>3103298-917</v>
          </cell>
        </row>
        <row r="3152">
          <cell r="A3152">
            <v>107261</v>
          </cell>
          <cell r="B3152" t="str">
            <v>3104289-933</v>
          </cell>
        </row>
        <row r="3153">
          <cell r="A3153">
            <v>107266</v>
          </cell>
          <cell r="B3153" t="str">
            <v>VH3002130-904</v>
          </cell>
        </row>
        <row r="3154">
          <cell r="A3154">
            <v>107267</v>
          </cell>
          <cell r="B3154" t="str">
            <v>VH3003303-905</v>
          </cell>
        </row>
        <row r="3155">
          <cell r="A3155">
            <v>107268</v>
          </cell>
          <cell r="B3155" t="str">
            <v>VH3003303-906</v>
          </cell>
        </row>
        <row r="3156">
          <cell r="A3156">
            <v>107272</v>
          </cell>
          <cell r="B3156" t="str">
            <v>VH3050576-903</v>
          </cell>
        </row>
        <row r="3157">
          <cell r="A3157">
            <v>107273</v>
          </cell>
          <cell r="B3157" t="str">
            <v>VH3050835-903</v>
          </cell>
        </row>
        <row r="3158">
          <cell r="A3158">
            <v>107275</v>
          </cell>
          <cell r="B3158" t="str">
            <v>VH3060579-906</v>
          </cell>
        </row>
        <row r="3159">
          <cell r="A3159">
            <v>107276</v>
          </cell>
          <cell r="B3159" t="str">
            <v>VH3071253-904</v>
          </cell>
        </row>
        <row r="3160">
          <cell r="A3160">
            <v>107277</v>
          </cell>
          <cell r="B3160" t="str">
            <v>VH3071253-908</v>
          </cell>
        </row>
        <row r="3161">
          <cell r="A3161">
            <v>107278</v>
          </cell>
          <cell r="B3161" t="str">
            <v>VH3073330-902</v>
          </cell>
        </row>
        <row r="3162">
          <cell r="A3162">
            <v>107280</v>
          </cell>
          <cell r="B3162" t="str">
            <v>VH3073354-905</v>
          </cell>
        </row>
        <row r="3163">
          <cell r="A3163">
            <v>107282</v>
          </cell>
          <cell r="B3163" t="str">
            <v>VH3073417-904.4</v>
          </cell>
        </row>
        <row r="3164">
          <cell r="A3164">
            <v>107283</v>
          </cell>
          <cell r="B3164" t="str">
            <v>VH3073593-903</v>
          </cell>
        </row>
        <row r="3165">
          <cell r="A3165">
            <v>107285</v>
          </cell>
          <cell r="B3165" t="str">
            <v>VH3074792-903</v>
          </cell>
        </row>
        <row r="3166">
          <cell r="A3166">
            <v>107286</v>
          </cell>
          <cell r="B3166" t="str">
            <v>VH3074984-905</v>
          </cell>
        </row>
        <row r="3167">
          <cell r="A3167">
            <v>107288</v>
          </cell>
          <cell r="B3167" t="str">
            <v>VH3103287-904</v>
          </cell>
        </row>
        <row r="3168">
          <cell r="A3168">
            <v>107291</v>
          </cell>
          <cell r="B3168" t="str">
            <v>VH3103747-903</v>
          </cell>
        </row>
        <row r="3169">
          <cell r="A3169">
            <v>107292</v>
          </cell>
          <cell r="B3169" t="str">
            <v>VH3104165-1</v>
          </cell>
        </row>
        <row r="3170">
          <cell r="A3170">
            <v>107293</v>
          </cell>
          <cell r="B3170" t="str">
            <v>VH3105226-903</v>
          </cell>
        </row>
        <row r="3171">
          <cell r="A3171">
            <v>107294</v>
          </cell>
          <cell r="B3171" t="str">
            <v>VH3108115-903</v>
          </cell>
        </row>
        <row r="3172">
          <cell r="A3172">
            <v>107297</v>
          </cell>
          <cell r="B3172" t="str">
            <v>VH3844478-904</v>
          </cell>
        </row>
        <row r="3173">
          <cell r="A3173">
            <v>107238</v>
          </cell>
          <cell r="B3173" t="str">
            <v>2310863-4</v>
          </cell>
        </row>
        <row r="3174">
          <cell r="A3174">
            <v>107198</v>
          </cell>
          <cell r="B3174" t="str">
            <v>EFP18015-6</v>
          </cell>
        </row>
        <row r="3175">
          <cell r="A3175">
            <v>107199</v>
          </cell>
          <cell r="B3175" t="str">
            <v>KE000604</v>
          </cell>
        </row>
        <row r="3176">
          <cell r="A3176">
            <v>107200</v>
          </cell>
          <cell r="B3176" t="str">
            <v>KE100304</v>
          </cell>
        </row>
        <row r="3177">
          <cell r="A3177">
            <v>117819</v>
          </cell>
          <cell r="B3177" t="str">
            <v>692546-4</v>
          </cell>
        </row>
        <row r="3178">
          <cell r="A3178">
            <v>117822</v>
          </cell>
          <cell r="B3178" t="str">
            <v>WE3883738-2</v>
          </cell>
        </row>
        <row r="3179">
          <cell r="A3179">
            <v>117833</v>
          </cell>
          <cell r="B3179" t="str">
            <v>3616848-2</v>
          </cell>
        </row>
        <row r="3180">
          <cell r="A3180">
            <v>117834</v>
          </cell>
          <cell r="B3180">
            <v>692993</v>
          </cell>
        </row>
        <row r="3181">
          <cell r="A3181">
            <v>117820</v>
          </cell>
          <cell r="B3181" t="str">
            <v>692545-18</v>
          </cell>
        </row>
        <row r="3182">
          <cell r="A3182">
            <v>120224</v>
          </cell>
          <cell r="B3182" t="str">
            <v>2784407-1</v>
          </cell>
        </row>
        <row r="3183">
          <cell r="A3183">
            <v>116140</v>
          </cell>
          <cell r="B3183" t="str">
            <v>3001S029033</v>
          </cell>
        </row>
        <row r="3184">
          <cell r="A3184">
            <v>116141</v>
          </cell>
          <cell r="B3184" t="str">
            <v>2326H140</v>
          </cell>
        </row>
        <row r="3185">
          <cell r="A3185">
            <v>116142</v>
          </cell>
          <cell r="B3185" t="str">
            <v>3001S019036</v>
          </cell>
        </row>
        <row r="3186">
          <cell r="A3186">
            <v>116143</v>
          </cell>
          <cell r="B3186" t="str">
            <v>3001S019047</v>
          </cell>
        </row>
        <row r="3187">
          <cell r="A3187">
            <v>116144</v>
          </cell>
          <cell r="B3187" t="str">
            <v>3001S019230</v>
          </cell>
        </row>
        <row r="3188">
          <cell r="A3188">
            <v>116145</v>
          </cell>
          <cell r="B3188" t="str">
            <v>3001S029906</v>
          </cell>
        </row>
        <row r="3189">
          <cell r="A3189">
            <v>116147</v>
          </cell>
          <cell r="B3189" t="str">
            <v>3001S019015</v>
          </cell>
        </row>
        <row r="3190">
          <cell r="A3190">
            <v>116148</v>
          </cell>
          <cell r="B3190" t="str">
            <v>3001S019166</v>
          </cell>
        </row>
        <row r="3191">
          <cell r="A3191">
            <v>116149</v>
          </cell>
          <cell r="B3191" t="str">
            <v>3001S019553</v>
          </cell>
        </row>
        <row r="3192">
          <cell r="A3192">
            <v>116150</v>
          </cell>
          <cell r="B3192" t="str">
            <v>3001S019256</v>
          </cell>
        </row>
        <row r="3193">
          <cell r="A3193">
            <v>116151</v>
          </cell>
          <cell r="B3193" t="str">
            <v>100-806-8809</v>
          </cell>
        </row>
        <row r="3194">
          <cell r="A3194">
            <v>116152</v>
          </cell>
          <cell r="B3194" t="str">
            <v>3001S019250</v>
          </cell>
        </row>
        <row r="3195">
          <cell r="A3195">
            <v>116153</v>
          </cell>
          <cell r="B3195" t="str">
            <v>3001S019222</v>
          </cell>
        </row>
        <row r="3196">
          <cell r="A3196">
            <v>116154</v>
          </cell>
          <cell r="B3196" t="str">
            <v>AOS073073-11</v>
          </cell>
        </row>
        <row r="3197">
          <cell r="A3197">
            <v>116155</v>
          </cell>
          <cell r="B3197" t="str">
            <v>3001S019009</v>
          </cell>
        </row>
        <row r="3198">
          <cell r="A3198">
            <v>116156</v>
          </cell>
          <cell r="B3198" t="str">
            <v>AOS020073-18</v>
          </cell>
        </row>
        <row r="3199">
          <cell r="A3199">
            <v>116638</v>
          </cell>
          <cell r="B3199" t="str">
            <v>80000153-001</v>
          </cell>
        </row>
        <row r="3200">
          <cell r="A3200">
            <v>116634</v>
          </cell>
          <cell r="B3200" t="str">
            <v>63001546-2</v>
          </cell>
        </row>
        <row r="3201">
          <cell r="A3201">
            <v>116636</v>
          </cell>
          <cell r="B3201" t="str">
            <v>63002514-5</v>
          </cell>
        </row>
        <row r="3202">
          <cell r="A3202">
            <v>116635</v>
          </cell>
          <cell r="B3202" t="str">
            <v>63002514-6</v>
          </cell>
        </row>
        <row r="3203">
          <cell r="A3203">
            <v>116637</v>
          </cell>
          <cell r="B3203" t="str">
            <v>80000152-001</v>
          </cell>
        </row>
        <row r="3204">
          <cell r="A3204">
            <v>116631</v>
          </cell>
          <cell r="B3204" t="str">
            <v>3177165-1</v>
          </cell>
        </row>
        <row r="3205">
          <cell r="A3205">
            <v>116633</v>
          </cell>
          <cell r="B3205" t="str">
            <v>63001001-3</v>
          </cell>
        </row>
        <row r="3206">
          <cell r="A3206">
            <v>116630</v>
          </cell>
          <cell r="B3206" t="str">
            <v>319625-1</v>
          </cell>
        </row>
        <row r="3207">
          <cell r="A3207">
            <v>116632</v>
          </cell>
          <cell r="B3207" t="str">
            <v>63001001-2</v>
          </cell>
        </row>
        <row r="3208">
          <cell r="A3208">
            <v>116763</v>
          </cell>
          <cell r="B3208" t="str">
            <v>4-301-229-03</v>
          </cell>
        </row>
        <row r="3209">
          <cell r="A3209">
            <v>116757</v>
          </cell>
          <cell r="B3209" t="str">
            <v>3060782-2</v>
          </cell>
        </row>
        <row r="3210">
          <cell r="A3210">
            <v>116759</v>
          </cell>
          <cell r="B3210" t="str">
            <v>3504051-2</v>
          </cell>
        </row>
        <row r="3211">
          <cell r="A3211">
            <v>116764</v>
          </cell>
          <cell r="B3211" t="str">
            <v>365813-1</v>
          </cell>
        </row>
        <row r="3212">
          <cell r="A3212">
            <v>116765</v>
          </cell>
          <cell r="B3212" t="str">
            <v>3882851-1</v>
          </cell>
        </row>
        <row r="3213">
          <cell r="A3213">
            <v>116755</v>
          </cell>
          <cell r="B3213" t="str">
            <v>2210558-1</v>
          </cell>
        </row>
        <row r="3214">
          <cell r="A3214">
            <v>116766</v>
          </cell>
          <cell r="B3214" t="str">
            <v>581995-1</v>
          </cell>
        </row>
        <row r="3215">
          <cell r="A3215">
            <v>116767</v>
          </cell>
          <cell r="B3215" t="str">
            <v>585196-1</v>
          </cell>
        </row>
        <row r="3216">
          <cell r="A3216">
            <v>116760</v>
          </cell>
          <cell r="B3216" t="str">
            <v>3504056-1</v>
          </cell>
        </row>
        <row r="3217">
          <cell r="A3217">
            <v>116762</v>
          </cell>
          <cell r="B3217" t="str">
            <v>3094542-2</v>
          </cell>
        </row>
        <row r="3218">
          <cell r="A3218">
            <v>116754</v>
          </cell>
          <cell r="B3218" t="str">
            <v>147240-1</v>
          </cell>
        </row>
        <row r="3219">
          <cell r="A3219">
            <v>116761</v>
          </cell>
          <cell r="B3219" t="str">
            <v>5849424-1</v>
          </cell>
        </row>
        <row r="3220">
          <cell r="A3220">
            <v>116756</v>
          </cell>
          <cell r="B3220" t="str">
            <v>3038288-1</v>
          </cell>
        </row>
        <row r="3221">
          <cell r="A3221">
            <v>116758</v>
          </cell>
          <cell r="B3221" t="str">
            <v>3238721-1</v>
          </cell>
        </row>
        <row r="3222">
          <cell r="A3222">
            <v>117852</v>
          </cell>
          <cell r="B3222" t="str">
            <v>698285-3</v>
          </cell>
        </row>
        <row r="3223">
          <cell r="A3223">
            <v>117853</v>
          </cell>
          <cell r="B3223" t="str">
            <v>698285-4</v>
          </cell>
        </row>
        <row r="3224">
          <cell r="A3224">
            <v>117824</v>
          </cell>
          <cell r="B3224" t="str">
            <v>4132157-1</v>
          </cell>
        </row>
        <row r="3225">
          <cell r="A3225">
            <v>117825</v>
          </cell>
          <cell r="B3225" t="str">
            <v>3108448-1</v>
          </cell>
        </row>
        <row r="3226">
          <cell r="A3226">
            <v>117826</v>
          </cell>
          <cell r="B3226" t="str">
            <v>3876185-2</v>
          </cell>
        </row>
        <row r="3227">
          <cell r="A3227">
            <v>117827</v>
          </cell>
          <cell r="B3227" t="str">
            <v>3238736-2</v>
          </cell>
        </row>
        <row r="3228">
          <cell r="A3228">
            <v>117829</v>
          </cell>
          <cell r="B3228" t="str">
            <v>868558-1</v>
          </cell>
        </row>
        <row r="3229">
          <cell r="A3229">
            <v>117830</v>
          </cell>
          <cell r="B3229" t="str">
            <v>3876049-5</v>
          </cell>
        </row>
        <row r="3230">
          <cell r="A3230">
            <v>117832</v>
          </cell>
          <cell r="B3230" t="str">
            <v>3101396-1</v>
          </cell>
        </row>
        <row r="3231">
          <cell r="A3231">
            <v>117835</v>
          </cell>
          <cell r="B3231" t="str">
            <v>3108448-2</v>
          </cell>
        </row>
        <row r="3232">
          <cell r="A3232">
            <v>117836</v>
          </cell>
          <cell r="B3232" t="str">
            <v>3876166-1</v>
          </cell>
        </row>
        <row r="3233">
          <cell r="A3233">
            <v>117839</v>
          </cell>
          <cell r="B3233" t="str">
            <v>3238802-2</v>
          </cell>
        </row>
        <row r="3234">
          <cell r="A3234">
            <v>117849</v>
          </cell>
          <cell r="B3234" t="str">
            <v>3105756-2</v>
          </cell>
        </row>
        <row r="3235">
          <cell r="A3235">
            <v>117850</v>
          </cell>
          <cell r="B3235" t="str">
            <v>3876184-2</v>
          </cell>
        </row>
        <row r="3236">
          <cell r="A3236">
            <v>117851</v>
          </cell>
          <cell r="B3236" t="str">
            <v>692546-1</v>
          </cell>
        </row>
        <row r="3237">
          <cell r="A3237">
            <v>117854</v>
          </cell>
          <cell r="B3237" t="str">
            <v>976087-1</v>
          </cell>
        </row>
        <row r="3238">
          <cell r="A3238">
            <v>117856</v>
          </cell>
          <cell r="B3238" t="str">
            <v>3876356-1</v>
          </cell>
        </row>
        <row r="3239">
          <cell r="A3239">
            <v>117821</v>
          </cell>
          <cell r="B3239" t="str">
            <v>692545-1</v>
          </cell>
        </row>
        <row r="3240">
          <cell r="A3240">
            <v>117828</v>
          </cell>
          <cell r="B3240" t="str">
            <v>692545-17</v>
          </cell>
        </row>
        <row r="3241">
          <cell r="A3241">
            <v>117840</v>
          </cell>
          <cell r="B3241" t="str">
            <v>692545-6</v>
          </cell>
        </row>
        <row r="3242">
          <cell r="A3242">
            <v>127034</v>
          </cell>
          <cell r="B3242" t="str">
            <v>3179705-4</v>
          </cell>
        </row>
        <row r="3243">
          <cell r="A3243">
            <v>116623</v>
          </cell>
          <cell r="B3243" t="str">
            <v>3-100-024-07</v>
          </cell>
        </row>
        <row r="3244">
          <cell r="A3244">
            <v>116624</v>
          </cell>
          <cell r="B3244" t="str">
            <v>3-100-025-14</v>
          </cell>
        </row>
        <row r="3245">
          <cell r="A3245">
            <v>116625</v>
          </cell>
          <cell r="B3245" t="str">
            <v>3-100-127-13</v>
          </cell>
        </row>
        <row r="3246">
          <cell r="A3246">
            <v>116627</v>
          </cell>
          <cell r="B3246" t="str">
            <v>3-106-075-05</v>
          </cell>
        </row>
        <row r="3247">
          <cell r="A3247">
            <v>116621</v>
          </cell>
          <cell r="B3247" t="str">
            <v>3-100-022-10</v>
          </cell>
        </row>
        <row r="3248">
          <cell r="A3248">
            <v>116622</v>
          </cell>
          <cell r="B3248" t="str">
            <v>3-100-023-08</v>
          </cell>
        </row>
        <row r="3249">
          <cell r="A3249">
            <v>116628</v>
          </cell>
          <cell r="B3249" t="str">
            <v>3-106-076-04</v>
          </cell>
        </row>
        <row r="3250">
          <cell r="A3250">
            <v>116626</v>
          </cell>
          <cell r="B3250" t="str">
            <v>3-106-074-16</v>
          </cell>
        </row>
        <row r="3251">
          <cell r="A3251">
            <v>116629</v>
          </cell>
          <cell r="B3251" t="str">
            <v>3-106-077-05</v>
          </cell>
        </row>
        <row r="3252">
          <cell r="A3252" t="str">
            <v>3033050-2</v>
          </cell>
          <cell r="B3252" t="str">
            <v>3033050-2</v>
          </cell>
        </row>
        <row r="3253">
          <cell r="A3253">
            <v>117848</v>
          </cell>
          <cell r="B3253" t="str">
            <v>2786926-3</v>
          </cell>
        </row>
        <row r="3254">
          <cell r="A3254">
            <v>117845</v>
          </cell>
          <cell r="B3254" t="str">
            <v>2783971-2</v>
          </cell>
        </row>
        <row r="3255">
          <cell r="A3255">
            <v>117855</v>
          </cell>
          <cell r="B3255" t="str">
            <v>3180905-1</v>
          </cell>
        </row>
        <row r="3256">
          <cell r="A3256">
            <v>117837</v>
          </cell>
          <cell r="B3256" t="str">
            <v>3179455-3</v>
          </cell>
        </row>
        <row r="3257">
          <cell r="A3257">
            <v>114063</v>
          </cell>
          <cell r="B3257" t="str">
            <v>3827152-3</v>
          </cell>
        </row>
        <row r="3258">
          <cell r="A3258">
            <v>116146</v>
          </cell>
          <cell r="B3258" t="str">
            <v>3001S018029</v>
          </cell>
        </row>
        <row r="3259">
          <cell r="A3259">
            <v>117841</v>
          </cell>
          <cell r="B3259" t="str">
            <v>V44731-204-1</v>
          </cell>
        </row>
        <row r="3260">
          <cell r="A3260">
            <v>117842</v>
          </cell>
          <cell r="B3260" t="str">
            <v>V44702-263</v>
          </cell>
        </row>
        <row r="3261">
          <cell r="A3261">
            <v>117844</v>
          </cell>
          <cell r="B3261" t="str">
            <v>2210387-1</v>
          </cell>
        </row>
        <row r="3262">
          <cell r="A3262">
            <v>117838</v>
          </cell>
          <cell r="B3262" t="str">
            <v>V44749-2632</v>
          </cell>
        </row>
        <row r="3263">
          <cell r="A3263">
            <v>117847</v>
          </cell>
          <cell r="B3263" t="str">
            <v>2783986-3</v>
          </cell>
        </row>
        <row r="3264">
          <cell r="A3264">
            <v>117843</v>
          </cell>
          <cell r="B3264" t="str">
            <v>V44717-263</v>
          </cell>
        </row>
        <row r="3265">
          <cell r="A3265">
            <v>117846</v>
          </cell>
          <cell r="B3265" t="str">
            <v>2786222-3</v>
          </cell>
        </row>
        <row r="3266">
          <cell r="A3266">
            <v>117831</v>
          </cell>
          <cell r="B3266" t="str">
            <v>897323-1</v>
          </cell>
        </row>
        <row r="3267">
          <cell r="A3267">
            <v>117823</v>
          </cell>
          <cell r="B3267" t="str">
            <v>3750805-1</v>
          </cell>
        </row>
        <row r="3268">
          <cell r="A3268">
            <v>120226</v>
          </cell>
          <cell r="B3268" t="str">
            <v>3103703-1</v>
          </cell>
        </row>
        <row r="3269">
          <cell r="A3269">
            <v>120153</v>
          </cell>
          <cell r="B3269" t="str">
            <v>64008672-001</v>
          </cell>
        </row>
        <row r="3270">
          <cell r="A3270">
            <v>118214</v>
          </cell>
          <cell r="B3270" t="str">
            <v>7205509-2</v>
          </cell>
        </row>
        <row r="3271">
          <cell r="A3271">
            <v>120712</v>
          </cell>
          <cell r="B3271">
            <v>2613077</v>
          </cell>
        </row>
        <row r="3272">
          <cell r="A3272">
            <v>120136</v>
          </cell>
          <cell r="B3272">
            <v>52002299</v>
          </cell>
        </row>
        <row r="3273">
          <cell r="A3273">
            <v>120816</v>
          </cell>
          <cell r="B3273">
            <v>2718188</v>
          </cell>
        </row>
        <row r="3274">
          <cell r="A3274">
            <v>120229</v>
          </cell>
          <cell r="B3274" t="str">
            <v>3101703-7</v>
          </cell>
        </row>
        <row r="3275">
          <cell r="A3275">
            <v>120157</v>
          </cell>
          <cell r="B3275" t="str">
            <v>72326493-1</v>
          </cell>
        </row>
        <row r="3276">
          <cell r="A3276">
            <v>120820</v>
          </cell>
          <cell r="B3276">
            <v>2669880</v>
          </cell>
        </row>
        <row r="3277">
          <cell r="A3277">
            <v>120231</v>
          </cell>
          <cell r="B3277" t="str">
            <v>3101703-3</v>
          </cell>
        </row>
        <row r="3278">
          <cell r="A3278">
            <v>118218</v>
          </cell>
          <cell r="B3278" t="str">
            <v>3183496-1</v>
          </cell>
        </row>
        <row r="3279">
          <cell r="A3279">
            <v>120176</v>
          </cell>
          <cell r="B3279" t="str">
            <v>64005267-001</v>
          </cell>
        </row>
        <row r="3280">
          <cell r="A3280">
            <v>120819</v>
          </cell>
          <cell r="B3280">
            <v>2669875</v>
          </cell>
        </row>
        <row r="3281">
          <cell r="A3281">
            <v>120139</v>
          </cell>
          <cell r="B3281" t="str">
            <v>54001682-301</v>
          </cell>
        </row>
        <row r="3282">
          <cell r="A3282">
            <v>120155</v>
          </cell>
          <cell r="B3282" t="str">
            <v>65057399-1</v>
          </cell>
        </row>
        <row r="3283">
          <cell r="A3283">
            <v>118215</v>
          </cell>
          <cell r="B3283" t="str">
            <v>858225-1</v>
          </cell>
        </row>
        <row r="3284">
          <cell r="A3284">
            <v>120227</v>
          </cell>
          <cell r="B3284" t="str">
            <v>63244092-1</v>
          </cell>
        </row>
        <row r="3285">
          <cell r="A3285">
            <v>120168</v>
          </cell>
          <cell r="B3285" t="str">
            <v>64000738-001</v>
          </cell>
        </row>
        <row r="3286">
          <cell r="A3286">
            <v>120161</v>
          </cell>
          <cell r="B3286" t="str">
            <v>R129027-5</v>
          </cell>
        </row>
        <row r="3287">
          <cell r="A3287">
            <v>120149</v>
          </cell>
          <cell r="B3287" t="str">
            <v>56010268-002</v>
          </cell>
        </row>
        <row r="3288">
          <cell r="A3288">
            <v>120172</v>
          </cell>
          <cell r="B3288" t="str">
            <v>64000756-001</v>
          </cell>
        </row>
        <row r="3289">
          <cell r="A3289">
            <v>120714</v>
          </cell>
          <cell r="B3289">
            <v>2615688</v>
          </cell>
        </row>
        <row r="3290">
          <cell r="A3290">
            <v>120137</v>
          </cell>
          <cell r="B3290" t="str">
            <v>181039-2</v>
          </cell>
        </row>
        <row r="3291">
          <cell r="A3291">
            <v>120142</v>
          </cell>
          <cell r="B3291" t="str">
            <v>56000766-021</v>
          </cell>
        </row>
        <row r="3292">
          <cell r="A3292">
            <v>120817</v>
          </cell>
          <cell r="B3292">
            <v>2718189</v>
          </cell>
        </row>
        <row r="3293">
          <cell r="A3293">
            <v>119721</v>
          </cell>
          <cell r="B3293" t="str">
            <v>3876089-1</v>
          </cell>
        </row>
        <row r="3294">
          <cell r="A3294">
            <v>120140</v>
          </cell>
          <cell r="B3294" t="str">
            <v>56000749-021</v>
          </cell>
        </row>
        <row r="3295">
          <cell r="A3295">
            <v>120143</v>
          </cell>
          <cell r="B3295" t="str">
            <v>56000769-021</v>
          </cell>
        </row>
        <row r="3296">
          <cell r="A3296">
            <v>120715</v>
          </cell>
          <cell r="B3296">
            <v>2615929</v>
          </cell>
        </row>
        <row r="3297">
          <cell r="A3297">
            <v>120159</v>
          </cell>
          <cell r="B3297" t="str">
            <v>8275231-003</v>
          </cell>
        </row>
        <row r="3298">
          <cell r="A3298">
            <v>120135</v>
          </cell>
          <cell r="B3298">
            <v>4061378</v>
          </cell>
        </row>
        <row r="3299">
          <cell r="A3299">
            <v>120047</v>
          </cell>
          <cell r="B3299">
            <v>2691634</v>
          </cell>
        </row>
        <row r="3300">
          <cell r="A3300">
            <v>120151</v>
          </cell>
          <cell r="B3300" t="str">
            <v>64001811-003</v>
          </cell>
        </row>
        <row r="3301">
          <cell r="A3301">
            <v>120181</v>
          </cell>
          <cell r="B3301" t="str">
            <v>64009762-001</v>
          </cell>
        </row>
        <row r="3302">
          <cell r="A3302">
            <v>120152</v>
          </cell>
          <cell r="B3302" t="str">
            <v>64005135-001</v>
          </cell>
        </row>
        <row r="3303">
          <cell r="A3303">
            <v>120158</v>
          </cell>
          <cell r="B3303" t="str">
            <v>74376721-001</v>
          </cell>
        </row>
        <row r="3304">
          <cell r="A3304">
            <v>120180</v>
          </cell>
          <cell r="B3304" t="str">
            <v>64009007-001</v>
          </cell>
        </row>
        <row r="3305">
          <cell r="A3305">
            <v>120150</v>
          </cell>
          <cell r="B3305" t="str">
            <v>56013142-001</v>
          </cell>
        </row>
        <row r="3306">
          <cell r="A3306">
            <v>120815</v>
          </cell>
          <cell r="B3306">
            <v>2718238</v>
          </cell>
        </row>
        <row r="3307">
          <cell r="A3307">
            <v>120174</v>
          </cell>
          <cell r="B3307" t="str">
            <v>64000985-001</v>
          </cell>
        </row>
        <row r="3308">
          <cell r="A3308">
            <v>120710</v>
          </cell>
          <cell r="B3308" t="str">
            <v>2607091-2</v>
          </cell>
        </row>
        <row r="3309">
          <cell r="A3309">
            <v>120164</v>
          </cell>
          <cell r="B3309" t="str">
            <v>R129047-5</v>
          </cell>
        </row>
        <row r="3310">
          <cell r="A3310">
            <v>118217</v>
          </cell>
          <cell r="B3310" t="str">
            <v>3180013-4</v>
          </cell>
        </row>
        <row r="3311">
          <cell r="A3311">
            <v>120228</v>
          </cell>
          <cell r="B3311" t="str">
            <v>2205439-2</v>
          </cell>
        </row>
        <row r="3312">
          <cell r="A3312">
            <v>120162</v>
          </cell>
          <cell r="B3312" t="str">
            <v>R129032-5</v>
          </cell>
        </row>
        <row r="3313">
          <cell r="A3313">
            <v>120148</v>
          </cell>
          <cell r="B3313" t="str">
            <v>56006400-001</v>
          </cell>
        </row>
        <row r="3314">
          <cell r="A3314">
            <v>120147</v>
          </cell>
          <cell r="B3314" t="str">
            <v>56005313-001</v>
          </cell>
        </row>
        <row r="3315">
          <cell r="A3315">
            <v>120138</v>
          </cell>
          <cell r="B3315" t="str">
            <v>196651-2</v>
          </cell>
        </row>
        <row r="3316">
          <cell r="A3316">
            <v>120145</v>
          </cell>
          <cell r="B3316" t="str">
            <v>56002208-021</v>
          </cell>
        </row>
        <row r="3317">
          <cell r="A3317">
            <v>119720</v>
          </cell>
          <cell r="B3317">
            <v>2540452</v>
          </cell>
        </row>
        <row r="3318">
          <cell r="A3318">
            <v>120166</v>
          </cell>
          <cell r="B3318" t="str">
            <v>R129057-5</v>
          </cell>
        </row>
        <row r="3319">
          <cell r="A3319">
            <v>120179</v>
          </cell>
          <cell r="B3319" t="str">
            <v>3103084-3</v>
          </cell>
        </row>
        <row r="3320">
          <cell r="A3320">
            <v>120711</v>
          </cell>
          <cell r="B3320">
            <v>2612064</v>
          </cell>
        </row>
        <row r="3321">
          <cell r="A3321">
            <v>120178</v>
          </cell>
          <cell r="B3321" t="str">
            <v>8268431-001</v>
          </cell>
        </row>
        <row r="3322">
          <cell r="A3322">
            <v>120154</v>
          </cell>
          <cell r="B3322" t="str">
            <v>64008675-001</v>
          </cell>
        </row>
        <row r="3323">
          <cell r="A3323">
            <v>118216</v>
          </cell>
          <cell r="B3323" t="str">
            <v>02E68-1</v>
          </cell>
        </row>
        <row r="3324">
          <cell r="A3324">
            <v>120818</v>
          </cell>
          <cell r="B3324">
            <v>2669877</v>
          </cell>
        </row>
        <row r="3325">
          <cell r="A3325">
            <v>119884</v>
          </cell>
          <cell r="B3325">
            <v>2540572</v>
          </cell>
        </row>
        <row r="3326">
          <cell r="A3326">
            <v>120173</v>
          </cell>
          <cell r="B3326" t="str">
            <v>64000759-001</v>
          </cell>
        </row>
        <row r="3327">
          <cell r="A3327">
            <v>120170</v>
          </cell>
          <cell r="B3327" t="str">
            <v>64000744-001</v>
          </cell>
        </row>
        <row r="3328">
          <cell r="A3328">
            <v>120144</v>
          </cell>
          <cell r="B3328" t="str">
            <v>56002190-021</v>
          </cell>
        </row>
        <row r="3329">
          <cell r="A3329">
            <v>120163</v>
          </cell>
          <cell r="B3329" t="str">
            <v>R129037-3</v>
          </cell>
        </row>
        <row r="3330">
          <cell r="A3330">
            <v>120146</v>
          </cell>
          <cell r="B3330" t="str">
            <v>56005261-001</v>
          </cell>
        </row>
        <row r="3331">
          <cell r="A3331">
            <v>120716</v>
          </cell>
          <cell r="B3331" t="str">
            <v>59000721-001</v>
          </cell>
        </row>
        <row r="3332">
          <cell r="A3332">
            <v>120225</v>
          </cell>
          <cell r="B3332" t="str">
            <v>3101703-9</v>
          </cell>
        </row>
        <row r="3333">
          <cell r="A3333">
            <v>120160</v>
          </cell>
          <cell r="B3333" t="str">
            <v>8275782-002</v>
          </cell>
        </row>
        <row r="3334">
          <cell r="A3334">
            <v>120177</v>
          </cell>
          <cell r="B3334" t="str">
            <v>74371903-001</v>
          </cell>
        </row>
        <row r="3335">
          <cell r="A3335">
            <v>120713</v>
          </cell>
          <cell r="B3335">
            <v>2615521</v>
          </cell>
        </row>
        <row r="3336">
          <cell r="A3336">
            <v>119883</v>
          </cell>
          <cell r="B3336">
            <v>2540566</v>
          </cell>
        </row>
        <row r="3337">
          <cell r="A3337">
            <v>120141</v>
          </cell>
          <cell r="B3337" t="str">
            <v>56000759-021</v>
          </cell>
        </row>
        <row r="3338">
          <cell r="A3338">
            <v>120169</v>
          </cell>
          <cell r="B3338" t="str">
            <v>64000741-001</v>
          </cell>
        </row>
        <row r="3339">
          <cell r="A3339">
            <v>120171</v>
          </cell>
          <cell r="B3339" t="str">
            <v>64000750-001</v>
          </cell>
        </row>
        <row r="3340">
          <cell r="A3340">
            <v>119806</v>
          </cell>
          <cell r="B3340" t="str">
            <v>4243185-1</v>
          </cell>
        </row>
        <row r="3341">
          <cell r="A3341">
            <v>120156</v>
          </cell>
          <cell r="B3341" t="str">
            <v>65057416-1</v>
          </cell>
        </row>
        <row r="3342">
          <cell r="A3342">
            <v>120167</v>
          </cell>
          <cell r="B3342" t="str">
            <v>R129067-5</v>
          </cell>
        </row>
        <row r="3343">
          <cell r="A3343">
            <v>120175</v>
          </cell>
          <cell r="B3343" t="str">
            <v>64000988-001</v>
          </cell>
        </row>
        <row r="3344">
          <cell r="A3344">
            <v>120230</v>
          </cell>
          <cell r="B3344" t="str">
            <v>585282-1</v>
          </cell>
        </row>
        <row r="3345">
          <cell r="A3345">
            <v>120165</v>
          </cell>
          <cell r="B3345" t="str">
            <v>R129052-5</v>
          </cell>
        </row>
        <row r="3346">
          <cell r="A3346">
            <v>115393</v>
          </cell>
          <cell r="B3346" t="str">
            <v>3074254-2</v>
          </cell>
        </row>
        <row r="3347">
          <cell r="A3347">
            <v>121530</v>
          </cell>
          <cell r="B3347" t="str">
            <v>11-1303-1</v>
          </cell>
        </row>
        <row r="3348">
          <cell r="A3348">
            <v>119755</v>
          </cell>
          <cell r="B3348" t="str">
            <v>3830479-1</v>
          </cell>
        </row>
        <row r="3349">
          <cell r="A3349">
            <v>119754</v>
          </cell>
          <cell r="B3349" t="str">
            <v>3612170-2</v>
          </cell>
        </row>
        <row r="3350">
          <cell r="A3350">
            <v>122011</v>
          </cell>
          <cell r="B3350" t="str">
            <v>63508564-1</v>
          </cell>
        </row>
        <row r="3351">
          <cell r="A3351">
            <v>122012</v>
          </cell>
          <cell r="B3351" t="str">
            <v>63508564-2</v>
          </cell>
        </row>
        <row r="3352">
          <cell r="A3352">
            <v>122013</v>
          </cell>
          <cell r="B3352" t="str">
            <v>63508565-1</v>
          </cell>
        </row>
        <row r="3353">
          <cell r="A3353">
            <v>122014</v>
          </cell>
          <cell r="B3353" t="str">
            <v>63508565-2</v>
          </cell>
        </row>
        <row r="3354">
          <cell r="A3354">
            <v>122640</v>
          </cell>
          <cell r="B3354" t="str">
            <v>67220288-305</v>
          </cell>
        </row>
        <row r="3355">
          <cell r="A3355">
            <v>122897</v>
          </cell>
          <cell r="B3355" t="str">
            <v>S9178D0287L0500</v>
          </cell>
        </row>
        <row r="3356">
          <cell r="A3356">
            <v>122673</v>
          </cell>
          <cell r="B3356" t="str">
            <v>67220014-7//SS2</v>
          </cell>
        </row>
        <row r="3357">
          <cell r="A3357">
            <v>122666</v>
          </cell>
          <cell r="B3357" t="str">
            <v>2306068-11</v>
          </cell>
        </row>
        <row r="3358">
          <cell r="A3358">
            <v>122667</v>
          </cell>
          <cell r="B3358" t="str">
            <v>2307815-23</v>
          </cell>
        </row>
        <row r="3359">
          <cell r="A3359">
            <v>122904</v>
          </cell>
          <cell r="B3359" t="str">
            <v>2305895-45</v>
          </cell>
        </row>
        <row r="3360">
          <cell r="A3360">
            <v>122647</v>
          </cell>
          <cell r="B3360" t="str">
            <v>2305563-1</v>
          </cell>
        </row>
        <row r="3361">
          <cell r="A3361">
            <v>122659</v>
          </cell>
          <cell r="B3361" t="str">
            <v>2309687-7</v>
          </cell>
        </row>
        <row r="3362">
          <cell r="A3362">
            <v>122857</v>
          </cell>
          <cell r="B3362" t="str">
            <v>S9178F0947M0668</v>
          </cell>
        </row>
        <row r="3363">
          <cell r="A3363">
            <v>122829</v>
          </cell>
          <cell r="B3363" t="str">
            <v>2372668-9</v>
          </cell>
        </row>
        <row r="3364">
          <cell r="A3364">
            <v>122839</v>
          </cell>
          <cell r="B3364" t="str">
            <v>67220562-307</v>
          </cell>
        </row>
        <row r="3365">
          <cell r="A3365">
            <v>122861</v>
          </cell>
          <cell r="B3365" t="str">
            <v>67221538-309</v>
          </cell>
        </row>
        <row r="3366">
          <cell r="A3366">
            <v>122643</v>
          </cell>
          <cell r="B3366" t="str">
            <v>S9300D0366B0668</v>
          </cell>
        </row>
        <row r="3367">
          <cell r="A3367">
            <v>122721</v>
          </cell>
          <cell r="B3367" t="str">
            <v>S9300D0200X0529</v>
          </cell>
        </row>
        <row r="3368">
          <cell r="A3368">
            <v>122677</v>
          </cell>
          <cell r="B3368" t="str">
            <v>159848-5</v>
          </cell>
        </row>
        <row r="3369">
          <cell r="A3369">
            <v>122906</v>
          </cell>
          <cell r="B3369" t="str">
            <v>S9175D0200L0575</v>
          </cell>
        </row>
        <row r="3370">
          <cell r="A3370">
            <v>122748</v>
          </cell>
          <cell r="B3370" t="str">
            <v>S9300D0200S1565</v>
          </cell>
        </row>
        <row r="3371">
          <cell r="A3371">
            <v>122778</v>
          </cell>
          <cell r="B3371" t="str">
            <v>67220540-309</v>
          </cell>
        </row>
        <row r="3372">
          <cell r="A3372">
            <v>122699</v>
          </cell>
          <cell r="B3372" t="str">
            <v>176423-320D0505</v>
          </cell>
        </row>
        <row r="3373">
          <cell r="A3373">
            <v>122717</v>
          </cell>
          <cell r="B3373" t="str">
            <v>82841-312-0413A</v>
          </cell>
        </row>
        <row r="3374">
          <cell r="A3374">
            <v>122809</v>
          </cell>
          <cell r="B3374" t="str">
            <v>2308547-11</v>
          </cell>
        </row>
        <row r="3375">
          <cell r="A3375">
            <v>122894</v>
          </cell>
          <cell r="B3375" t="str">
            <v>67221118-303</v>
          </cell>
        </row>
        <row r="3376">
          <cell r="A3376">
            <v>122648</v>
          </cell>
          <cell r="B3376" t="str">
            <v>67220591-327</v>
          </cell>
        </row>
        <row r="3377">
          <cell r="A3377">
            <v>122867</v>
          </cell>
          <cell r="B3377" t="str">
            <v>2310026-5</v>
          </cell>
        </row>
        <row r="3378">
          <cell r="A3378">
            <v>122907</v>
          </cell>
          <cell r="B3378" t="str">
            <v>S9178F0525L1565</v>
          </cell>
        </row>
        <row r="3379">
          <cell r="A3379">
            <v>122679</v>
          </cell>
          <cell r="B3379" t="str">
            <v>2305895-47</v>
          </cell>
        </row>
        <row r="3380">
          <cell r="A3380">
            <v>122685</v>
          </cell>
          <cell r="B3380" t="str">
            <v>2305895-65</v>
          </cell>
        </row>
        <row r="3381">
          <cell r="A3381">
            <v>122798</v>
          </cell>
          <cell r="B3381" t="str">
            <v>67220562-309</v>
          </cell>
        </row>
        <row r="3382">
          <cell r="A3382">
            <v>122678</v>
          </cell>
          <cell r="B3382" t="str">
            <v>159848-7</v>
          </cell>
        </row>
        <row r="3383">
          <cell r="A3383">
            <v>122900</v>
          </cell>
          <cell r="B3383" t="str">
            <v>67221584-311</v>
          </cell>
        </row>
        <row r="3384">
          <cell r="A3384">
            <v>122771</v>
          </cell>
          <cell r="B3384" t="str">
            <v>67220469-307</v>
          </cell>
        </row>
        <row r="3385">
          <cell r="A3385">
            <v>122735</v>
          </cell>
          <cell r="B3385" t="str">
            <v>2310561-7</v>
          </cell>
        </row>
        <row r="3386">
          <cell r="A3386">
            <v>122784</v>
          </cell>
          <cell r="B3386" t="str">
            <v>S9300D0153X0075</v>
          </cell>
        </row>
        <row r="3387">
          <cell r="A3387">
            <v>122885</v>
          </cell>
          <cell r="B3387" t="str">
            <v>2305895-73</v>
          </cell>
        </row>
        <row r="3388">
          <cell r="A3388">
            <v>122801</v>
          </cell>
          <cell r="B3388" t="str">
            <v>2309825-3</v>
          </cell>
        </row>
        <row r="3389">
          <cell r="A3389">
            <v>122792</v>
          </cell>
          <cell r="B3389" t="str">
            <v>2306316-11</v>
          </cell>
        </row>
        <row r="3390">
          <cell r="A3390">
            <v>122803</v>
          </cell>
          <cell r="B3390" t="str">
            <v>2306368-5</v>
          </cell>
        </row>
        <row r="3391">
          <cell r="A3391">
            <v>122638</v>
          </cell>
          <cell r="B3391" t="str">
            <v>S9300D0228B0947</v>
          </cell>
        </row>
        <row r="3392">
          <cell r="A3392">
            <v>122711</v>
          </cell>
          <cell r="B3392" t="str">
            <v>2309661-9</v>
          </cell>
        </row>
        <row r="3393">
          <cell r="A3393">
            <v>122629</v>
          </cell>
          <cell r="B3393" t="str">
            <v>2306287-9</v>
          </cell>
        </row>
        <row r="3394">
          <cell r="A3394">
            <v>122752</v>
          </cell>
          <cell r="B3394" t="str">
            <v>S9300D0206X0488</v>
          </cell>
        </row>
        <row r="3395">
          <cell r="A3395">
            <v>122835</v>
          </cell>
          <cell r="B3395" t="str">
            <v>2310450-7</v>
          </cell>
        </row>
        <row r="3396">
          <cell r="A3396">
            <v>122720</v>
          </cell>
          <cell r="B3396" t="str">
            <v>S9300D0200S0529</v>
          </cell>
        </row>
        <row r="3397">
          <cell r="A3397">
            <v>122807</v>
          </cell>
          <cell r="B3397" t="str">
            <v>2372668-5</v>
          </cell>
        </row>
        <row r="3398">
          <cell r="A3398">
            <v>122687</v>
          </cell>
          <cell r="B3398" t="str">
            <v>2305964-11</v>
          </cell>
        </row>
        <row r="3399">
          <cell r="A3399">
            <v>122845</v>
          </cell>
          <cell r="B3399" t="str">
            <v>2310205-9</v>
          </cell>
        </row>
        <row r="3400">
          <cell r="A3400">
            <v>122787</v>
          </cell>
          <cell r="B3400" t="str">
            <v>S9300D0206B0351</v>
          </cell>
        </row>
        <row r="3401">
          <cell r="A3401">
            <v>122683</v>
          </cell>
          <cell r="B3401" t="str">
            <v>2305895-57</v>
          </cell>
        </row>
        <row r="3402">
          <cell r="A3402">
            <v>122828</v>
          </cell>
          <cell r="B3402" t="str">
            <v>S9178F0332L0975</v>
          </cell>
        </row>
        <row r="3403">
          <cell r="A3403">
            <v>122692</v>
          </cell>
          <cell r="B3403" t="str">
            <v>2306026-37</v>
          </cell>
        </row>
        <row r="3404">
          <cell r="A3404">
            <v>122790</v>
          </cell>
          <cell r="B3404" t="str">
            <v>2305562-1</v>
          </cell>
        </row>
        <row r="3405">
          <cell r="A3405">
            <v>122716</v>
          </cell>
          <cell r="B3405" t="str">
            <v>67221584-325</v>
          </cell>
        </row>
        <row r="3406">
          <cell r="A3406">
            <v>122815</v>
          </cell>
          <cell r="B3406" t="str">
            <v>2310205-11</v>
          </cell>
        </row>
        <row r="3407">
          <cell r="A3407">
            <v>122785</v>
          </cell>
          <cell r="B3407" t="str">
            <v>2307141-9</v>
          </cell>
        </row>
        <row r="3408">
          <cell r="A3408">
            <v>122822</v>
          </cell>
          <cell r="B3408" t="str">
            <v>2306316-9</v>
          </cell>
        </row>
        <row r="3409">
          <cell r="A3409">
            <v>122727</v>
          </cell>
          <cell r="B3409" t="str">
            <v>2309685-21</v>
          </cell>
        </row>
        <row r="3410">
          <cell r="A3410">
            <v>122705</v>
          </cell>
          <cell r="B3410" t="str">
            <v>S9300D0075X0656</v>
          </cell>
        </row>
        <row r="3411">
          <cell r="A3411">
            <v>122658</v>
          </cell>
          <cell r="B3411" t="str">
            <v>2372710-23</v>
          </cell>
        </row>
        <row r="3412">
          <cell r="A3412">
            <v>122627</v>
          </cell>
          <cell r="B3412" t="str">
            <v>67220007-313</v>
          </cell>
        </row>
        <row r="3413">
          <cell r="A3413">
            <v>122816</v>
          </cell>
          <cell r="B3413" t="str">
            <v>2305444-19</v>
          </cell>
        </row>
        <row r="3414">
          <cell r="A3414">
            <v>122626</v>
          </cell>
          <cell r="B3414" t="str">
            <v>67222379-1</v>
          </cell>
        </row>
        <row r="3415">
          <cell r="A3415">
            <v>122654</v>
          </cell>
          <cell r="B3415" t="str">
            <v>67221333-315</v>
          </cell>
        </row>
        <row r="3416">
          <cell r="A3416">
            <v>122631</v>
          </cell>
          <cell r="B3416" t="str">
            <v>2306288-9</v>
          </cell>
        </row>
        <row r="3417">
          <cell r="A3417">
            <v>122776</v>
          </cell>
          <cell r="B3417" t="str">
            <v>S9300D0300S0325</v>
          </cell>
        </row>
        <row r="3418">
          <cell r="A3418">
            <v>122703</v>
          </cell>
          <cell r="B3418" t="str">
            <v>2300315-2</v>
          </cell>
        </row>
        <row r="3419">
          <cell r="A3419">
            <v>122824</v>
          </cell>
          <cell r="B3419" t="str">
            <v>67220562-308</v>
          </cell>
        </row>
        <row r="3420">
          <cell r="A3420">
            <v>122788</v>
          </cell>
          <cell r="B3420" t="str">
            <v>190145-9</v>
          </cell>
        </row>
        <row r="3421">
          <cell r="A3421">
            <v>122715</v>
          </cell>
          <cell r="B3421" t="str">
            <v>67221576-325</v>
          </cell>
        </row>
        <row r="3422">
          <cell r="A3422">
            <v>122863</v>
          </cell>
          <cell r="B3422" t="str">
            <v>2307759-9</v>
          </cell>
        </row>
        <row r="3423">
          <cell r="A3423">
            <v>122639</v>
          </cell>
          <cell r="B3423" t="str">
            <v>S9300D0366B0461</v>
          </cell>
        </row>
        <row r="3424">
          <cell r="A3424">
            <v>122871</v>
          </cell>
          <cell r="B3424" t="str">
            <v>S9178C0500T1149</v>
          </cell>
        </row>
        <row r="3425">
          <cell r="A3425">
            <v>122741</v>
          </cell>
          <cell r="B3425" t="str">
            <v>67220221-27</v>
          </cell>
        </row>
        <row r="3426">
          <cell r="A3426">
            <v>122690</v>
          </cell>
          <cell r="B3426" t="str">
            <v>2306026-31</v>
          </cell>
        </row>
        <row r="3427">
          <cell r="A3427">
            <v>122649</v>
          </cell>
          <cell r="B3427" t="str">
            <v>67221333-311</v>
          </cell>
        </row>
        <row r="3428">
          <cell r="A3428">
            <v>122674</v>
          </cell>
          <cell r="B3428" t="str">
            <v>67220014-9//SS2</v>
          </cell>
        </row>
        <row r="3429">
          <cell r="A3429">
            <v>122876</v>
          </cell>
          <cell r="B3429" t="str">
            <v>2304890-3</v>
          </cell>
        </row>
        <row r="3430">
          <cell r="A3430">
            <v>122858</v>
          </cell>
          <cell r="B3430" t="str">
            <v>2305012-7</v>
          </cell>
        </row>
        <row r="3431">
          <cell r="A3431">
            <v>122777</v>
          </cell>
          <cell r="B3431" t="str">
            <v>2310026-9</v>
          </cell>
        </row>
        <row r="3432">
          <cell r="A3432">
            <v>122633</v>
          </cell>
          <cell r="B3432" t="str">
            <v>2306295-7</v>
          </cell>
        </row>
        <row r="3433">
          <cell r="A3433">
            <v>122750</v>
          </cell>
          <cell r="B3433" t="str">
            <v>S9300D0185S0488</v>
          </cell>
        </row>
        <row r="3434">
          <cell r="A3434">
            <v>122891</v>
          </cell>
          <cell r="B3434" t="str">
            <v>S9176A0767J0997</v>
          </cell>
        </row>
        <row r="3435">
          <cell r="A3435">
            <v>122789</v>
          </cell>
          <cell r="B3435" t="str">
            <v>2311286-13</v>
          </cell>
        </row>
        <row r="3436">
          <cell r="A3436">
            <v>122653</v>
          </cell>
          <cell r="B3436" t="str">
            <v>67221333-307</v>
          </cell>
        </row>
        <row r="3437">
          <cell r="A3437">
            <v>122837</v>
          </cell>
          <cell r="B3437" t="str">
            <v>2311286-11</v>
          </cell>
        </row>
        <row r="3438">
          <cell r="A3438">
            <v>122864</v>
          </cell>
          <cell r="B3438" t="str">
            <v>191864-1</v>
          </cell>
        </row>
        <row r="3439">
          <cell r="A3439">
            <v>122622</v>
          </cell>
          <cell r="B3439" t="str">
            <v>2310205-15</v>
          </cell>
        </row>
        <row r="3440">
          <cell r="A3440">
            <v>122770</v>
          </cell>
          <cell r="B3440" t="str">
            <v>67220463-305</v>
          </cell>
        </row>
        <row r="3441">
          <cell r="A3441">
            <v>122804</v>
          </cell>
          <cell r="B3441" t="str">
            <v>2372600-5</v>
          </cell>
        </row>
        <row r="3442">
          <cell r="A3442">
            <v>122709</v>
          </cell>
          <cell r="B3442" t="str">
            <v>2305964-13</v>
          </cell>
        </row>
        <row r="3443">
          <cell r="A3443">
            <v>122698</v>
          </cell>
          <cell r="B3443" t="str">
            <v>176423-160D0505</v>
          </cell>
        </row>
        <row r="3444">
          <cell r="A3444">
            <v>122708</v>
          </cell>
          <cell r="B3444" t="str">
            <v>S9300D0100X1645</v>
          </cell>
        </row>
        <row r="3445">
          <cell r="A3445">
            <v>122645</v>
          </cell>
          <cell r="B3445" t="str">
            <v>2305564-1</v>
          </cell>
        </row>
        <row r="3446">
          <cell r="A3446">
            <v>122794</v>
          </cell>
          <cell r="B3446" t="str">
            <v>S9178F0890L1254</v>
          </cell>
        </row>
        <row r="3447">
          <cell r="A3447">
            <v>122700</v>
          </cell>
          <cell r="B3447" t="str">
            <v>2300314-1</v>
          </cell>
        </row>
        <row r="3448">
          <cell r="A3448">
            <v>122817</v>
          </cell>
          <cell r="B3448" t="str">
            <v>S9178F0947L0668</v>
          </cell>
        </row>
        <row r="3449">
          <cell r="A3449">
            <v>122702</v>
          </cell>
          <cell r="B3449" t="str">
            <v>2300315-1</v>
          </cell>
        </row>
        <row r="3450">
          <cell r="A3450">
            <v>122768</v>
          </cell>
          <cell r="B3450" t="str">
            <v>67220469-305</v>
          </cell>
        </row>
        <row r="3451">
          <cell r="A3451">
            <v>122676</v>
          </cell>
          <cell r="B3451" t="str">
            <v>S9300D0100B0351</v>
          </cell>
        </row>
        <row r="3452">
          <cell r="A3452">
            <v>122774</v>
          </cell>
          <cell r="B3452" t="str">
            <v>67220463-307</v>
          </cell>
        </row>
        <row r="3453">
          <cell r="A3453">
            <v>122884</v>
          </cell>
          <cell r="B3453" t="str">
            <v>2309723-7</v>
          </cell>
        </row>
        <row r="3454">
          <cell r="A3454">
            <v>122869</v>
          </cell>
          <cell r="B3454" t="str">
            <v>S9301K0283V0187</v>
          </cell>
        </row>
        <row r="3455">
          <cell r="A3455">
            <v>122855</v>
          </cell>
          <cell r="B3455" t="str">
            <v>2309620-15</v>
          </cell>
        </row>
        <row r="3456">
          <cell r="A3456">
            <v>122693</v>
          </cell>
          <cell r="B3456" t="str">
            <v>2306026-41</v>
          </cell>
        </row>
        <row r="3457">
          <cell r="A3457">
            <v>122843</v>
          </cell>
          <cell r="B3457" t="str">
            <v>2307759-23</v>
          </cell>
        </row>
        <row r="3458">
          <cell r="A3458">
            <v>122704</v>
          </cell>
          <cell r="B3458" t="str">
            <v>S9300D0075X0175</v>
          </cell>
        </row>
        <row r="3459">
          <cell r="A3459">
            <v>122681</v>
          </cell>
          <cell r="B3459" t="str">
            <v>2305895-51</v>
          </cell>
        </row>
        <row r="3460">
          <cell r="A3460">
            <v>122746</v>
          </cell>
          <cell r="B3460" t="str">
            <v>S9300D0250X0638</v>
          </cell>
        </row>
        <row r="3461">
          <cell r="A3461">
            <v>122762</v>
          </cell>
          <cell r="B3461" t="str">
            <v>2311229-17</v>
          </cell>
        </row>
        <row r="3462">
          <cell r="A3462">
            <v>122761</v>
          </cell>
          <cell r="B3462" t="str">
            <v>2311230-7</v>
          </cell>
        </row>
        <row r="3463">
          <cell r="A3463">
            <v>122846</v>
          </cell>
          <cell r="B3463" t="str">
            <v>2306368-7</v>
          </cell>
        </row>
        <row r="3464">
          <cell r="A3464">
            <v>122889</v>
          </cell>
          <cell r="B3464" t="str">
            <v>67220007-311</v>
          </cell>
        </row>
        <row r="3465">
          <cell r="A3465">
            <v>122874</v>
          </cell>
          <cell r="B3465" t="str">
            <v>2310278-5</v>
          </cell>
        </row>
        <row r="3466">
          <cell r="A3466">
            <v>122782</v>
          </cell>
          <cell r="B3466" t="str">
            <v>2307140-9</v>
          </cell>
        </row>
        <row r="3467">
          <cell r="A3467">
            <v>122826</v>
          </cell>
          <cell r="B3467" t="str">
            <v>2308974-5</v>
          </cell>
        </row>
        <row r="3468">
          <cell r="A3468">
            <v>122886</v>
          </cell>
          <cell r="B3468" t="str">
            <v>2309661-5</v>
          </cell>
        </row>
        <row r="3469">
          <cell r="A3469">
            <v>122849</v>
          </cell>
          <cell r="B3469" t="str">
            <v>67221070-305</v>
          </cell>
        </row>
        <row r="3470">
          <cell r="A3470">
            <v>122684</v>
          </cell>
          <cell r="B3470" t="str">
            <v>2305895-61</v>
          </cell>
        </row>
        <row r="3471">
          <cell r="A3471">
            <v>122701</v>
          </cell>
          <cell r="B3471" t="str">
            <v>2300314-2</v>
          </cell>
        </row>
        <row r="3472">
          <cell r="A3472">
            <v>122853</v>
          </cell>
          <cell r="B3472" t="str">
            <v>2308547-7</v>
          </cell>
        </row>
        <row r="3473">
          <cell r="A3473">
            <v>122730</v>
          </cell>
          <cell r="B3473" t="str">
            <v>2309723-25</v>
          </cell>
        </row>
        <row r="3474">
          <cell r="A3474">
            <v>122617</v>
          </cell>
          <cell r="B3474" t="str">
            <v>67221118-327</v>
          </cell>
        </row>
        <row r="3475">
          <cell r="A3475">
            <v>122620</v>
          </cell>
          <cell r="B3475" t="str">
            <v>2310450-17</v>
          </cell>
        </row>
        <row r="3476">
          <cell r="A3476">
            <v>122621</v>
          </cell>
          <cell r="B3476" t="str">
            <v>67220288-307</v>
          </cell>
        </row>
        <row r="3477">
          <cell r="A3477">
            <v>122618</v>
          </cell>
          <cell r="B3477" t="str">
            <v>67221118-329</v>
          </cell>
        </row>
        <row r="3478">
          <cell r="A3478">
            <v>122898</v>
          </cell>
          <cell r="B3478" t="str">
            <v>2303181-1</v>
          </cell>
        </row>
        <row r="3479">
          <cell r="A3479">
            <v>122747</v>
          </cell>
          <cell r="B3479" t="str">
            <v>S9300D0200S0525</v>
          </cell>
        </row>
        <row r="3480">
          <cell r="A3480">
            <v>122642</v>
          </cell>
          <cell r="B3480" t="str">
            <v>S9300D0250B0668</v>
          </cell>
        </row>
        <row r="3481">
          <cell r="A3481">
            <v>122632</v>
          </cell>
          <cell r="B3481" t="str">
            <v>2310450-15</v>
          </cell>
        </row>
        <row r="3482">
          <cell r="A3482">
            <v>122859</v>
          </cell>
          <cell r="B3482" t="str">
            <v>67221538-305</v>
          </cell>
        </row>
        <row r="3483">
          <cell r="A3483">
            <v>122902</v>
          </cell>
          <cell r="B3483" t="str">
            <v>67220011-5</v>
          </cell>
        </row>
        <row r="3484">
          <cell r="A3484">
            <v>122779</v>
          </cell>
          <cell r="B3484" t="str">
            <v>S8480C0053M1044</v>
          </cell>
        </row>
        <row r="3485">
          <cell r="A3485">
            <v>122758</v>
          </cell>
          <cell r="B3485" t="str">
            <v>2307815-29</v>
          </cell>
        </row>
        <row r="3486">
          <cell r="A3486">
            <v>122660</v>
          </cell>
          <cell r="B3486" t="str">
            <v>2310026-7</v>
          </cell>
        </row>
        <row r="3487">
          <cell r="A3487">
            <v>122851</v>
          </cell>
          <cell r="B3487" t="str">
            <v>2310020-5</v>
          </cell>
        </row>
        <row r="3488">
          <cell r="A3488">
            <v>122722</v>
          </cell>
          <cell r="B3488" t="str">
            <v>S9300D0200X0606</v>
          </cell>
        </row>
        <row r="3489">
          <cell r="A3489">
            <v>122646</v>
          </cell>
          <cell r="B3489" t="str">
            <v>67222379-2</v>
          </cell>
        </row>
        <row r="3490">
          <cell r="A3490">
            <v>122630</v>
          </cell>
          <cell r="B3490" t="str">
            <v>2306288-7</v>
          </cell>
        </row>
        <row r="3491">
          <cell r="A3491">
            <v>122780</v>
          </cell>
          <cell r="B3491" t="str">
            <v>2307140-7</v>
          </cell>
        </row>
        <row r="3492">
          <cell r="A3492">
            <v>122691</v>
          </cell>
          <cell r="B3492" t="str">
            <v>2306026-33</v>
          </cell>
        </row>
        <row r="3493">
          <cell r="A3493">
            <v>122866</v>
          </cell>
          <cell r="B3493" t="str">
            <v>2309685-5</v>
          </cell>
        </row>
        <row r="3494">
          <cell r="A3494">
            <v>122836</v>
          </cell>
          <cell r="B3494" t="str">
            <v>2310450-9</v>
          </cell>
        </row>
        <row r="3495">
          <cell r="A3495">
            <v>122781</v>
          </cell>
          <cell r="B3495" t="str">
            <v>S8480C0078M1050</v>
          </cell>
        </row>
        <row r="3496">
          <cell r="A3496">
            <v>122791</v>
          </cell>
          <cell r="B3496" t="str">
            <v>2302291-1</v>
          </cell>
        </row>
        <row r="3497">
          <cell r="A3497">
            <v>122860</v>
          </cell>
          <cell r="B3497" t="str">
            <v>67221538-307</v>
          </cell>
        </row>
        <row r="3498">
          <cell r="A3498">
            <v>122661</v>
          </cell>
          <cell r="B3498" t="str">
            <v>S9300L0100X0500</v>
          </cell>
        </row>
        <row r="3499">
          <cell r="A3499">
            <v>122764</v>
          </cell>
          <cell r="B3499" t="str">
            <v>S9300D0250X0975</v>
          </cell>
        </row>
        <row r="3500">
          <cell r="A3500">
            <v>122765</v>
          </cell>
          <cell r="B3500" t="str">
            <v>S9300D0178X0975</v>
          </cell>
        </row>
        <row r="3501">
          <cell r="A3501">
            <v>122862</v>
          </cell>
          <cell r="B3501" t="str">
            <v>S9178D0500M1149</v>
          </cell>
        </row>
        <row r="3502">
          <cell r="A3502">
            <v>122878</v>
          </cell>
          <cell r="B3502" t="str">
            <v>S9180F0463H2460</v>
          </cell>
        </row>
        <row r="3503">
          <cell r="A3503">
            <v>122657</v>
          </cell>
          <cell r="B3503" t="str">
            <v>2372710-21</v>
          </cell>
        </row>
        <row r="3504">
          <cell r="A3504">
            <v>122729</v>
          </cell>
          <cell r="B3504" t="str">
            <v>2309723-23</v>
          </cell>
        </row>
        <row r="3505">
          <cell r="A3505">
            <v>122619</v>
          </cell>
          <cell r="B3505" t="str">
            <v>67221333-309</v>
          </cell>
        </row>
        <row r="3506">
          <cell r="A3506">
            <v>122663</v>
          </cell>
          <cell r="B3506" t="str">
            <v>190145-13</v>
          </cell>
        </row>
        <row r="3507">
          <cell r="A3507">
            <v>122753</v>
          </cell>
          <cell r="B3507" t="str">
            <v>67220540-317</v>
          </cell>
        </row>
        <row r="3508">
          <cell r="A3508">
            <v>122680</v>
          </cell>
          <cell r="B3508" t="str">
            <v>2305895-49</v>
          </cell>
        </row>
        <row r="3509">
          <cell r="A3509">
            <v>122637</v>
          </cell>
          <cell r="B3509" t="str">
            <v>67220234-307</v>
          </cell>
        </row>
        <row r="3510">
          <cell r="A3510">
            <v>122737</v>
          </cell>
          <cell r="B3510" t="str">
            <v>67220221-15</v>
          </cell>
        </row>
        <row r="3511">
          <cell r="A3511">
            <v>122662</v>
          </cell>
          <cell r="B3511" t="str">
            <v>S9300D0250B0601</v>
          </cell>
        </row>
        <row r="3512">
          <cell r="A3512">
            <v>122756</v>
          </cell>
          <cell r="B3512" t="str">
            <v>2311229-7</v>
          </cell>
        </row>
        <row r="3513">
          <cell r="A3513">
            <v>122775</v>
          </cell>
          <cell r="B3513" t="str">
            <v>67220540-305</v>
          </cell>
        </row>
        <row r="3514">
          <cell r="A3514">
            <v>122671</v>
          </cell>
          <cell r="B3514" t="str">
            <v>67220011-9//SS2</v>
          </cell>
        </row>
        <row r="3515">
          <cell r="A3515">
            <v>122888</v>
          </cell>
          <cell r="B3515" t="str">
            <v>S9178F0525M1565</v>
          </cell>
        </row>
        <row r="3516">
          <cell r="A3516">
            <v>122739</v>
          </cell>
          <cell r="B3516" t="str">
            <v>67220221-23</v>
          </cell>
        </row>
        <row r="3517">
          <cell r="A3517">
            <v>122773</v>
          </cell>
          <cell r="B3517" t="str">
            <v>S9300D0075X0750</v>
          </cell>
        </row>
        <row r="3518">
          <cell r="A3518">
            <v>122811</v>
          </cell>
          <cell r="B3518" t="str">
            <v>67220288-303</v>
          </cell>
        </row>
        <row r="3519">
          <cell r="A3519">
            <v>122880</v>
          </cell>
          <cell r="B3519" t="str">
            <v>67220469-303</v>
          </cell>
        </row>
        <row r="3520">
          <cell r="A3520">
            <v>122797</v>
          </cell>
          <cell r="B3520" t="str">
            <v>67221461-317</v>
          </cell>
        </row>
        <row r="3521">
          <cell r="A3521">
            <v>122757</v>
          </cell>
          <cell r="B3521" t="str">
            <v>191865-7</v>
          </cell>
        </row>
        <row r="3522">
          <cell r="A3522">
            <v>122734</v>
          </cell>
          <cell r="B3522" t="str">
            <v>2310561-21</v>
          </cell>
        </row>
        <row r="3523">
          <cell r="A3523">
            <v>122879</v>
          </cell>
          <cell r="B3523" t="str">
            <v>S9180F0088H1546</v>
          </cell>
        </row>
        <row r="3524">
          <cell r="A3524">
            <v>122868</v>
          </cell>
          <cell r="B3524" t="str">
            <v>2301195-2</v>
          </cell>
        </row>
        <row r="3525">
          <cell r="A3525">
            <v>122625</v>
          </cell>
          <cell r="B3525" t="str">
            <v>2310020-9</v>
          </cell>
        </row>
        <row r="3526">
          <cell r="A3526">
            <v>122754</v>
          </cell>
          <cell r="B3526" t="str">
            <v>S9300D0250X0332</v>
          </cell>
        </row>
        <row r="3527">
          <cell r="A3527">
            <v>122905</v>
          </cell>
          <cell r="B3527" t="str">
            <v>S9178F0500M1149</v>
          </cell>
        </row>
        <row r="3528">
          <cell r="A3528">
            <v>122725</v>
          </cell>
          <cell r="B3528" t="str">
            <v>67220560-302</v>
          </cell>
        </row>
        <row r="3529">
          <cell r="A3529">
            <v>122731</v>
          </cell>
          <cell r="B3529" t="str">
            <v>2309723-27</v>
          </cell>
        </row>
        <row r="3530">
          <cell r="A3530">
            <v>122848</v>
          </cell>
          <cell r="B3530" t="str">
            <v>2372640-3</v>
          </cell>
        </row>
        <row r="3531">
          <cell r="A3531">
            <v>122738</v>
          </cell>
          <cell r="B3531" t="str">
            <v>67220221-17</v>
          </cell>
        </row>
        <row r="3532">
          <cell r="A3532">
            <v>122650</v>
          </cell>
          <cell r="B3532" t="str">
            <v>67221333-313</v>
          </cell>
        </row>
        <row r="3533">
          <cell r="A3533">
            <v>122712</v>
          </cell>
          <cell r="B3533" t="str">
            <v>S9300C0080X0575</v>
          </cell>
        </row>
        <row r="3534">
          <cell r="A3534">
            <v>122728</v>
          </cell>
          <cell r="B3534" t="str">
            <v>2311286-15</v>
          </cell>
        </row>
        <row r="3535">
          <cell r="A3535">
            <v>122890</v>
          </cell>
          <cell r="B3535" t="str">
            <v>67220591-307</v>
          </cell>
        </row>
        <row r="3536">
          <cell r="A3536">
            <v>122656</v>
          </cell>
          <cell r="B3536" t="str">
            <v>2372710-19</v>
          </cell>
        </row>
        <row r="3537">
          <cell r="A3537">
            <v>122763</v>
          </cell>
          <cell r="B3537" t="str">
            <v>S9300D0200B1565</v>
          </cell>
        </row>
        <row r="3538">
          <cell r="A3538">
            <v>122893</v>
          </cell>
          <cell r="B3538" t="str">
            <v>2309704-11</v>
          </cell>
        </row>
        <row r="3539">
          <cell r="A3539">
            <v>122821</v>
          </cell>
          <cell r="B3539" t="str">
            <v>2305012-9</v>
          </cell>
        </row>
        <row r="3540">
          <cell r="A3540">
            <v>122672</v>
          </cell>
          <cell r="B3540" t="str">
            <v>67220012-9//SS2</v>
          </cell>
        </row>
        <row r="3541">
          <cell r="A3541">
            <v>122682</v>
          </cell>
          <cell r="B3541" t="str">
            <v>2305895-53</v>
          </cell>
        </row>
        <row r="3542">
          <cell r="A3542">
            <v>122901</v>
          </cell>
          <cell r="B3542" t="str">
            <v>2306068-7</v>
          </cell>
        </row>
        <row r="3543">
          <cell r="A3543">
            <v>122814</v>
          </cell>
          <cell r="B3543" t="str">
            <v>67221070-309</v>
          </cell>
        </row>
        <row r="3544">
          <cell r="A3544">
            <v>122696</v>
          </cell>
          <cell r="B3544" t="str">
            <v>67220012-7//SS2</v>
          </cell>
        </row>
        <row r="3545">
          <cell r="A3545">
            <v>122800</v>
          </cell>
          <cell r="B3545" t="str">
            <v>2306287-5</v>
          </cell>
        </row>
        <row r="3546">
          <cell r="A3546">
            <v>122842</v>
          </cell>
          <cell r="B3546" t="str">
            <v>2309687-5</v>
          </cell>
        </row>
        <row r="3547">
          <cell r="A3547">
            <v>122740</v>
          </cell>
          <cell r="B3547" t="str">
            <v>67220221-25</v>
          </cell>
        </row>
        <row r="3548">
          <cell r="A3548">
            <v>122881</v>
          </cell>
          <cell r="B3548" t="str">
            <v>2311229-5</v>
          </cell>
        </row>
        <row r="3549">
          <cell r="A3549">
            <v>122832</v>
          </cell>
          <cell r="B3549" t="str">
            <v>67221461-311</v>
          </cell>
        </row>
        <row r="3550">
          <cell r="A3550">
            <v>122745</v>
          </cell>
          <cell r="B3550" t="str">
            <v>S9300C0235B0861</v>
          </cell>
        </row>
        <row r="3551">
          <cell r="A3551">
            <v>122718</v>
          </cell>
          <cell r="B3551" t="str">
            <v>L8603113-3</v>
          </cell>
        </row>
        <row r="3552">
          <cell r="A3552">
            <v>122865</v>
          </cell>
          <cell r="B3552" t="str">
            <v>2300119-1</v>
          </cell>
        </row>
        <row r="3553">
          <cell r="A3553">
            <v>122688</v>
          </cell>
          <cell r="B3553" t="str">
            <v>2305964-5</v>
          </cell>
        </row>
        <row r="3554">
          <cell r="A3554">
            <v>122694</v>
          </cell>
          <cell r="B3554" t="str">
            <v>2306063-9</v>
          </cell>
        </row>
        <row r="3555">
          <cell r="A3555">
            <v>122726</v>
          </cell>
          <cell r="B3555" t="str">
            <v>67221584-327</v>
          </cell>
        </row>
        <row r="3556">
          <cell r="A3556">
            <v>122903</v>
          </cell>
          <cell r="B3556" t="str">
            <v>189344-4</v>
          </cell>
        </row>
        <row r="3557">
          <cell r="A3557">
            <v>122723</v>
          </cell>
          <cell r="B3557" t="str">
            <v>S9300D0200X0690</v>
          </cell>
        </row>
        <row r="3558">
          <cell r="A3558">
            <v>122827</v>
          </cell>
          <cell r="B3558" t="str">
            <v>67221538-303</v>
          </cell>
        </row>
        <row r="3559">
          <cell r="A3559">
            <v>122742</v>
          </cell>
          <cell r="B3559" t="str">
            <v>67220221-7</v>
          </cell>
        </row>
        <row r="3560">
          <cell r="A3560">
            <v>122675</v>
          </cell>
          <cell r="B3560" t="str">
            <v>67221576-327</v>
          </cell>
        </row>
        <row r="3561">
          <cell r="A3561">
            <v>122875</v>
          </cell>
          <cell r="B3561" t="str">
            <v>S7305B0300G0400</v>
          </cell>
        </row>
        <row r="3562">
          <cell r="A3562">
            <v>122641</v>
          </cell>
          <cell r="B3562" t="str">
            <v>2309687-9</v>
          </cell>
        </row>
        <row r="3563">
          <cell r="A3563">
            <v>122883</v>
          </cell>
          <cell r="B3563" t="str">
            <v>67220463-303</v>
          </cell>
        </row>
        <row r="3564">
          <cell r="A3564">
            <v>122755</v>
          </cell>
          <cell r="B3564" t="str">
            <v>S9300D0200B0525</v>
          </cell>
        </row>
        <row r="3565">
          <cell r="A3565">
            <v>122812</v>
          </cell>
          <cell r="B3565" t="str">
            <v>2372710-7</v>
          </cell>
        </row>
        <row r="3566">
          <cell r="A3566">
            <v>122838</v>
          </cell>
          <cell r="B3566" t="str">
            <v>67220562-306</v>
          </cell>
        </row>
        <row r="3567">
          <cell r="A3567">
            <v>122825</v>
          </cell>
          <cell r="B3567" t="str">
            <v>2308974-3</v>
          </cell>
        </row>
        <row r="3568">
          <cell r="A3568">
            <v>122847</v>
          </cell>
          <cell r="B3568" t="str">
            <v>2304890-5</v>
          </cell>
        </row>
        <row r="3569">
          <cell r="A3569">
            <v>122651</v>
          </cell>
          <cell r="B3569" t="str">
            <v>67221118-325</v>
          </cell>
        </row>
        <row r="3570">
          <cell r="A3570">
            <v>122644</v>
          </cell>
          <cell r="B3570" t="str">
            <v>67220235-307</v>
          </cell>
        </row>
        <row r="3571">
          <cell r="A3571">
            <v>122872</v>
          </cell>
          <cell r="B3571" t="str">
            <v>2310278-9</v>
          </cell>
        </row>
        <row r="3572">
          <cell r="A3572">
            <v>122732</v>
          </cell>
          <cell r="B3572" t="str">
            <v>2309724-15</v>
          </cell>
        </row>
        <row r="3573">
          <cell r="A3573">
            <v>122810</v>
          </cell>
          <cell r="B3573" t="str">
            <v>2305561-1</v>
          </cell>
        </row>
        <row r="3574">
          <cell r="A3574">
            <v>122668</v>
          </cell>
          <cell r="B3574" t="str">
            <v>2307815-25</v>
          </cell>
        </row>
        <row r="3575">
          <cell r="A3575">
            <v>122852</v>
          </cell>
          <cell r="B3575" t="str">
            <v>2309620-5</v>
          </cell>
        </row>
        <row r="3576">
          <cell r="A3576">
            <v>122623</v>
          </cell>
          <cell r="B3576" t="str">
            <v>67220007-315</v>
          </cell>
        </row>
        <row r="3577">
          <cell r="A3577">
            <v>122744</v>
          </cell>
          <cell r="B3577" t="str">
            <v>S9300C0206B0453</v>
          </cell>
        </row>
        <row r="3578">
          <cell r="A3578">
            <v>122840</v>
          </cell>
          <cell r="B3578" t="str">
            <v>S9178D0500L1149</v>
          </cell>
        </row>
        <row r="3579">
          <cell r="A3579">
            <v>122813</v>
          </cell>
          <cell r="B3579" t="str">
            <v>S9178F0550M1100</v>
          </cell>
        </row>
        <row r="3580">
          <cell r="A3580">
            <v>122834</v>
          </cell>
          <cell r="B3580" t="str">
            <v>S9178F0423L0844</v>
          </cell>
        </row>
        <row r="3581">
          <cell r="A3581">
            <v>122759</v>
          </cell>
          <cell r="B3581" t="str">
            <v>2311229-9</v>
          </cell>
        </row>
        <row r="3582">
          <cell r="A3582">
            <v>122870</v>
          </cell>
          <cell r="B3582" t="str">
            <v>2309687-17</v>
          </cell>
        </row>
        <row r="3583">
          <cell r="A3583">
            <v>122686</v>
          </cell>
          <cell r="B3583" t="str">
            <v>2305895-69</v>
          </cell>
        </row>
        <row r="3584">
          <cell r="A3584">
            <v>122887</v>
          </cell>
          <cell r="B3584" t="str">
            <v>67221118-323</v>
          </cell>
        </row>
        <row r="3585">
          <cell r="A3585">
            <v>122695</v>
          </cell>
          <cell r="B3585" t="str">
            <v>2306068-9</v>
          </cell>
        </row>
        <row r="3586">
          <cell r="A3586">
            <v>122799</v>
          </cell>
          <cell r="B3586" t="str">
            <v>67221333-303</v>
          </cell>
        </row>
        <row r="3587">
          <cell r="A3587">
            <v>122664</v>
          </cell>
          <cell r="B3587" t="str">
            <v>2304890-9</v>
          </cell>
        </row>
        <row r="3588">
          <cell r="A3588">
            <v>122751</v>
          </cell>
          <cell r="B3588" t="str">
            <v>S9300D0235X0863</v>
          </cell>
        </row>
        <row r="3589">
          <cell r="A3589">
            <v>122805</v>
          </cell>
          <cell r="B3589" t="str">
            <v>2306295-5</v>
          </cell>
        </row>
        <row r="3590">
          <cell r="A3590">
            <v>122856</v>
          </cell>
          <cell r="B3590" t="str">
            <v>S9598A0075P0100</v>
          </cell>
        </row>
        <row r="3591">
          <cell r="A3591">
            <v>122714</v>
          </cell>
          <cell r="B3591" t="str">
            <v>67220235-309</v>
          </cell>
        </row>
        <row r="3592">
          <cell r="A3592">
            <v>122833</v>
          </cell>
          <cell r="B3592" t="str">
            <v>2310278-11</v>
          </cell>
        </row>
        <row r="3593">
          <cell r="A3593">
            <v>122724</v>
          </cell>
          <cell r="B3593" t="str">
            <v>2309685-7</v>
          </cell>
        </row>
        <row r="3594">
          <cell r="A3594">
            <v>122793</v>
          </cell>
          <cell r="B3594" t="str">
            <v>S9178F0564L0601</v>
          </cell>
        </row>
        <row r="3595">
          <cell r="A3595">
            <v>122808</v>
          </cell>
          <cell r="B3595" t="str">
            <v>2306296-9</v>
          </cell>
        </row>
        <row r="3596">
          <cell r="A3596">
            <v>122786</v>
          </cell>
          <cell r="B3596" t="str">
            <v>S9300D0250S0500</v>
          </cell>
        </row>
        <row r="3597">
          <cell r="A3597">
            <v>122749</v>
          </cell>
          <cell r="B3597" t="str">
            <v>S9300D0250B0564</v>
          </cell>
        </row>
        <row r="3598">
          <cell r="A3598">
            <v>122743</v>
          </cell>
          <cell r="B3598" t="str">
            <v>67220221-9</v>
          </cell>
        </row>
        <row r="3599">
          <cell r="A3599">
            <v>122844</v>
          </cell>
          <cell r="B3599" t="str">
            <v>2309478-11</v>
          </cell>
        </row>
        <row r="3600">
          <cell r="A3600">
            <v>122760</v>
          </cell>
          <cell r="B3600" t="str">
            <v>S9300D0250X0519</v>
          </cell>
        </row>
        <row r="3601">
          <cell r="A3601">
            <v>122624</v>
          </cell>
          <cell r="B3601" t="str">
            <v>2310020-7</v>
          </cell>
        </row>
        <row r="3602">
          <cell r="A3602">
            <v>122736</v>
          </cell>
          <cell r="B3602" t="str">
            <v>2310561-9</v>
          </cell>
        </row>
        <row r="3603">
          <cell r="A3603">
            <v>122628</v>
          </cell>
          <cell r="B3603" t="str">
            <v>2306287-7</v>
          </cell>
        </row>
        <row r="3604">
          <cell r="A3604">
            <v>122719</v>
          </cell>
          <cell r="B3604" t="str">
            <v>S9300D0088X0314</v>
          </cell>
        </row>
        <row r="3605">
          <cell r="A3605">
            <v>122895</v>
          </cell>
          <cell r="B3605" t="str">
            <v>2306063-7</v>
          </cell>
        </row>
        <row r="3606">
          <cell r="A3606">
            <v>122796</v>
          </cell>
          <cell r="B3606" t="str">
            <v>S9178F0737L1254</v>
          </cell>
        </row>
        <row r="3607">
          <cell r="A3607">
            <v>122670</v>
          </cell>
          <cell r="B3607" t="str">
            <v>67220011-7//SS2</v>
          </cell>
        </row>
        <row r="3608">
          <cell r="A3608">
            <v>122896</v>
          </cell>
          <cell r="B3608" t="str">
            <v>2309704-7</v>
          </cell>
        </row>
        <row r="3609">
          <cell r="A3609">
            <v>122877</v>
          </cell>
          <cell r="B3609" t="str">
            <v>2310406-5</v>
          </cell>
        </row>
        <row r="3610">
          <cell r="A3610">
            <v>122850</v>
          </cell>
          <cell r="B3610" t="str">
            <v>67221070-307</v>
          </cell>
        </row>
        <row r="3611">
          <cell r="A3611">
            <v>122767</v>
          </cell>
          <cell r="B3611" t="str">
            <v>2311230-17</v>
          </cell>
        </row>
        <row r="3612">
          <cell r="A3612">
            <v>122713</v>
          </cell>
          <cell r="B3612" t="str">
            <v>193190-1</v>
          </cell>
        </row>
        <row r="3613">
          <cell r="A3613">
            <v>122882</v>
          </cell>
          <cell r="B3613" t="str">
            <v>2311230-5</v>
          </cell>
        </row>
        <row r="3614">
          <cell r="A3614">
            <v>122766</v>
          </cell>
          <cell r="B3614" t="str">
            <v>2311230-9</v>
          </cell>
        </row>
        <row r="3615">
          <cell r="A3615">
            <v>122806</v>
          </cell>
          <cell r="B3615" t="str">
            <v>2372505-5</v>
          </cell>
        </row>
        <row r="3616">
          <cell r="A3616">
            <v>122831</v>
          </cell>
          <cell r="B3616" t="str">
            <v>67221461-313</v>
          </cell>
        </row>
        <row r="3617">
          <cell r="A3617">
            <v>122710</v>
          </cell>
          <cell r="B3617" t="str">
            <v>2309661-7</v>
          </cell>
        </row>
        <row r="3618">
          <cell r="A3618">
            <v>122689</v>
          </cell>
          <cell r="B3618" t="str">
            <v>2305964-9</v>
          </cell>
        </row>
        <row r="3619">
          <cell r="A3619">
            <v>122655</v>
          </cell>
          <cell r="B3619" t="str">
            <v>67221333-317</v>
          </cell>
        </row>
        <row r="3620">
          <cell r="A3620">
            <v>122818</v>
          </cell>
          <cell r="B3620" t="str">
            <v>2310450-11</v>
          </cell>
        </row>
        <row r="3621">
          <cell r="A3621">
            <v>122823</v>
          </cell>
          <cell r="B3621" t="str">
            <v>S9178E0150M0700</v>
          </cell>
        </row>
        <row r="3622">
          <cell r="A3622">
            <v>122634</v>
          </cell>
          <cell r="B3622" t="str">
            <v>2306295-9</v>
          </cell>
        </row>
        <row r="3623">
          <cell r="A3623">
            <v>122830</v>
          </cell>
          <cell r="B3623" t="str">
            <v>67221461-315</v>
          </cell>
        </row>
        <row r="3624">
          <cell r="A3624">
            <v>122769</v>
          </cell>
          <cell r="B3624" t="str">
            <v>67220540-307</v>
          </cell>
        </row>
        <row r="3625">
          <cell r="A3625">
            <v>122802</v>
          </cell>
          <cell r="B3625" t="str">
            <v>2306288-5</v>
          </cell>
        </row>
        <row r="3626">
          <cell r="A3626">
            <v>122892</v>
          </cell>
          <cell r="B3626" t="str">
            <v>67220234-303</v>
          </cell>
        </row>
        <row r="3627">
          <cell r="A3627">
            <v>122665</v>
          </cell>
          <cell r="B3627" t="str">
            <v>2306063-11</v>
          </cell>
        </row>
        <row r="3628">
          <cell r="A3628">
            <v>122707</v>
          </cell>
          <cell r="B3628" t="str">
            <v>S9300D0100X0500</v>
          </cell>
        </row>
        <row r="3629">
          <cell r="A3629">
            <v>122697</v>
          </cell>
          <cell r="B3629" t="str">
            <v>176423-075D0780</v>
          </cell>
        </row>
        <row r="3630">
          <cell r="A3630">
            <v>122841</v>
          </cell>
          <cell r="B3630" t="str">
            <v>S9300C0250X0200</v>
          </cell>
        </row>
        <row r="3631">
          <cell r="A3631">
            <v>122783</v>
          </cell>
          <cell r="B3631" t="str">
            <v>2307141-7</v>
          </cell>
        </row>
        <row r="3632">
          <cell r="A3632">
            <v>122733</v>
          </cell>
          <cell r="B3632" t="str">
            <v>2309724-17</v>
          </cell>
        </row>
        <row r="3633">
          <cell r="A3633">
            <v>122706</v>
          </cell>
          <cell r="B3633" t="str">
            <v>S9300D0075X2460</v>
          </cell>
        </row>
        <row r="3634">
          <cell r="A3634">
            <v>122899</v>
          </cell>
          <cell r="B3634" t="str">
            <v>TP1K0235L2248</v>
          </cell>
        </row>
        <row r="3635">
          <cell r="A3635">
            <v>122820</v>
          </cell>
          <cell r="B3635" t="str">
            <v>2309620-3</v>
          </cell>
        </row>
        <row r="3636">
          <cell r="A3636">
            <v>122652</v>
          </cell>
          <cell r="B3636" t="str">
            <v>67221333-305</v>
          </cell>
        </row>
        <row r="3637">
          <cell r="A3637">
            <v>122635</v>
          </cell>
          <cell r="B3637" t="str">
            <v>2310205-13</v>
          </cell>
        </row>
        <row r="3638">
          <cell r="A3638">
            <v>122795</v>
          </cell>
          <cell r="B3638" t="str">
            <v>2372562-5</v>
          </cell>
        </row>
        <row r="3639">
          <cell r="A3639">
            <v>122873</v>
          </cell>
          <cell r="B3639" t="str">
            <v>2310278-7</v>
          </cell>
        </row>
        <row r="3640">
          <cell r="A3640">
            <v>122819</v>
          </cell>
          <cell r="B3640" t="str">
            <v>2310450-13</v>
          </cell>
        </row>
        <row r="3641">
          <cell r="A3641">
            <v>122669</v>
          </cell>
          <cell r="B3641" t="str">
            <v>2307815-27</v>
          </cell>
        </row>
        <row r="3642">
          <cell r="A3642">
            <v>122636</v>
          </cell>
          <cell r="B3642" t="str">
            <v>67220234-305</v>
          </cell>
        </row>
        <row r="3643">
          <cell r="A3643">
            <v>122772</v>
          </cell>
          <cell r="B3643" t="str">
            <v>S9300D0175X0200</v>
          </cell>
        </row>
        <row r="3644">
          <cell r="A3644">
            <v>122854</v>
          </cell>
          <cell r="B3644" t="str">
            <v>S9179B0108P0112</v>
          </cell>
        </row>
        <row r="3645">
          <cell r="A3645">
            <v>122366</v>
          </cell>
          <cell r="B3645" t="str">
            <v>2-121-500-12</v>
          </cell>
        </row>
        <row r="3646">
          <cell r="A3646">
            <v>122367</v>
          </cell>
          <cell r="B3646" t="str">
            <v>2-141-338-06</v>
          </cell>
        </row>
        <row r="3647">
          <cell r="A3647">
            <v>122368</v>
          </cell>
          <cell r="B3647" t="str">
            <v>3-140-358-03</v>
          </cell>
        </row>
        <row r="3648">
          <cell r="A3648">
            <v>122369</v>
          </cell>
          <cell r="B3648" t="str">
            <v>LH50681-06</v>
          </cell>
        </row>
        <row r="3649">
          <cell r="A3649">
            <v>122370</v>
          </cell>
          <cell r="B3649" t="str">
            <v>LH50682-05</v>
          </cell>
        </row>
        <row r="3650">
          <cell r="A3650">
            <v>122371</v>
          </cell>
          <cell r="B3650" t="str">
            <v>LH50683-03</v>
          </cell>
        </row>
        <row r="3651">
          <cell r="A3651">
            <v>123369</v>
          </cell>
          <cell r="B3651" t="str">
            <v>990-E0450-001</v>
          </cell>
        </row>
        <row r="3652">
          <cell r="A3652">
            <v>123372</v>
          </cell>
          <cell r="B3652" t="str">
            <v>990-4953-004</v>
          </cell>
        </row>
        <row r="3653">
          <cell r="A3653">
            <v>123371</v>
          </cell>
          <cell r="B3653" t="str">
            <v>990-4951-014</v>
          </cell>
        </row>
        <row r="3654">
          <cell r="A3654">
            <v>123370</v>
          </cell>
          <cell r="B3654" t="str">
            <v>990-4950-024</v>
          </cell>
        </row>
        <row r="3655">
          <cell r="A3655">
            <v>123743</v>
          </cell>
          <cell r="B3655">
            <v>2613113</v>
          </cell>
        </row>
        <row r="3656">
          <cell r="A3656">
            <v>123744</v>
          </cell>
          <cell r="B3656">
            <v>2611823</v>
          </cell>
        </row>
        <row r="3657">
          <cell r="A3657">
            <v>123741</v>
          </cell>
          <cell r="B3657">
            <v>2606298</v>
          </cell>
        </row>
        <row r="3658">
          <cell r="A3658">
            <v>123742</v>
          </cell>
          <cell r="B3658">
            <v>2611824</v>
          </cell>
        </row>
        <row r="3659">
          <cell r="A3659">
            <v>123786</v>
          </cell>
          <cell r="B3659" t="str">
            <v>2710493-7</v>
          </cell>
        </row>
        <row r="3660">
          <cell r="A3660">
            <v>123785</v>
          </cell>
          <cell r="B3660" t="str">
            <v>2708129-1</v>
          </cell>
        </row>
        <row r="3661">
          <cell r="A3661">
            <v>123791</v>
          </cell>
          <cell r="B3661" t="str">
            <v>67620930-1</v>
          </cell>
        </row>
        <row r="3662">
          <cell r="A3662">
            <v>123792</v>
          </cell>
          <cell r="B3662" t="str">
            <v>67620964-2</v>
          </cell>
        </row>
        <row r="3663">
          <cell r="A3663">
            <v>123788</v>
          </cell>
          <cell r="B3663" t="str">
            <v>2711776-2</v>
          </cell>
        </row>
        <row r="3664">
          <cell r="A3664">
            <v>123789</v>
          </cell>
          <cell r="B3664" t="str">
            <v>47407-2</v>
          </cell>
        </row>
        <row r="3665">
          <cell r="A3665">
            <v>123790</v>
          </cell>
          <cell r="B3665" t="str">
            <v>516048-1</v>
          </cell>
        </row>
        <row r="3666">
          <cell r="A3666">
            <v>123787</v>
          </cell>
          <cell r="B3666" t="str">
            <v>2711626-2</v>
          </cell>
        </row>
        <row r="3667">
          <cell r="A3667">
            <v>124445</v>
          </cell>
          <cell r="B3667" t="str">
            <v>1-100-563-02</v>
          </cell>
        </row>
        <row r="3668">
          <cell r="A3668">
            <v>124437</v>
          </cell>
          <cell r="B3668" t="str">
            <v>1-140-273-02</v>
          </cell>
        </row>
        <row r="3669">
          <cell r="A3669">
            <v>124444</v>
          </cell>
          <cell r="B3669" t="str">
            <v>1-100-118-08</v>
          </cell>
        </row>
        <row r="3670">
          <cell r="A3670">
            <v>124433</v>
          </cell>
          <cell r="B3670" t="str">
            <v>2-141-036-60</v>
          </cell>
        </row>
        <row r="3671">
          <cell r="A3671">
            <v>124434</v>
          </cell>
          <cell r="B3671" t="str">
            <v>3-110-002-82</v>
          </cell>
        </row>
        <row r="3672">
          <cell r="A3672">
            <v>124439</v>
          </cell>
          <cell r="B3672" t="str">
            <v>2-121-139-19</v>
          </cell>
        </row>
        <row r="3673">
          <cell r="A3673">
            <v>124443</v>
          </cell>
          <cell r="B3673" t="str">
            <v>2-121-139-29</v>
          </cell>
        </row>
        <row r="3674">
          <cell r="A3674">
            <v>124441</v>
          </cell>
          <cell r="B3674" t="str">
            <v>1-100-372-08</v>
          </cell>
        </row>
        <row r="3675">
          <cell r="A3675">
            <v>124436</v>
          </cell>
          <cell r="B3675" t="str">
            <v>2-121-139-20</v>
          </cell>
        </row>
        <row r="3676">
          <cell r="A3676">
            <v>124438</v>
          </cell>
          <cell r="B3676" t="str">
            <v>3-110-135-03</v>
          </cell>
        </row>
        <row r="3677">
          <cell r="A3677">
            <v>124435</v>
          </cell>
          <cell r="B3677" t="str">
            <v>1-190-007-08</v>
          </cell>
        </row>
        <row r="3678">
          <cell r="A3678">
            <v>124440</v>
          </cell>
          <cell r="B3678" t="str">
            <v>2-141-033-11</v>
          </cell>
        </row>
        <row r="3679">
          <cell r="A3679">
            <v>124442</v>
          </cell>
          <cell r="B3679" t="str">
            <v>2-141-034-35</v>
          </cell>
        </row>
        <row r="3680">
          <cell r="A3680">
            <v>124742</v>
          </cell>
          <cell r="B3680">
            <v>2663506</v>
          </cell>
        </row>
        <row r="3681">
          <cell r="A3681">
            <v>124743</v>
          </cell>
          <cell r="B3681">
            <v>2718110</v>
          </cell>
        </row>
        <row r="3682">
          <cell r="A3682">
            <v>124750</v>
          </cell>
          <cell r="B3682" t="str">
            <v>320167-6</v>
          </cell>
        </row>
        <row r="3683">
          <cell r="A3683">
            <v>124757</v>
          </cell>
          <cell r="B3683" t="str">
            <v>63005740-3</v>
          </cell>
        </row>
        <row r="3684">
          <cell r="A3684">
            <v>124744</v>
          </cell>
          <cell r="B3684">
            <v>3242619</v>
          </cell>
        </row>
        <row r="3685">
          <cell r="A3685">
            <v>124749</v>
          </cell>
          <cell r="B3685" t="str">
            <v>320115-16</v>
          </cell>
        </row>
        <row r="3686">
          <cell r="A3686">
            <v>124758</v>
          </cell>
          <cell r="B3686" t="str">
            <v>7205748-2</v>
          </cell>
        </row>
        <row r="3687">
          <cell r="A3687">
            <v>124741</v>
          </cell>
          <cell r="B3687">
            <v>136569</v>
          </cell>
        </row>
        <row r="3688">
          <cell r="A3688">
            <v>124752</v>
          </cell>
          <cell r="B3688" t="str">
            <v>320503-15</v>
          </cell>
        </row>
        <row r="3689">
          <cell r="A3689">
            <v>124755</v>
          </cell>
          <cell r="B3689" t="str">
            <v>320813-1</v>
          </cell>
        </row>
        <row r="3690">
          <cell r="A3690">
            <v>124747</v>
          </cell>
          <cell r="B3690" t="str">
            <v>3177230-1</v>
          </cell>
        </row>
        <row r="3691">
          <cell r="A3691">
            <v>124746</v>
          </cell>
          <cell r="B3691">
            <v>3244025</v>
          </cell>
        </row>
        <row r="3692">
          <cell r="A3692">
            <v>124748</v>
          </cell>
          <cell r="B3692" t="str">
            <v>3178513-2</v>
          </cell>
        </row>
        <row r="3693">
          <cell r="A3693">
            <v>124759</v>
          </cell>
          <cell r="B3693" t="str">
            <v>870526-2</v>
          </cell>
        </row>
        <row r="3694">
          <cell r="A3694">
            <v>124745</v>
          </cell>
          <cell r="B3694">
            <v>3242684</v>
          </cell>
        </row>
        <row r="3695">
          <cell r="A3695">
            <v>124751</v>
          </cell>
          <cell r="B3695" t="str">
            <v>320395-6</v>
          </cell>
        </row>
        <row r="3696">
          <cell r="A3696">
            <v>124756</v>
          </cell>
          <cell r="B3696" t="str">
            <v>320848-4</v>
          </cell>
        </row>
        <row r="3697">
          <cell r="A3697">
            <v>124753</v>
          </cell>
          <cell r="B3697" t="str">
            <v>320503-16</v>
          </cell>
        </row>
        <row r="3698">
          <cell r="A3698">
            <v>124754</v>
          </cell>
          <cell r="B3698" t="str">
            <v>320503-22</v>
          </cell>
        </row>
        <row r="3699">
          <cell r="A3699">
            <v>125473</v>
          </cell>
          <cell r="B3699" t="str">
            <v>9007364-1</v>
          </cell>
        </row>
        <row r="3700">
          <cell r="A3700">
            <v>125471</v>
          </cell>
          <cell r="B3700" t="str">
            <v>2-300-371-03</v>
          </cell>
        </row>
        <row r="3701">
          <cell r="A3701">
            <v>125474</v>
          </cell>
          <cell r="B3701" t="str">
            <v>9007435-1</v>
          </cell>
        </row>
        <row r="3702">
          <cell r="A3702">
            <v>125470</v>
          </cell>
          <cell r="B3702" t="str">
            <v>2-300-182-01</v>
          </cell>
        </row>
        <row r="3703">
          <cell r="A3703">
            <v>125460</v>
          </cell>
          <cell r="B3703" t="str">
            <v>1-300-231-03</v>
          </cell>
        </row>
        <row r="3704">
          <cell r="A3704">
            <v>125469</v>
          </cell>
          <cell r="B3704" t="str">
            <v>2-300-146-02</v>
          </cell>
        </row>
        <row r="3705">
          <cell r="A3705">
            <v>125464</v>
          </cell>
          <cell r="B3705" t="str">
            <v>1-300-235-02</v>
          </cell>
        </row>
        <row r="3706">
          <cell r="A3706">
            <v>125465</v>
          </cell>
          <cell r="B3706" t="str">
            <v>2-300-139-01</v>
          </cell>
        </row>
        <row r="3707">
          <cell r="A3707">
            <v>125463</v>
          </cell>
          <cell r="B3707" t="str">
            <v>1-300-233-05</v>
          </cell>
        </row>
        <row r="3708">
          <cell r="A3708">
            <v>125466</v>
          </cell>
          <cell r="B3708" t="str">
            <v>2-300-143-02</v>
          </cell>
        </row>
        <row r="3709">
          <cell r="A3709">
            <v>125461</v>
          </cell>
          <cell r="B3709" t="str">
            <v>1-300-231-04</v>
          </cell>
        </row>
        <row r="3710">
          <cell r="A3710">
            <v>125468</v>
          </cell>
          <cell r="B3710" t="str">
            <v>2-300-145-02</v>
          </cell>
        </row>
        <row r="3711">
          <cell r="A3711">
            <v>125472</v>
          </cell>
          <cell r="B3711" t="str">
            <v>2-303-073-03</v>
          </cell>
        </row>
        <row r="3712">
          <cell r="A3712">
            <v>125462</v>
          </cell>
          <cell r="B3712" t="str">
            <v>1-300-233-04</v>
          </cell>
        </row>
        <row r="3713">
          <cell r="A3713">
            <v>125467</v>
          </cell>
          <cell r="B3713" t="str">
            <v>2-300-144-03</v>
          </cell>
        </row>
        <row r="3714">
          <cell r="A3714">
            <v>125476</v>
          </cell>
          <cell r="B3714" t="str">
            <v>234-577-9001</v>
          </cell>
        </row>
        <row r="3715">
          <cell r="A3715">
            <v>125481</v>
          </cell>
          <cell r="B3715" t="str">
            <v>234-577-9006</v>
          </cell>
        </row>
        <row r="3716">
          <cell r="A3716">
            <v>125479</v>
          </cell>
          <cell r="B3716" t="str">
            <v>234-577-9004</v>
          </cell>
        </row>
        <row r="3717">
          <cell r="A3717">
            <v>125477</v>
          </cell>
          <cell r="B3717" t="str">
            <v>234-577-9002</v>
          </cell>
        </row>
        <row r="3718">
          <cell r="A3718">
            <v>125483</v>
          </cell>
          <cell r="B3718" t="str">
            <v>234-577-9052</v>
          </cell>
        </row>
        <row r="3719">
          <cell r="A3719">
            <v>125482</v>
          </cell>
          <cell r="B3719" t="str">
            <v>234-577-9051</v>
          </cell>
        </row>
        <row r="3720">
          <cell r="A3720">
            <v>125480</v>
          </cell>
          <cell r="B3720" t="str">
            <v>234-577-9005</v>
          </cell>
        </row>
        <row r="3721">
          <cell r="A3721">
            <v>125478</v>
          </cell>
          <cell r="B3721" t="str">
            <v>234-577-9003</v>
          </cell>
        </row>
        <row r="3722">
          <cell r="A3722">
            <v>125655</v>
          </cell>
          <cell r="B3722" t="str">
            <v>927119-311-1</v>
          </cell>
        </row>
        <row r="3723">
          <cell r="A3723">
            <v>125721</v>
          </cell>
          <cell r="B3723" t="str">
            <v>S9300C0250S1149</v>
          </cell>
        </row>
        <row r="3724">
          <cell r="A3724">
            <v>125704</v>
          </cell>
          <cell r="B3724" t="str">
            <v>67220015-11</v>
          </cell>
        </row>
        <row r="3725">
          <cell r="A3725">
            <v>125705</v>
          </cell>
          <cell r="B3725" t="str">
            <v>2305891-57</v>
          </cell>
        </row>
        <row r="3726">
          <cell r="A3726">
            <v>125697</v>
          </cell>
          <cell r="B3726" t="str">
            <v>S9300L0153X1537</v>
          </cell>
        </row>
        <row r="3727">
          <cell r="A3727">
            <v>125712</v>
          </cell>
          <cell r="B3727" t="str">
            <v>2305891-43</v>
          </cell>
        </row>
        <row r="3728">
          <cell r="A3728">
            <v>125696</v>
          </cell>
          <cell r="B3728" t="str">
            <v>67220221-5</v>
          </cell>
        </row>
        <row r="3729">
          <cell r="A3729">
            <v>125713</v>
          </cell>
          <cell r="B3729" t="str">
            <v>67220512-307</v>
          </cell>
        </row>
        <row r="3730">
          <cell r="A3730">
            <v>125730</v>
          </cell>
          <cell r="B3730" t="str">
            <v>S9178D0519L0638</v>
          </cell>
        </row>
        <row r="3731">
          <cell r="A3731">
            <v>125716</v>
          </cell>
          <cell r="B3731" t="str">
            <v>2372877-15</v>
          </cell>
        </row>
        <row r="3732">
          <cell r="A3732">
            <v>125699</v>
          </cell>
          <cell r="B3732" t="str">
            <v>2310851-31</v>
          </cell>
        </row>
        <row r="3733">
          <cell r="A3733">
            <v>125710</v>
          </cell>
          <cell r="B3733" t="str">
            <v>2311189-13</v>
          </cell>
        </row>
        <row r="3734">
          <cell r="A3734">
            <v>125724</v>
          </cell>
          <cell r="B3734" t="str">
            <v>S9300D0250B0461</v>
          </cell>
        </row>
        <row r="3735">
          <cell r="A3735">
            <v>125717</v>
          </cell>
          <cell r="B3735" t="str">
            <v>2310851-27</v>
          </cell>
        </row>
        <row r="3736">
          <cell r="A3736">
            <v>125702</v>
          </cell>
          <cell r="B3736" t="str">
            <v>2372877-31</v>
          </cell>
        </row>
        <row r="3737">
          <cell r="A3737">
            <v>125707</v>
          </cell>
          <cell r="B3737" t="str">
            <v>67220015-25</v>
          </cell>
        </row>
        <row r="3738">
          <cell r="A3738">
            <v>125718</v>
          </cell>
          <cell r="B3738" t="str">
            <v>2310851-29</v>
          </cell>
        </row>
        <row r="3739">
          <cell r="A3739">
            <v>125725</v>
          </cell>
          <cell r="B3739" t="str">
            <v>2311164-9</v>
          </cell>
        </row>
        <row r="3740">
          <cell r="A3740">
            <v>125727</v>
          </cell>
          <cell r="B3740" t="str">
            <v>2311164-15</v>
          </cell>
        </row>
        <row r="3741">
          <cell r="A3741">
            <v>125719</v>
          </cell>
          <cell r="B3741" t="str">
            <v>2310851-21</v>
          </cell>
        </row>
        <row r="3742">
          <cell r="A3742">
            <v>125726</v>
          </cell>
          <cell r="B3742" t="str">
            <v>2311164-13</v>
          </cell>
        </row>
        <row r="3743">
          <cell r="A3743">
            <v>125703</v>
          </cell>
          <cell r="B3743" t="str">
            <v>2305891-55</v>
          </cell>
        </row>
        <row r="3744">
          <cell r="A3744">
            <v>125706</v>
          </cell>
          <cell r="B3744" t="str">
            <v>67220015-13</v>
          </cell>
        </row>
        <row r="3745">
          <cell r="A3745">
            <v>125720</v>
          </cell>
          <cell r="B3745" t="str">
            <v>2310851-23</v>
          </cell>
        </row>
        <row r="3746">
          <cell r="A3746">
            <v>125698</v>
          </cell>
          <cell r="B3746" t="str">
            <v>2306881-49</v>
          </cell>
        </row>
        <row r="3747">
          <cell r="A3747">
            <v>125711</v>
          </cell>
          <cell r="B3747" t="str">
            <v>2310851-9</v>
          </cell>
        </row>
        <row r="3748">
          <cell r="A3748">
            <v>125715</v>
          </cell>
          <cell r="B3748" t="str">
            <v>67220512-305</v>
          </cell>
        </row>
        <row r="3749">
          <cell r="A3749">
            <v>125728</v>
          </cell>
          <cell r="B3749" t="str">
            <v>2311164-11</v>
          </cell>
        </row>
        <row r="3750">
          <cell r="A3750">
            <v>125700</v>
          </cell>
          <cell r="B3750" t="str">
            <v>2310851-25</v>
          </cell>
        </row>
        <row r="3751">
          <cell r="A3751">
            <v>125709</v>
          </cell>
          <cell r="B3751" t="str">
            <v>2310520-11</v>
          </cell>
        </row>
        <row r="3752">
          <cell r="A3752">
            <v>125695</v>
          </cell>
          <cell r="B3752" t="str">
            <v>67220235-319</v>
          </cell>
        </row>
        <row r="3753">
          <cell r="A3753">
            <v>125714</v>
          </cell>
          <cell r="B3753" t="str">
            <v>2311189-15</v>
          </cell>
        </row>
        <row r="3754">
          <cell r="A3754">
            <v>125729</v>
          </cell>
          <cell r="B3754" t="str">
            <v>2305964-3</v>
          </cell>
        </row>
        <row r="3755">
          <cell r="A3755">
            <v>125722</v>
          </cell>
          <cell r="B3755" t="str">
            <v>S9300C0200S1149</v>
          </cell>
        </row>
        <row r="3756">
          <cell r="A3756">
            <v>125723</v>
          </cell>
          <cell r="B3756" t="str">
            <v>190145-11</v>
          </cell>
        </row>
        <row r="3757">
          <cell r="A3757">
            <v>125701</v>
          </cell>
          <cell r="B3757" t="str">
            <v>2372877-7</v>
          </cell>
        </row>
        <row r="3758">
          <cell r="A3758">
            <v>125708</v>
          </cell>
          <cell r="B3758" t="str">
            <v>67220015-9</v>
          </cell>
        </row>
        <row r="3759">
          <cell r="A3759">
            <v>125747</v>
          </cell>
          <cell r="B3759" t="str">
            <v>65057446-2</v>
          </cell>
        </row>
        <row r="3760">
          <cell r="A3760">
            <v>125842</v>
          </cell>
          <cell r="B3760" t="str">
            <v>515473-1</v>
          </cell>
        </row>
        <row r="3761">
          <cell r="A3761">
            <v>125840</v>
          </cell>
          <cell r="B3761" t="str">
            <v>7130541-001</v>
          </cell>
        </row>
        <row r="3762">
          <cell r="A3762">
            <v>125834</v>
          </cell>
          <cell r="B3762" t="str">
            <v>7130323-001</v>
          </cell>
        </row>
        <row r="3763">
          <cell r="A3763">
            <v>125831</v>
          </cell>
          <cell r="B3763" t="str">
            <v>5898383-001</v>
          </cell>
        </row>
        <row r="3764">
          <cell r="A3764">
            <v>125833</v>
          </cell>
          <cell r="B3764" t="str">
            <v>5898522-002</v>
          </cell>
        </row>
        <row r="3765">
          <cell r="A3765">
            <v>125839</v>
          </cell>
          <cell r="B3765" t="str">
            <v>7130458-001</v>
          </cell>
        </row>
        <row r="3766">
          <cell r="A3766">
            <v>125841</v>
          </cell>
          <cell r="B3766" t="str">
            <v>9043527-001</v>
          </cell>
        </row>
        <row r="3767">
          <cell r="A3767">
            <v>125829</v>
          </cell>
          <cell r="B3767" t="str">
            <v>56013153-001</v>
          </cell>
        </row>
        <row r="3768">
          <cell r="A3768">
            <v>125836</v>
          </cell>
          <cell r="B3768" t="str">
            <v>7130372-001</v>
          </cell>
        </row>
        <row r="3769">
          <cell r="A3769">
            <v>125828</v>
          </cell>
          <cell r="B3769" t="str">
            <v>5806669-001</v>
          </cell>
        </row>
        <row r="3770">
          <cell r="A3770">
            <v>125835</v>
          </cell>
          <cell r="B3770" t="str">
            <v>7130324-001</v>
          </cell>
        </row>
        <row r="3771">
          <cell r="A3771">
            <v>125830</v>
          </cell>
          <cell r="B3771" t="str">
            <v>56013154-001</v>
          </cell>
        </row>
        <row r="3772">
          <cell r="A3772">
            <v>125838</v>
          </cell>
          <cell r="B3772" t="str">
            <v>7130414-001</v>
          </cell>
        </row>
        <row r="3773">
          <cell r="A3773">
            <v>125837</v>
          </cell>
          <cell r="B3773" t="str">
            <v>7130377-001</v>
          </cell>
        </row>
        <row r="3774">
          <cell r="A3774">
            <v>125832</v>
          </cell>
          <cell r="B3774" t="str">
            <v>5898385-001</v>
          </cell>
        </row>
        <row r="3775">
          <cell r="A3775">
            <v>126073</v>
          </cell>
          <cell r="B3775" t="str">
            <v>319545-83</v>
          </cell>
        </row>
        <row r="3776">
          <cell r="A3776">
            <v>126277</v>
          </cell>
          <cell r="B3776" t="str">
            <v>2709019-5</v>
          </cell>
        </row>
        <row r="3777">
          <cell r="A3777">
            <v>126935</v>
          </cell>
          <cell r="B3777" t="str">
            <v>65057414-2</v>
          </cell>
        </row>
        <row r="3778">
          <cell r="A3778">
            <v>126940</v>
          </cell>
          <cell r="B3778" t="str">
            <v>WE3876284-2</v>
          </cell>
        </row>
        <row r="3779">
          <cell r="A3779">
            <v>126941</v>
          </cell>
          <cell r="B3779" t="str">
            <v>WE3876284-2</v>
          </cell>
        </row>
        <row r="3780">
          <cell r="A3780">
            <v>126944</v>
          </cell>
          <cell r="B3780" t="str">
            <v>3876316-1</v>
          </cell>
        </row>
        <row r="3781">
          <cell r="A3781">
            <v>126938</v>
          </cell>
          <cell r="B3781" t="str">
            <v>WE3876284-2</v>
          </cell>
        </row>
        <row r="3782">
          <cell r="A3782">
            <v>126943</v>
          </cell>
          <cell r="B3782" t="str">
            <v>3876316-1</v>
          </cell>
        </row>
        <row r="3783">
          <cell r="A3783">
            <v>126942</v>
          </cell>
          <cell r="B3783" t="str">
            <v>3876316-1</v>
          </cell>
        </row>
        <row r="3784">
          <cell r="A3784">
            <v>126936</v>
          </cell>
          <cell r="B3784" t="str">
            <v>3876317-1</v>
          </cell>
        </row>
        <row r="3785">
          <cell r="A3785">
            <v>126939</v>
          </cell>
          <cell r="B3785" t="str">
            <v>WE3876284-2</v>
          </cell>
        </row>
        <row r="3786">
          <cell r="A3786">
            <v>126947</v>
          </cell>
          <cell r="B3786" t="str">
            <v>8001345-1</v>
          </cell>
        </row>
        <row r="3787">
          <cell r="A3787">
            <v>126948</v>
          </cell>
          <cell r="B3787" t="str">
            <v>8001345-1</v>
          </cell>
        </row>
        <row r="3788">
          <cell r="A3788">
            <v>126937</v>
          </cell>
          <cell r="B3788" t="str">
            <v>3876317-1</v>
          </cell>
        </row>
        <row r="3789">
          <cell r="A3789">
            <v>126945</v>
          </cell>
          <cell r="B3789" t="str">
            <v>WE3876069-1</v>
          </cell>
        </row>
        <row r="3790">
          <cell r="A3790">
            <v>126946</v>
          </cell>
          <cell r="B3790" t="str">
            <v>WE3876069-1</v>
          </cell>
        </row>
        <row r="3791">
          <cell r="A3791">
            <v>126934</v>
          </cell>
          <cell r="B3791" t="str">
            <v>865956-6</v>
          </cell>
        </row>
        <row r="3792">
          <cell r="A3792">
            <v>126955</v>
          </cell>
          <cell r="B3792" t="str">
            <v>1035405-1</v>
          </cell>
        </row>
        <row r="3793">
          <cell r="A3793">
            <v>126956</v>
          </cell>
          <cell r="B3793" t="str">
            <v>1037109-3</v>
          </cell>
        </row>
        <row r="3794">
          <cell r="A3794">
            <v>126991</v>
          </cell>
          <cell r="B3794" t="str">
            <v>4082511-901</v>
          </cell>
        </row>
        <row r="3795">
          <cell r="A3795">
            <v>126992</v>
          </cell>
          <cell r="B3795" t="str">
            <v>7003370-930</v>
          </cell>
        </row>
        <row r="3796">
          <cell r="A3796">
            <v>127005</v>
          </cell>
          <cell r="B3796" t="str">
            <v>7510257-901</v>
          </cell>
        </row>
        <row r="3797">
          <cell r="A3797">
            <v>127006</v>
          </cell>
          <cell r="B3797" t="str">
            <v>7018424-902</v>
          </cell>
        </row>
        <row r="3798">
          <cell r="A3798">
            <v>126972</v>
          </cell>
          <cell r="B3798" t="str">
            <v>51050459-002</v>
          </cell>
        </row>
        <row r="3799">
          <cell r="A3799">
            <v>126989</v>
          </cell>
          <cell r="B3799">
            <v>7510389</v>
          </cell>
        </row>
        <row r="3800">
          <cell r="A3800">
            <v>126990</v>
          </cell>
          <cell r="B3800" t="str">
            <v>7005892-911</v>
          </cell>
        </row>
        <row r="3801">
          <cell r="A3801">
            <v>127007</v>
          </cell>
          <cell r="B3801" t="str">
            <v>704-2703-004</v>
          </cell>
        </row>
        <row r="3802">
          <cell r="A3802">
            <v>126970</v>
          </cell>
          <cell r="B3802" t="str">
            <v>51020498-001</v>
          </cell>
        </row>
        <row r="3803">
          <cell r="A3803">
            <v>126977</v>
          </cell>
          <cell r="B3803" t="str">
            <v>51110015-1</v>
          </cell>
        </row>
        <row r="3804">
          <cell r="A3804">
            <v>126984</v>
          </cell>
          <cell r="B3804" t="str">
            <v>7025750-902</v>
          </cell>
        </row>
        <row r="3805">
          <cell r="A3805">
            <v>126953</v>
          </cell>
          <cell r="B3805" t="str">
            <v>1033181-13</v>
          </cell>
        </row>
        <row r="3806">
          <cell r="A3806">
            <v>126962</v>
          </cell>
          <cell r="B3806" t="str">
            <v>51020291-002</v>
          </cell>
        </row>
        <row r="3807">
          <cell r="A3807">
            <v>126987</v>
          </cell>
          <cell r="B3807">
            <v>7510391</v>
          </cell>
        </row>
        <row r="3808">
          <cell r="A3808">
            <v>126996</v>
          </cell>
          <cell r="B3808" t="str">
            <v>7007828-901</v>
          </cell>
        </row>
        <row r="3809">
          <cell r="A3809">
            <v>126965</v>
          </cell>
          <cell r="B3809" t="str">
            <v>51020463-003</v>
          </cell>
        </row>
        <row r="3810">
          <cell r="A3810">
            <v>126967</v>
          </cell>
          <cell r="B3810" t="str">
            <v>51020471-001</v>
          </cell>
        </row>
        <row r="3811">
          <cell r="A3811">
            <v>126980</v>
          </cell>
          <cell r="B3811" t="str">
            <v>4083899-901</v>
          </cell>
        </row>
        <row r="3812">
          <cell r="A3812">
            <v>126982</v>
          </cell>
          <cell r="B3812" t="str">
            <v>802-16396</v>
          </cell>
        </row>
        <row r="3813">
          <cell r="A3813">
            <v>126968</v>
          </cell>
          <cell r="B3813" t="str">
            <v>51020478-001</v>
          </cell>
        </row>
        <row r="3814">
          <cell r="A3814">
            <v>126986</v>
          </cell>
          <cell r="B3814" t="str">
            <v>805-8973</v>
          </cell>
        </row>
        <row r="3815">
          <cell r="A3815">
            <v>126993</v>
          </cell>
          <cell r="B3815" t="str">
            <v>7031863-901</v>
          </cell>
        </row>
        <row r="3816">
          <cell r="A3816">
            <v>126952</v>
          </cell>
          <cell r="B3816" t="str">
            <v>1033181-11</v>
          </cell>
        </row>
        <row r="3817">
          <cell r="A3817">
            <v>126959</v>
          </cell>
          <cell r="B3817" t="str">
            <v>51020253-2</v>
          </cell>
        </row>
        <row r="3818">
          <cell r="A3818">
            <v>126988</v>
          </cell>
          <cell r="B3818" t="str">
            <v>7029795-906</v>
          </cell>
        </row>
        <row r="3819">
          <cell r="A3819">
            <v>126995</v>
          </cell>
          <cell r="B3819" t="str">
            <v>704-2703-003</v>
          </cell>
        </row>
        <row r="3820">
          <cell r="A3820">
            <v>127002</v>
          </cell>
          <cell r="B3820" t="str">
            <v>7024282-909</v>
          </cell>
        </row>
        <row r="3821">
          <cell r="A3821">
            <v>126969</v>
          </cell>
          <cell r="B3821" t="str">
            <v>51020478-002</v>
          </cell>
        </row>
        <row r="3822">
          <cell r="A3822">
            <v>126971</v>
          </cell>
          <cell r="B3822" t="str">
            <v>51020527-001</v>
          </cell>
        </row>
        <row r="3823">
          <cell r="A3823">
            <v>126976</v>
          </cell>
          <cell r="B3823" t="str">
            <v>51110014-1</v>
          </cell>
        </row>
        <row r="3824">
          <cell r="A3824">
            <v>126978</v>
          </cell>
          <cell r="B3824" t="str">
            <v>51110139-001</v>
          </cell>
        </row>
        <row r="3825">
          <cell r="A3825">
            <v>127001</v>
          </cell>
          <cell r="B3825" t="str">
            <v>7006263-902</v>
          </cell>
        </row>
        <row r="3826">
          <cell r="A3826">
            <v>127003</v>
          </cell>
          <cell r="B3826" t="str">
            <v>67410111-1</v>
          </cell>
        </row>
        <row r="3827">
          <cell r="A3827">
            <v>126964</v>
          </cell>
          <cell r="B3827" t="str">
            <v>51020463-002</v>
          </cell>
        </row>
        <row r="3828">
          <cell r="A3828">
            <v>126981</v>
          </cell>
          <cell r="B3828" t="str">
            <v>7011824-901</v>
          </cell>
        </row>
        <row r="3829">
          <cell r="A3829">
            <v>126998</v>
          </cell>
          <cell r="B3829" t="str">
            <v>7517867-905</v>
          </cell>
        </row>
        <row r="3830">
          <cell r="A3830">
            <v>126966</v>
          </cell>
          <cell r="B3830" t="str">
            <v>51020464-001</v>
          </cell>
        </row>
        <row r="3831">
          <cell r="A3831">
            <v>126983</v>
          </cell>
          <cell r="B3831" t="str">
            <v>7003186-919</v>
          </cell>
        </row>
        <row r="3832">
          <cell r="A3832">
            <v>127000</v>
          </cell>
          <cell r="B3832">
            <v>7007313</v>
          </cell>
        </row>
        <row r="3833">
          <cell r="A3833">
            <v>126957</v>
          </cell>
          <cell r="B3833" t="str">
            <v>1152465-13</v>
          </cell>
        </row>
        <row r="3834">
          <cell r="A3834">
            <v>126958</v>
          </cell>
          <cell r="B3834" t="str">
            <v>51020146-1</v>
          </cell>
        </row>
        <row r="3835">
          <cell r="A3835">
            <v>126975</v>
          </cell>
          <cell r="B3835" t="str">
            <v>51110013-1</v>
          </cell>
        </row>
        <row r="3836">
          <cell r="A3836">
            <v>127008</v>
          </cell>
          <cell r="B3836" t="str">
            <v>7510957-902</v>
          </cell>
        </row>
        <row r="3837">
          <cell r="A3837">
            <v>126950</v>
          </cell>
          <cell r="B3837" t="str">
            <v>1033180-11</v>
          </cell>
        </row>
        <row r="3838">
          <cell r="A3838">
            <v>126963</v>
          </cell>
          <cell r="B3838" t="str">
            <v>51020463-001</v>
          </cell>
        </row>
        <row r="3839">
          <cell r="A3839">
            <v>126997</v>
          </cell>
          <cell r="B3839" t="str">
            <v>7510264-901</v>
          </cell>
        </row>
        <row r="3840">
          <cell r="A3840">
            <v>126999</v>
          </cell>
          <cell r="B3840" t="str">
            <v>330-4610-002</v>
          </cell>
        </row>
        <row r="3841">
          <cell r="A3841">
            <v>126951</v>
          </cell>
          <cell r="B3841" t="str">
            <v>1033180-13</v>
          </cell>
        </row>
        <row r="3842">
          <cell r="A3842">
            <v>126960</v>
          </cell>
          <cell r="B3842" t="str">
            <v>51020290-001</v>
          </cell>
        </row>
        <row r="3843">
          <cell r="A3843">
            <v>126985</v>
          </cell>
          <cell r="B3843" t="str">
            <v>8056354-0501</v>
          </cell>
        </row>
        <row r="3844">
          <cell r="A3844">
            <v>126994</v>
          </cell>
          <cell r="B3844" t="str">
            <v>8056354-0503</v>
          </cell>
        </row>
        <row r="3845">
          <cell r="A3845">
            <v>126954</v>
          </cell>
          <cell r="B3845" t="str">
            <v>1035404-1</v>
          </cell>
        </row>
        <row r="3846">
          <cell r="A3846">
            <v>126961</v>
          </cell>
          <cell r="B3846" t="str">
            <v>51020291-001</v>
          </cell>
        </row>
        <row r="3847">
          <cell r="A3847">
            <v>126979</v>
          </cell>
          <cell r="B3847" t="str">
            <v>51110140-002</v>
          </cell>
        </row>
        <row r="3848">
          <cell r="A3848">
            <v>127004</v>
          </cell>
          <cell r="B3848" t="str">
            <v>7510258-901</v>
          </cell>
        </row>
        <row r="3849">
          <cell r="A3849">
            <v>126973</v>
          </cell>
          <cell r="B3849" t="str">
            <v>51050776-002</v>
          </cell>
        </row>
        <row r="3850">
          <cell r="A3850">
            <v>126974</v>
          </cell>
          <cell r="B3850" t="str">
            <v>51110012-1</v>
          </cell>
        </row>
        <row r="3851">
          <cell r="A3851">
            <v>126949</v>
          </cell>
          <cell r="B3851" t="str">
            <v>63242221-2</v>
          </cell>
        </row>
        <row r="3852">
          <cell r="A3852">
            <v>125027</v>
          </cell>
          <cell r="B3852" t="str">
            <v>3862780-4</v>
          </cell>
        </row>
        <row r="3853">
          <cell r="A3853">
            <v>125034</v>
          </cell>
          <cell r="B3853" t="str">
            <v>3862782-111</v>
          </cell>
        </row>
        <row r="3854">
          <cell r="A3854">
            <v>125032</v>
          </cell>
          <cell r="B3854" t="str">
            <v>3862005-111</v>
          </cell>
        </row>
        <row r="3855">
          <cell r="A3855">
            <v>125026</v>
          </cell>
          <cell r="B3855" t="str">
            <v>3827531-111</v>
          </cell>
        </row>
        <row r="3856">
          <cell r="A3856">
            <v>125028</v>
          </cell>
          <cell r="B3856" t="str">
            <v>3862351-111</v>
          </cell>
        </row>
        <row r="3857">
          <cell r="A3857">
            <v>125024</v>
          </cell>
          <cell r="B3857" t="str">
            <v>3102591-111</v>
          </cell>
        </row>
        <row r="3858">
          <cell r="A3858">
            <v>125025</v>
          </cell>
          <cell r="B3858" t="str">
            <v>3102592-903</v>
          </cell>
        </row>
        <row r="3859">
          <cell r="A3859">
            <v>125029</v>
          </cell>
          <cell r="B3859" t="str">
            <v>3863438-112</v>
          </cell>
        </row>
        <row r="3860">
          <cell r="A3860">
            <v>125031</v>
          </cell>
          <cell r="B3860" t="str">
            <v>2715276-3</v>
          </cell>
        </row>
        <row r="3861">
          <cell r="A3861" t="str">
            <v>3177165-1</v>
          </cell>
          <cell r="B3861" t="str">
            <v>3177165-1</v>
          </cell>
        </row>
        <row r="3862">
          <cell r="A3862">
            <v>127594</v>
          </cell>
          <cell r="B3862">
            <v>2604374</v>
          </cell>
        </row>
        <row r="3863">
          <cell r="A3863">
            <v>127598</v>
          </cell>
          <cell r="B3863">
            <v>2606647</v>
          </cell>
        </row>
        <row r="3864">
          <cell r="A3864">
            <v>127600</v>
          </cell>
          <cell r="B3864">
            <v>2544027</v>
          </cell>
        </row>
        <row r="3865">
          <cell r="A3865">
            <v>127595</v>
          </cell>
          <cell r="B3865" t="str">
            <v>3-300-398-01</v>
          </cell>
        </row>
        <row r="3866">
          <cell r="A3866">
            <v>127596</v>
          </cell>
          <cell r="B3866">
            <v>2668816</v>
          </cell>
        </row>
        <row r="3867">
          <cell r="A3867">
            <v>127599</v>
          </cell>
          <cell r="B3867">
            <v>2609680</v>
          </cell>
        </row>
        <row r="3868">
          <cell r="A3868">
            <v>127601</v>
          </cell>
          <cell r="B3868" t="str">
            <v>59003382-001</v>
          </cell>
        </row>
        <row r="3869">
          <cell r="A3869">
            <v>127597</v>
          </cell>
          <cell r="B3869" t="str">
            <v>2-103-041-01</v>
          </cell>
        </row>
        <row r="3870">
          <cell r="A3870">
            <v>127592</v>
          </cell>
          <cell r="B3870" t="str">
            <v>969153-3</v>
          </cell>
        </row>
        <row r="3871">
          <cell r="A3871">
            <v>127603</v>
          </cell>
          <cell r="B3871" t="str">
            <v>525-284-9001</v>
          </cell>
        </row>
        <row r="3872">
          <cell r="A3872">
            <v>127604</v>
          </cell>
          <cell r="B3872">
            <v>152342</v>
          </cell>
        </row>
        <row r="3873">
          <cell r="A3873">
            <v>127602</v>
          </cell>
          <cell r="B3873">
            <v>2613016</v>
          </cell>
        </row>
        <row r="3874">
          <cell r="A3874">
            <v>127605</v>
          </cell>
          <cell r="B3874">
            <v>2610138</v>
          </cell>
        </row>
        <row r="3875">
          <cell r="A3875">
            <v>127608</v>
          </cell>
          <cell r="B3875" t="str">
            <v>1033184-3</v>
          </cell>
        </row>
        <row r="3876">
          <cell r="A3876">
            <v>127611</v>
          </cell>
          <cell r="B3876" t="str">
            <v>1035060-1</v>
          </cell>
        </row>
        <row r="3877">
          <cell r="A3877">
            <v>127606</v>
          </cell>
          <cell r="B3877" t="str">
            <v>1033182-1</v>
          </cell>
        </row>
        <row r="3878">
          <cell r="A3878">
            <v>127610</v>
          </cell>
          <cell r="B3878" t="str">
            <v>1034736-2</v>
          </cell>
        </row>
        <row r="3879">
          <cell r="A3879">
            <v>127613</v>
          </cell>
          <cell r="B3879" t="str">
            <v>1038076-3</v>
          </cell>
        </row>
        <row r="3880">
          <cell r="A3880">
            <v>127612</v>
          </cell>
          <cell r="B3880" t="str">
            <v>1038041-1</v>
          </cell>
        </row>
        <row r="3881">
          <cell r="A3881">
            <v>127607</v>
          </cell>
          <cell r="B3881" t="str">
            <v>1033183-1</v>
          </cell>
        </row>
        <row r="3882">
          <cell r="A3882">
            <v>127609</v>
          </cell>
          <cell r="B3882" t="str">
            <v>1034736-1</v>
          </cell>
        </row>
        <row r="3883">
          <cell r="A3883">
            <v>127690</v>
          </cell>
          <cell r="B3883">
            <v>2612762</v>
          </cell>
        </row>
        <row r="3884">
          <cell r="A3884">
            <v>127697</v>
          </cell>
          <cell r="B3884">
            <v>2615046</v>
          </cell>
        </row>
        <row r="3885">
          <cell r="A3885">
            <v>127698</v>
          </cell>
          <cell r="B3885">
            <v>2616923</v>
          </cell>
        </row>
        <row r="3886">
          <cell r="A3886">
            <v>127692</v>
          </cell>
          <cell r="B3886" t="str">
            <v>59000220-001</v>
          </cell>
        </row>
        <row r="3887">
          <cell r="A3887">
            <v>127695</v>
          </cell>
          <cell r="B3887">
            <v>2610133</v>
          </cell>
        </row>
        <row r="3888">
          <cell r="A3888">
            <v>127693</v>
          </cell>
          <cell r="B3888">
            <v>2600545</v>
          </cell>
        </row>
        <row r="3889">
          <cell r="A3889">
            <v>127696</v>
          </cell>
          <cell r="B3889">
            <v>2610178</v>
          </cell>
        </row>
        <row r="3890">
          <cell r="A3890">
            <v>127694</v>
          </cell>
          <cell r="B3890">
            <v>2600738</v>
          </cell>
        </row>
        <row r="3891">
          <cell r="A3891">
            <v>127691</v>
          </cell>
          <cell r="B3891" t="str">
            <v>59000124-001</v>
          </cell>
        </row>
        <row r="3892">
          <cell r="A3892">
            <v>127682</v>
          </cell>
          <cell r="B3892" t="str">
            <v>4-301-549-05</v>
          </cell>
        </row>
        <row r="3893">
          <cell r="A3893">
            <v>127669</v>
          </cell>
          <cell r="B3893" t="str">
            <v>70720171-2</v>
          </cell>
        </row>
        <row r="3894">
          <cell r="A3894">
            <v>127676</v>
          </cell>
          <cell r="B3894" t="str">
            <v>70722120-2</v>
          </cell>
        </row>
        <row r="3895">
          <cell r="A3895">
            <v>127681</v>
          </cell>
          <cell r="B3895" t="str">
            <v>3876082-4</v>
          </cell>
        </row>
        <row r="3896">
          <cell r="A3896">
            <v>127668</v>
          </cell>
          <cell r="B3896" t="str">
            <v>62000695-1903</v>
          </cell>
        </row>
        <row r="3897">
          <cell r="A3897">
            <v>127672</v>
          </cell>
          <cell r="B3897" t="str">
            <v>3876211-3</v>
          </cell>
        </row>
        <row r="3898">
          <cell r="A3898">
            <v>127679</v>
          </cell>
          <cell r="B3898" t="str">
            <v>4-301-549-04</v>
          </cell>
        </row>
        <row r="3899">
          <cell r="A3899">
            <v>127675</v>
          </cell>
          <cell r="B3899" t="str">
            <v>3034257-1</v>
          </cell>
        </row>
        <row r="3900">
          <cell r="A3900">
            <v>127683</v>
          </cell>
          <cell r="B3900" t="str">
            <v>4-301-545-01</v>
          </cell>
        </row>
        <row r="3901">
          <cell r="A3901">
            <v>127674</v>
          </cell>
          <cell r="B3901" t="str">
            <v>70040305-1</v>
          </cell>
        </row>
        <row r="3902">
          <cell r="A3902">
            <v>127680</v>
          </cell>
          <cell r="B3902" t="str">
            <v>4-301-549-05//SS2</v>
          </cell>
        </row>
        <row r="3903">
          <cell r="A3903">
            <v>127677</v>
          </cell>
          <cell r="B3903" t="str">
            <v>70722505-2//SS2</v>
          </cell>
        </row>
        <row r="3904">
          <cell r="A3904">
            <v>127684</v>
          </cell>
          <cell r="B3904" t="str">
            <v>1096918-1</v>
          </cell>
        </row>
        <row r="3905">
          <cell r="A3905">
            <v>127678</v>
          </cell>
          <cell r="B3905" t="str">
            <v>3038065-5</v>
          </cell>
        </row>
        <row r="3906">
          <cell r="A3906">
            <v>127670</v>
          </cell>
          <cell r="B3906" t="str">
            <v>WE3876285-2</v>
          </cell>
        </row>
        <row r="3907">
          <cell r="A3907">
            <v>127671</v>
          </cell>
          <cell r="B3907" t="str">
            <v>70040524-1</v>
          </cell>
        </row>
        <row r="3908">
          <cell r="A3908">
            <v>127673</v>
          </cell>
          <cell r="B3908" t="str">
            <v>3038040-6</v>
          </cell>
        </row>
        <row r="3909">
          <cell r="A3909">
            <v>127685</v>
          </cell>
          <cell r="B3909" t="str">
            <v>51080280-001</v>
          </cell>
        </row>
        <row r="3910">
          <cell r="A3910">
            <v>127009</v>
          </cell>
          <cell r="B3910" t="str">
            <v>70040524-1</v>
          </cell>
        </row>
        <row r="3911">
          <cell r="A3911">
            <v>127011</v>
          </cell>
          <cell r="B3911" t="str">
            <v>3038065-5</v>
          </cell>
        </row>
        <row r="3912">
          <cell r="A3912">
            <v>127010</v>
          </cell>
          <cell r="B3912" t="str">
            <v>3038040-6</v>
          </cell>
        </row>
        <row r="3913">
          <cell r="A3913">
            <v>127012</v>
          </cell>
          <cell r="B3913" t="str">
            <v>3876082-4</v>
          </cell>
        </row>
        <row r="3914">
          <cell r="A3914">
            <v>127686</v>
          </cell>
          <cell r="B3914" t="str">
            <v>4040505-2</v>
          </cell>
        </row>
        <row r="3915">
          <cell r="A3915">
            <v>127687</v>
          </cell>
          <cell r="B3915" t="str">
            <v>2579487-3</v>
          </cell>
        </row>
        <row r="3916">
          <cell r="A3916">
            <v>127689</v>
          </cell>
          <cell r="B3916" t="str">
            <v>4039572-5</v>
          </cell>
        </row>
        <row r="3917">
          <cell r="A3917">
            <v>127688</v>
          </cell>
          <cell r="B3917" t="str">
            <v>4039838-1</v>
          </cell>
        </row>
        <row r="3918">
          <cell r="A3918">
            <v>127910</v>
          </cell>
          <cell r="B3918" t="str">
            <v>3177775-1</v>
          </cell>
        </row>
        <row r="3919">
          <cell r="A3919">
            <v>127912</v>
          </cell>
          <cell r="B3919" t="str">
            <v>3178494-1</v>
          </cell>
        </row>
        <row r="3920">
          <cell r="A3920">
            <v>127927</v>
          </cell>
          <cell r="B3920" t="str">
            <v>3750807-1</v>
          </cell>
        </row>
        <row r="3921">
          <cell r="A3921">
            <v>127914</v>
          </cell>
          <cell r="B3921" t="str">
            <v>3178498-1</v>
          </cell>
        </row>
        <row r="3922">
          <cell r="A3922">
            <v>127916</v>
          </cell>
          <cell r="B3922" t="str">
            <v>3178500-1</v>
          </cell>
        </row>
        <row r="3923">
          <cell r="A3923">
            <v>127923</v>
          </cell>
          <cell r="B3923" t="str">
            <v>3179509-1</v>
          </cell>
        </row>
        <row r="3924">
          <cell r="A3924">
            <v>127896</v>
          </cell>
          <cell r="B3924" t="str">
            <v>3176985-1</v>
          </cell>
        </row>
        <row r="3925">
          <cell r="A3925">
            <v>127913</v>
          </cell>
          <cell r="B3925" t="str">
            <v>3178494-2</v>
          </cell>
        </row>
        <row r="3926">
          <cell r="A3926">
            <v>127926</v>
          </cell>
          <cell r="B3926" t="str">
            <v>3750806-1</v>
          </cell>
        </row>
        <row r="3927">
          <cell r="A3927">
            <v>127930</v>
          </cell>
          <cell r="B3927" t="str">
            <v>3750812-1</v>
          </cell>
        </row>
        <row r="3928">
          <cell r="A3928">
            <v>127900</v>
          </cell>
          <cell r="B3928" t="str">
            <v>3177092-1</v>
          </cell>
        </row>
        <row r="3929">
          <cell r="A3929">
            <v>127909</v>
          </cell>
          <cell r="B3929" t="str">
            <v>3177771-1</v>
          </cell>
        </row>
        <row r="3930">
          <cell r="A3930">
            <v>127934</v>
          </cell>
          <cell r="B3930" t="str">
            <v>63001912-1</v>
          </cell>
        </row>
        <row r="3931">
          <cell r="A3931">
            <v>127939</v>
          </cell>
          <cell r="B3931" t="str">
            <v>POB63001912-1</v>
          </cell>
        </row>
        <row r="3932">
          <cell r="A3932">
            <v>127898</v>
          </cell>
          <cell r="B3932" t="str">
            <v>3176986-2</v>
          </cell>
        </row>
        <row r="3933">
          <cell r="A3933">
            <v>127907</v>
          </cell>
          <cell r="B3933" t="str">
            <v>3177737-1</v>
          </cell>
        </row>
        <row r="3934">
          <cell r="A3934">
            <v>127932</v>
          </cell>
          <cell r="B3934" t="str">
            <v>63000132-1</v>
          </cell>
        </row>
        <row r="3935">
          <cell r="A3935">
            <v>127886</v>
          </cell>
          <cell r="B3935" t="str">
            <v>3000002-10</v>
          </cell>
        </row>
        <row r="3936">
          <cell r="A3936">
            <v>127887</v>
          </cell>
          <cell r="B3936" t="str">
            <v>3000002-10//SS2</v>
          </cell>
        </row>
        <row r="3937">
          <cell r="A3937">
            <v>127901</v>
          </cell>
          <cell r="B3937" t="str">
            <v>3177253-1</v>
          </cell>
        </row>
        <row r="3938">
          <cell r="A3938">
            <v>127936</v>
          </cell>
          <cell r="B3938" t="str">
            <v>7205119-1</v>
          </cell>
        </row>
        <row r="3939">
          <cell r="A3939">
            <v>127937</v>
          </cell>
          <cell r="B3939" t="str">
            <v>7205120-1</v>
          </cell>
        </row>
        <row r="3940">
          <cell r="A3940">
            <v>127889</v>
          </cell>
          <cell r="B3940" t="str">
            <v>3035675-2</v>
          </cell>
        </row>
        <row r="3941">
          <cell r="A3941">
            <v>127891</v>
          </cell>
          <cell r="B3941" t="str">
            <v>3075377-1</v>
          </cell>
        </row>
        <row r="3942">
          <cell r="A3942">
            <v>127925</v>
          </cell>
          <cell r="B3942" t="str">
            <v>3-300-505-01</v>
          </cell>
        </row>
        <row r="3943">
          <cell r="A3943">
            <v>127894</v>
          </cell>
          <cell r="B3943" t="str">
            <v>3176803-1</v>
          </cell>
        </row>
        <row r="3944">
          <cell r="A3944">
            <v>127911</v>
          </cell>
          <cell r="B3944" t="str">
            <v>3177899-1</v>
          </cell>
        </row>
        <row r="3945">
          <cell r="A3945">
            <v>127928</v>
          </cell>
          <cell r="B3945" t="str">
            <v>3750808-1</v>
          </cell>
        </row>
        <row r="3946">
          <cell r="A3946">
            <v>127893</v>
          </cell>
          <cell r="B3946" t="str">
            <v>3176800-1</v>
          </cell>
        </row>
        <row r="3947">
          <cell r="A3947">
            <v>127929</v>
          </cell>
          <cell r="B3947" t="str">
            <v>3750809-1</v>
          </cell>
        </row>
        <row r="3948">
          <cell r="A3948">
            <v>127899</v>
          </cell>
          <cell r="B3948" t="str">
            <v>3176987-1</v>
          </cell>
        </row>
        <row r="3949">
          <cell r="A3949">
            <v>127906</v>
          </cell>
          <cell r="B3949" t="str">
            <v>3177736-1</v>
          </cell>
        </row>
        <row r="3950">
          <cell r="A3950">
            <v>127924</v>
          </cell>
          <cell r="B3950" t="str">
            <v>3179656-1</v>
          </cell>
        </row>
        <row r="3951">
          <cell r="A3951">
            <v>127908</v>
          </cell>
          <cell r="B3951" t="str">
            <v>3177770-1</v>
          </cell>
        </row>
        <row r="3952">
          <cell r="A3952">
            <v>127915</v>
          </cell>
          <cell r="B3952" t="str">
            <v>3178499-1</v>
          </cell>
        </row>
        <row r="3953">
          <cell r="A3953">
            <v>127922</v>
          </cell>
          <cell r="B3953" t="str">
            <v>3179417-2</v>
          </cell>
        </row>
        <row r="3954">
          <cell r="A3954">
            <v>127888</v>
          </cell>
          <cell r="B3954" t="str">
            <v>3035100-2</v>
          </cell>
        </row>
        <row r="3955">
          <cell r="A3955">
            <v>127921</v>
          </cell>
          <cell r="B3955" t="str">
            <v>3178511-1</v>
          </cell>
        </row>
        <row r="3956">
          <cell r="A3956">
            <v>127935</v>
          </cell>
          <cell r="B3956" t="str">
            <v>63002310-1</v>
          </cell>
        </row>
        <row r="3957">
          <cell r="A3957">
            <v>127938</v>
          </cell>
          <cell r="B3957" t="str">
            <v>76E39-1</v>
          </cell>
        </row>
        <row r="3958">
          <cell r="A3958">
            <v>127890</v>
          </cell>
          <cell r="B3958" t="str">
            <v>3073754-1</v>
          </cell>
        </row>
        <row r="3959">
          <cell r="A3959">
            <v>127897</v>
          </cell>
          <cell r="B3959" t="str">
            <v>3176986-1</v>
          </cell>
        </row>
        <row r="3960">
          <cell r="A3960">
            <v>127933</v>
          </cell>
          <cell r="B3960" t="str">
            <v>63000920-1</v>
          </cell>
        </row>
        <row r="3961">
          <cell r="A3961">
            <v>127940</v>
          </cell>
          <cell r="B3961" t="str">
            <v>POB63002310-1</v>
          </cell>
        </row>
        <row r="3962">
          <cell r="A3962">
            <v>127902</v>
          </cell>
          <cell r="B3962" t="str">
            <v>3177491-1</v>
          </cell>
        </row>
        <row r="3963">
          <cell r="A3963">
            <v>127903</v>
          </cell>
          <cell r="B3963" t="str">
            <v>3177651-1</v>
          </cell>
        </row>
        <row r="3964">
          <cell r="A3964">
            <v>127920</v>
          </cell>
          <cell r="B3964" t="str">
            <v>3178505-1</v>
          </cell>
        </row>
        <row r="3965">
          <cell r="A3965">
            <v>127892</v>
          </cell>
          <cell r="B3965" t="str">
            <v>3093604-1</v>
          </cell>
        </row>
        <row r="3966">
          <cell r="A3966">
            <v>127917</v>
          </cell>
          <cell r="B3966" t="str">
            <v>3178502-1</v>
          </cell>
        </row>
        <row r="3967">
          <cell r="A3967">
            <v>127931</v>
          </cell>
          <cell r="B3967" t="str">
            <v>59E76-1</v>
          </cell>
        </row>
        <row r="3968">
          <cell r="A3968">
            <v>127904</v>
          </cell>
          <cell r="B3968" t="str">
            <v>3177727-1</v>
          </cell>
        </row>
        <row r="3969">
          <cell r="A3969">
            <v>127905</v>
          </cell>
          <cell r="B3969" t="str">
            <v>3177735-1</v>
          </cell>
        </row>
        <row r="3970">
          <cell r="A3970">
            <v>127918</v>
          </cell>
          <cell r="B3970" t="str">
            <v>3178503-1</v>
          </cell>
        </row>
        <row r="3971">
          <cell r="A3971">
            <v>127919</v>
          </cell>
          <cell r="B3971" t="str">
            <v>3178504-1</v>
          </cell>
        </row>
        <row r="3972">
          <cell r="A3972">
            <v>127986</v>
          </cell>
          <cell r="B3972" t="str">
            <v>3888126-1</v>
          </cell>
        </row>
        <row r="3973">
          <cell r="A3973">
            <v>127989</v>
          </cell>
          <cell r="B3973" t="str">
            <v>70722948-1</v>
          </cell>
        </row>
        <row r="3974">
          <cell r="A3974">
            <v>127987</v>
          </cell>
          <cell r="B3974" t="str">
            <v>3888033-5</v>
          </cell>
        </row>
        <row r="3975">
          <cell r="A3975">
            <v>127988</v>
          </cell>
          <cell r="B3975" t="str">
            <v>3888047-4</v>
          </cell>
        </row>
        <row r="3976">
          <cell r="A3976">
            <v>127985</v>
          </cell>
          <cell r="B3976" t="str">
            <v>304760-1</v>
          </cell>
        </row>
        <row r="3977">
          <cell r="A3977">
            <v>127992</v>
          </cell>
          <cell r="B3977" t="str">
            <v>698788-2</v>
          </cell>
        </row>
        <row r="3978">
          <cell r="A3978">
            <v>127991</v>
          </cell>
          <cell r="B3978" t="str">
            <v>3888159-2</v>
          </cell>
        </row>
        <row r="3979">
          <cell r="A3979">
            <v>127990</v>
          </cell>
          <cell r="B3979" t="str">
            <v>3888034-2</v>
          </cell>
        </row>
        <row r="3980">
          <cell r="A3980">
            <v>128218</v>
          </cell>
          <cell r="B3980" t="str">
            <v>3035704-1</v>
          </cell>
        </row>
        <row r="3981">
          <cell r="A3981">
            <v>128212</v>
          </cell>
          <cell r="B3981">
            <v>152342</v>
          </cell>
        </row>
        <row r="3982">
          <cell r="A3982">
            <v>128214</v>
          </cell>
          <cell r="B3982">
            <v>2611716</v>
          </cell>
        </row>
        <row r="3983">
          <cell r="A3983">
            <v>128211</v>
          </cell>
          <cell r="B3983" t="str">
            <v>3035704-1</v>
          </cell>
        </row>
        <row r="3984">
          <cell r="A3984">
            <v>128213</v>
          </cell>
          <cell r="B3984">
            <v>2609811</v>
          </cell>
        </row>
        <row r="3985">
          <cell r="A3985">
            <v>128217</v>
          </cell>
          <cell r="B3985">
            <v>2616629</v>
          </cell>
        </row>
        <row r="3986">
          <cell r="A3986">
            <v>128215</v>
          </cell>
          <cell r="B3986">
            <v>2609681</v>
          </cell>
        </row>
        <row r="3987">
          <cell r="A3987">
            <v>128216</v>
          </cell>
          <cell r="B3987">
            <v>2609087</v>
          </cell>
        </row>
        <row r="3988">
          <cell r="A3988">
            <v>128210</v>
          </cell>
          <cell r="B3988">
            <v>2615147</v>
          </cell>
        </row>
        <row r="3989">
          <cell r="A3989">
            <v>128317</v>
          </cell>
          <cell r="B3989">
            <v>135191</v>
          </cell>
        </row>
        <row r="3990">
          <cell r="A3990">
            <v>128331</v>
          </cell>
          <cell r="B3990" t="str">
            <v>3105530-1</v>
          </cell>
        </row>
        <row r="3991">
          <cell r="A3991">
            <v>128332</v>
          </cell>
          <cell r="B3991" t="str">
            <v>3120374-11</v>
          </cell>
        </row>
        <row r="3992">
          <cell r="A3992">
            <v>128349</v>
          </cell>
          <cell r="B3992" t="str">
            <v>865376-1</v>
          </cell>
        </row>
        <row r="3993">
          <cell r="A3993">
            <v>128350</v>
          </cell>
          <cell r="B3993" t="str">
            <v>869240-1</v>
          </cell>
        </row>
        <row r="3994">
          <cell r="A3994">
            <v>128364</v>
          </cell>
          <cell r="B3994" t="str">
            <v>146237-1</v>
          </cell>
        </row>
        <row r="3995">
          <cell r="A3995">
            <v>128367</v>
          </cell>
          <cell r="B3995" t="str">
            <v>2-141-496-01</v>
          </cell>
        </row>
        <row r="3996">
          <cell r="A3996">
            <v>128381</v>
          </cell>
          <cell r="B3996" t="str">
            <v>3091098-1</v>
          </cell>
        </row>
        <row r="3997">
          <cell r="A3997">
            <v>128382</v>
          </cell>
          <cell r="B3997" t="str">
            <v>3091118-1</v>
          </cell>
        </row>
        <row r="3998">
          <cell r="A3998">
            <v>128399</v>
          </cell>
          <cell r="B3998" t="str">
            <v>352723-35</v>
          </cell>
        </row>
        <row r="3999">
          <cell r="A3999">
            <v>128400</v>
          </cell>
          <cell r="B3999" t="str">
            <v>3601042-1</v>
          </cell>
        </row>
        <row r="4000">
          <cell r="A4000">
            <v>128414</v>
          </cell>
          <cell r="B4000" t="str">
            <v>3860094-1</v>
          </cell>
        </row>
        <row r="4001">
          <cell r="A4001">
            <v>128417</v>
          </cell>
          <cell r="B4001" t="str">
            <v>3882616-1</v>
          </cell>
        </row>
        <row r="4002">
          <cell r="A4002">
            <v>128431</v>
          </cell>
          <cell r="B4002" t="str">
            <v>868546-1</v>
          </cell>
        </row>
        <row r="4003">
          <cell r="A4003">
            <v>128432</v>
          </cell>
          <cell r="B4003" t="str">
            <v>869495-1</v>
          </cell>
        </row>
        <row r="4004">
          <cell r="A4004">
            <v>128323</v>
          </cell>
          <cell r="B4004" t="str">
            <v>146207-1</v>
          </cell>
        </row>
        <row r="4005">
          <cell r="A4005">
            <v>128325</v>
          </cell>
          <cell r="B4005" t="str">
            <v>147296-1</v>
          </cell>
        </row>
        <row r="4006">
          <cell r="A4006">
            <v>128340</v>
          </cell>
          <cell r="B4006" t="str">
            <v>3827453-1</v>
          </cell>
        </row>
        <row r="4007">
          <cell r="A4007">
            <v>128342</v>
          </cell>
          <cell r="B4007" t="str">
            <v>3882679-1</v>
          </cell>
        </row>
        <row r="4008">
          <cell r="A4008">
            <v>128355</v>
          </cell>
          <cell r="B4008">
            <v>2526421</v>
          </cell>
        </row>
        <row r="4009">
          <cell r="A4009">
            <v>128357</v>
          </cell>
          <cell r="B4009">
            <v>3241037</v>
          </cell>
        </row>
        <row r="4010">
          <cell r="A4010">
            <v>128372</v>
          </cell>
          <cell r="B4010" t="str">
            <v>3000005-62</v>
          </cell>
        </row>
        <row r="4011">
          <cell r="A4011">
            <v>128374</v>
          </cell>
          <cell r="B4011" t="str">
            <v>3033034-1</v>
          </cell>
        </row>
        <row r="4012">
          <cell r="A4012">
            <v>128389</v>
          </cell>
          <cell r="B4012" t="str">
            <v>3103012-1</v>
          </cell>
        </row>
        <row r="4013">
          <cell r="A4013">
            <v>128391</v>
          </cell>
          <cell r="B4013" t="str">
            <v>3168850-1</v>
          </cell>
        </row>
        <row r="4014">
          <cell r="A4014">
            <v>128406</v>
          </cell>
          <cell r="B4014" t="str">
            <v>3616715-1</v>
          </cell>
        </row>
        <row r="4015">
          <cell r="A4015">
            <v>128408</v>
          </cell>
          <cell r="B4015" t="str">
            <v>365681-1</v>
          </cell>
        </row>
        <row r="4016">
          <cell r="A4016">
            <v>128423</v>
          </cell>
          <cell r="B4016" t="str">
            <v>585185-1</v>
          </cell>
        </row>
        <row r="4017">
          <cell r="A4017">
            <v>128425</v>
          </cell>
          <cell r="B4017" t="str">
            <v>70721876-1</v>
          </cell>
        </row>
        <row r="4018">
          <cell r="A4018">
            <v>128440</v>
          </cell>
          <cell r="B4018" t="str">
            <v>LH90030-07</v>
          </cell>
        </row>
        <row r="4019">
          <cell r="A4019">
            <v>128321</v>
          </cell>
          <cell r="B4019" t="str">
            <v>1-160-268-02</v>
          </cell>
        </row>
        <row r="4020">
          <cell r="A4020">
            <v>128328</v>
          </cell>
          <cell r="B4020" t="str">
            <v>3060266-1</v>
          </cell>
        </row>
        <row r="4021">
          <cell r="A4021">
            <v>128335</v>
          </cell>
          <cell r="B4021" t="str">
            <v>3601976-1</v>
          </cell>
        </row>
        <row r="4022">
          <cell r="A4022">
            <v>128346</v>
          </cell>
          <cell r="B4022" t="str">
            <v>536119-3</v>
          </cell>
        </row>
        <row r="4023">
          <cell r="A4023">
            <v>128353</v>
          </cell>
          <cell r="B4023">
            <v>379756</v>
          </cell>
        </row>
        <row r="4024">
          <cell r="A4024">
            <v>128360</v>
          </cell>
          <cell r="B4024">
            <v>3242017</v>
          </cell>
        </row>
        <row r="4025">
          <cell r="A4025">
            <v>128371</v>
          </cell>
          <cell r="B4025" t="str">
            <v>2784652-2</v>
          </cell>
        </row>
        <row r="4026">
          <cell r="A4026">
            <v>128378</v>
          </cell>
          <cell r="B4026" t="str">
            <v>3073037-4</v>
          </cell>
        </row>
        <row r="4027">
          <cell r="A4027">
            <v>128385</v>
          </cell>
          <cell r="B4027" t="str">
            <v>3101799-1</v>
          </cell>
        </row>
        <row r="4028">
          <cell r="A4028">
            <v>128396</v>
          </cell>
          <cell r="B4028" t="str">
            <v>3-300-069-01</v>
          </cell>
        </row>
        <row r="4029">
          <cell r="A4029">
            <v>128403</v>
          </cell>
          <cell r="B4029" t="str">
            <v>3610875-18</v>
          </cell>
        </row>
        <row r="4030">
          <cell r="A4030">
            <v>128410</v>
          </cell>
          <cell r="B4030" t="str">
            <v>366228-6</v>
          </cell>
        </row>
        <row r="4031">
          <cell r="A4031">
            <v>128421</v>
          </cell>
          <cell r="B4031" t="str">
            <v>572498-1</v>
          </cell>
        </row>
        <row r="4032">
          <cell r="A4032">
            <v>128428</v>
          </cell>
          <cell r="B4032" t="str">
            <v>866673-1</v>
          </cell>
        </row>
        <row r="4033">
          <cell r="A4033">
            <v>128435</v>
          </cell>
          <cell r="B4033" t="str">
            <v>894774-1</v>
          </cell>
        </row>
        <row r="4034">
          <cell r="A4034">
            <v>128327</v>
          </cell>
          <cell r="B4034" t="str">
            <v>3000005-6</v>
          </cell>
        </row>
        <row r="4035">
          <cell r="A4035">
            <v>128329</v>
          </cell>
          <cell r="B4035" t="str">
            <v>3070872-1</v>
          </cell>
        </row>
        <row r="4036">
          <cell r="A4036">
            <v>128334</v>
          </cell>
          <cell r="B4036" t="str">
            <v>3171742-1</v>
          </cell>
        </row>
        <row r="4037">
          <cell r="A4037">
            <v>128336</v>
          </cell>
          <cell r="B4037" t="str">
            <v>3604742-1</v>
          </cell>
        </row>
        <row r="4038">
          <cell r="A4038">
            <v>128338</v>
          </cell>
          <cell r="B4038" t="str">
            <v>365829-1</v>
          </cell>
        </row>
        <row r="4039">
          <cell r="A4039">
            <v>128359</v>
          </cell>
          <cell r="B4039">
            <v>3241909</v>
          </cell>
        </row>
        <row r="4040">
          <cell r="A4040">
            <v>128361</v>
          </cell>
          <cell r="B4040">
            <v>3242251</v>
          </cell>
        </row>
        <row r="4041">
          <cell r="A4041">
            <v>128363</v>
          </cell>
          <cell r="B4041">
            <v>4032516</v>
          </cell>
        </row>
        <row r="4042">
          <cell r="A4042">
            <v>128368</v>
          </cell>
          <cell r="B4042" t="str">
            <v>2-160-267-01</v>
          </cell>
        </row>
        <row r="4043">
          <cell r="A4043">
            <v>128370</v>
          </cell>
          <cell r="B4043" t="str">
            <v>2784652-1</v>
          </cell>
        </row>
        <row r="4044">
          <cell r="A4044">
            <v>128393</v>
          </cell>
          <cell r="B4044" t="str">
            <v>3180014-3</v>
          </cell>
        </row>
        <row r="4045">
          <cell r="A4045">
            <v>128395</v>
          </cell>
          <cell r="B4045" t="str">
            <v>3282-6</v>
          </cell>
        </row>
        <row r="4046">
          <cell r="A4046">
            <v>128402</v>
          </cell>
          <cell r="B4046" t="str">
            <v>3601042-4</v>
          </cell>
        </row>
        <row r="4047">
          <cell r="A4047">
            <v>128404</v>
          </cell>
          <cell r="B4047" t="str">
            <v>3610875-42</v>
          </cell>
        </row>
        <row r="4048">
          <cell r="A4048">
            <v>128427</v>
          </cell>
          <cell r="B4048" t="str">
            <v>865234-1</v>
          </cell>
        </row>
        <row r="4049">
          <cell r="A4049">
            <v>128429</v>
          </cell>
          <cell r="B4049" t="str">
            <v>867363-1</v>
          </cell>
        </row>
        <row r="4050">
          <cell r="A4050">
            <v>128436</v>
          </cell>
          <cell r="B4050" t="str">
            <v>897257-1</v>
          </cell>
        </row>
        <row r="4051">
          <cell r="A4051">
            <v>128438</v>
          </cell>
          <cell r="B4051" t="str">
            <v>LH90030-05</v>
          </cell>
        </row>
        <row r="4052">
          <cell r="A4052">
            <v>128318</v>
          </cell>
          <cell r="B4052">
            <v>135999</v>
          </cell>
        </row>
        <row r="4053">
          <cell r="A4053">
            <v>128320</v>
          </cell>
          <cell r="B4053">
            <v>1719865</v>
          </cell>
        </row>
        <row r="4054">
          <cell r="A4054">
            <v>128343</v>
          </cell>
          <cell r="B4054" t="str">
            <v>4-111-064-01</v>
          </cell>
        </row>
        <row r="4055">
          <cell r="A4055">
            <v>128345</v>
          </cell>
          <cell r="B4055" t="str">
            <v>4-301-019-01</v>
          </cell>
        </row>
        <row r="4056">
          <cell r="A4056">
            <v>128352</v>
          </cell>
          <cell r="B4056" t="str">
            <v>977285-1</v>
          </cell>
        </row>
        <row r="4057">
          <cell r="A4057">
            <v>128354</v>
          </cell>
          <cell r="B4057">
            <v>2522135</v>
          </cell>
        </row>
        <row r="4058">
          <cell r="A4058">
            <v>128377</v>
          </cell>
          <cell r="B4058" t="str">
            <v>3071982-1</v>
          </cell>
        </row>
        <row r="4059">
          <cell r="A4059">
            <v>128379</v>
          </cell>
          <cell r="B4059" t="str">
            <v>3074654-3</v>
          </cell>
        </row>
        <row r="4060">
          <cell r="A4060">
            <v>128386</v>
          </cell>
          <cell r="B4060" t="str">
            <v>3102049-2</v>
          </cell>
        </row>
        <row r="4061">
          <cell r="A4061">
            <v>128388</v>
          </cell>
          <cell r="B4061" t="str">
            <v>3102895-1</v>
          </cell>
        </row>
        <row r="4062">
          <cell r="A4062">
            <v>128411</v>
          </cell>
          <cell r="B4062" t="str">
            <v>367258-1</v>
          </cell>
        </row>
        <row r="4063">
          <cell r="A4063">
            <v>128413</v>
          </cell>
          <cell r="B4063" t="str">
            <v>3827415-1</v>
          </cell>
        </row>
        <row r="4064">
          <cell r="A4064">
            <v>128418</v>
          </cell>
          <cell r="B4064" t="str">
            <v>3886226-1</v>
          </cell>
        </row>
        <row r="4065">
          <cell r="A4065">
            <v>128420</v>
          </cell>
          <cell r="B4065" t="str">
            <v>4-111-027-01</v>
          </cell>
        </row>
        <row r="4066">
          <cell r="A4066">
            <v>128316</v>
          </cell>
          <cell r="B4066">
            <v>94464</v>
          </cell>
        </row>
        <row r="4067">
          <cell r="A4067">
            <v>128330</v>
          </cell>
          <cell r="B4067" t="str">
            <v>3073037-3</v>
          </cell>
        </row>
        <row r="4068">
          <cell r="A4068">
            <v>128333</v>
          </cell>
          <cell r="B4068" t="str">
            <v>3168796-1</v>
          </cell>
        </row>
        <row r="4069">
          <cell r="A4069">
            <v>128347</v>
          </cell>
          <cell r="B4069" t="str">
            <v>63000619-1</v>
          </cell>
        </row>
        <row r="4070">
          <cell r="A4070">
            <v>128348</v>
          </cell>
          <cell r="B4070" t="str">
            <v>791-7004-8002</v>
          </cell>
        </row>
        <row r="4071">
          <cell r="A4071">
            <v>128365</v>
          </cell>
          <cell r="B4071" t="str">
            <v>2-070-019-01</v>
          </cell>
        </row>
        <row r="4072">
          <cell r="A4072">
            <v>128366</v>
          </cell>
          <cell r="B4072" t="str">
            <v>2-131-133-01</v>
          </cell>
        </row>
        <row r="4073">
          <cell r="A4073">
            <v>128380</v>
          </cell>
          <cell r="B4073" t="str">
            <v>3074654-4</v>
          </cell>
        </row>
        <row r="4074">
          <cell r="A4074">
            <v>128383</v>
          </cell>
          <cell r="B4074" t="str">
            <v>3092038-1</v>
          </cell>
        </row>
        <row r="4075">
          <cell r="A4075">
            <v>128384</v>
          </cell>
          <cell r="B4075" t="str">
            <v>3092038-3</v>
          </cell>
        </row>
        <row r="4076">
          <cell r="A4076">
            <v>128397</v>
          </cell>
          <cell r="B4076" t="str">
            <v>3507263-1</v>
          </cell>
        </row>
        <row r="4077">
          <cell r="A4077">
            <v>128398</v>
          </cell>
          <cell r="B4077" t="str">
            <v>3507990-1</v>
          </cell>
        </row>
        <row r="4078">
          <cell r="A4078">
            <v>128415</v>
          </cell>
          <cell r="B4078" t="str">
            <v>3860094-4</v>
          </cell>
        </row>
        <row r="4079">
          <cell r="A4079">
            <v>128416</v>
          </cell>
          <cell r="B4079" t="str">
            <v>3868031-1</v>
          </cell>
        </row>
        <row r="4080">
          <cell r="A4080">
            <v>128430</v>
          </cell>
          <cell r="B4080" t="str">
            <v>868485-1</v>
          </cell>
        </row>
        <row r="4081">
          <cell r="A4081">
            <v>128433</v>
          </cell>
          <cell r="B4081" t="str">
            <v>869604-1</v>
          </cell>
        </row>
        <row r="4082">
          <cell r="A4082">
            <v>128434</v>
          </cell>
          <cell r="B4082" t="str">
            <v>884668-1</v>
          </cell>
        </row>
        <row r="4083">
          <cell r="A4083">
            <v>128322</v>
          </cell>
          <cell r="B4083" t="str">
            <v>1-300-637-01</v>
          </cell>
        </row>
        <row r="4084">
          <cell r="A4084">
            <v>128324</v>
          </cell>
          <cell r="B4084" t="str">
            <v>146240-1</v>
          </cell>
        </row>
        <row r="4085">
          <cell r="A4085">
            <v>128339</v>
          </cell>
          <cell r="B4085" t="str">
            <v>367897-1</v>
          </cell>
        </row>
        <row r="4086">
          <cell r="A4086">
            <v>128341</v>
          </cell>
          <cell r="B4086" t="str">
            <v>3860611-1</v>
          </cell>
        </row>
        <row r="4087">
          <cell r="A4087">
            <v>128356</v>
          </cell>
          <cell r="B4087">
            <v>2538097</v>
          </cell>
        </row>
        <row r="4088">
          <cell r="A4088">
            <v>128358</v>
          </cell>
          <cell r="B4088">
            <v>3241905</v>
          </cell>
        </row>
        <row r="4089">
          <cell r="A4089">
            <v>128373</v>
          </cell>
          <cell r="B4089" t="str">
            <v>3000005-64</v>
          </cell>
        </row>
        <row r="4090">
          <cell r="A4090">
            <v>128375</v>
          </cell>
          <cell r="B4090" t="str">
            <v>3035094-2</v>
          </cell>
        </row>
        <row r="4091">
          <cell r="A4091">
            <v>128390</v>
          </cell>
          <cell r="B4091" t="str">
            <v>3161589-1</v>
          </cell>
        </row>
        <row r="4092">
          <cell r="A4092">
            <v>128392</v>
          </cell>
          <cell r="B4092" t="str">
            <v>3170973-1</v>
          </cell>
        </row>
        <row r="4093">
          <cell r="A4093">
            <v>128405</v>
          </cell>
          <cell r="B4093" t="str">
            <v>3610875-43</v>
          </cell>
        </row>
        <row r="4094">
          <cell r="A4094">
            <v>128407</v>
          </cell>
          <cell r="B4094" t="str">
            <v>364273-1</v>
          </cell>
        </row>
        <row r="4095">
          <cell r="A4095">
            <v>128409</v>
          </cell>
          <cell r="B4095" t="str">
            <v>365795-1</v>
          </cell>
        </row>
        <row r="4096">
          <cell r="A4096">
            <v>128422</v>
          </cell>
          <cell r="B4096" t="str">
            <v>582397-1</v>
          </cell>
        </row>
        <row r="4097">
          <cell r="A4097">
            <v>128424</v>
          </cell>
          <cell r="B4097" t="str">
            <v>6430773-1</v>
          </cell>
        </row>
        <row r="4098">
          <cell r="A4098">
            <v>128439</v>
          </cell>
          <cell r="B4098" t="str">
            <v>LH90030-06</v>
          </cell>
        </row>
        <row r="4099">
          <cell r="A4099">
            <v>128319</v>
          </cell>
          <cell r="B4099">
            <v>377156</v>
          </cell>
        </row>
        <row r="4100">
          <cell r="A4100">
            <v>128326</v>
          </cell>
          <cell r="B4100" t="str">
            <v>2-160-404-01</v>
          </cell>
        </row>
        <row r="4101">
          <cell r="A4101">
            <v>128337</v>
          </cell>
          <cell r="B4101" t="str">
            <v>365775-1</v>
          </cell>
        </row>
        <row r="4102">
          <cell r="A4102">
            <v>128344</v>
          </cell>
          <cell r="B4102" t="str">
            <v>4-301-011-01</v>
          </cell>
        </row>
        <row r="4103">
          <cell r="A4103">
            <v>128351</v>
          </cell>
          <cell r="B4103" t="str">
            <v>870664-1</v>
          </cell>
        </row>
        <row r="4104">
          <cell r="A4104">
            <v>128362</v>
          </cell>
          <cell r="B4104">
            <v>4005979</v>
          </cell>
        </row>
        <row r="4105">
          <cell r="A4105">
            <v>128369</v>
          </cell>
          <cell r="B4105" t="str">
            <v>2205212-1</v>
          </cell>
        </row>
        <row r="4106">
          <cell r="A4106">
            <v>128376</v>
          </cell>
          <cell r="B4106" t="str">
            <v>3060266-2</v>
          </cell>
        </row>
        <row r="4107">
          <cell r="A4107">
            <v>128387</v>
          </cell>
          <cell r="B4107" t="str">
            <v>3102241-2</v>
          </cell>
        </row>
        <row r="4108">
          <cell r="A4108">
            <v>128394</v>
          </cell>
          <cell r="B4108" t="str">
            <v>3185485-1</v>
          </cell>
        </row>
        <row r="4109">
          <cell r="A4109">
            <v>128401</v>
          </cell>
          <cell r="B4109" t="str">
            <v>3601042-3</v>
          </cell>
        </row>
        <row r="4110">
          <cell r="A4110">
            <v>128412</v>
          </cell>
          <cell r="B4110" t="str">
            <v>367484-1</v>
          </cell>
        </row>
        <row r="4111">
          <cell r="A4111">
            <v>128419</v>
          </cell>
          <cell r="B4111" t="str">
            <v>4088546-1</v>
          </cell>
        </row>
        <row r="4112">
          <cell r="A4112">
            <v>128426</v>
          </cell>
          <cell r="B4112" t="str">
            <v>791-503-9056</v>
          </cell>
        </row>
        <row r="4113">
          <cell r="A4113">
            <v>128437</v>
          </cell>
          <cell r="B4113" t="str">
            <v>897539-1</v>
          </cell>
        </row>
        <row r="4114">
          <cell r="A4114">
            <v>128644</v>
          </cell>
          <cell r="B4114" t="str">
            <v>320495-2</v>
          </cell>
        </row>
        <row r="4115">
          <cell r="A4115">
            <v>128621</v>
          </cell>
          <cell r="B4115" t="str">
            <v>571339-1</v>
          </cell>
        </row>
        <row r="4116">
          <cell r="A4116">
            <v>128628</v>
          </cell>
          <cell r="B4116" t="str">
            <v>LH90191-05</v>
          </cell>
        </row>
        <row r="4117">
          <cell r="A4117">
            <v>128635</v>
          </cell>
          <cell r="B4117" t="str">
            <v>3810088-4</v>
          </cell>
        </row>
        <row r="4118">
          <cell r="A4118">
            <v>128613</v>
          </cell>
          <cell r="B4118" t="str">
            <v>656-182-9001</v>
          </cell>
        </row>
        <row r="4119">
          <cell r="A4119">
            <v>128636</v>
          </cell>
          <cell r="B4119">
            <v>2601008</v>
          </cell>
        </row>
        <row r="4120">
          <cell r="A4120">
            <v>128638</v>
          </cell>
          <cell r="B4120">
            <v>2609696</v>
          </cell>
        </row>
        <row r="4121">
          <cell r="A4121">
            <v>128643</v>
          </cell>
          <cell r="B4121" t="str">
            <v>Z1200-048</v>
          </cell>
        </row>
        <row r="4122">
          <cell r="A4122">
            <v>128614</v>
          </cell>
          <cell r="B4122" t="str">
            <v>2783330-2</v>
          </cell>
        </row>
        <row r="4123">
          <cell r="A4123">
            <v>128616</v>
          </cell>
          <cell r="B4123" t="str">
            <v>655-562-9006</v>
          </cell>
        </row>
        <row r="4124">
          <cell r="A4124">
            <v>128631</v>
          </cell>
          <cell r="B4124" t="str">
            <v>525-580-9003</v>
          </cell>
        </row>
        <row r="4125">
          <cell r="A4125">
            <v>128633</v>
          </cell>
          <cell r="B4125" t="str">
            <v>S9424-4</v>
          </cell>
        </row>
        <row r="4126">
          <cell r="A4126">
            <v>128619</v>
          </cell>
          <cell r="B4126" t="str">
            <v>1582813-4</v>
          </cell>
        </row>
        <row r="4127">
          <cell r="A4127">
            <v>128630</v>
          </cell>
          <cell r="B4127" t="str">
            <v>525-123-9005</v>
          </cell>
        </row>
        <row r="4128">
          <cell r="A4128">
            <v>128637</v>
          </cell>
          <cell r="B4128" t="str">
            <v>525-533-9005</v>
          </cell>
        </row>
        <row r="4129">
          <cell r="A4129">
            <v>128624</v>
          </cell>
          <cell r="B4129">
            <v>2634820</v>
          </cell>
        </row>
        <row r="4130">
          <cell r="A4130">
            <v>128625</v>
          </cell>
          <cell r="B4130">
            <v>2636928</v>
          </cell>
        </row>
        <row r="4131">
          <cell r="A4131">
            <v>128639</v>
          </cell>
          <cell r="B4131" t="str">
            <v>145-525-9100</v>
          </cell>
        </row>
        <row r="4132">
          <cell r="A4132">
            <v>128642</v>
          </cell>
          <cell r="B4132" t="str">
            <v>525-518-9040</v>
          </cell>
        </row>
        <row r="4133">
          <cell r="A4133">
            <v>128615</v>
          </cell>
          <cell r="B4133" t="str">
            <v>2783331-2</v>
          </cell>
        </row>
        <row r="4134">
          <cell r="A4134">
            <v>128617</v>
          </cell>
          <cell r="B4134" t="str">
            <v>655-589-9036</v>
          </cell>
        </row>
        <row r="4135">
          <cell r="A4135">
            <v>128632</v>
          </cell>
          <cell r="B4135" t="str">
            <v>FN1418-720</v>
          </cell>
        </row>
        <row r="4136">
          <cell r="A4136">
            <v>128634</v>
          </cell>
          <cell r="B4136" t="str">
            <v>57979-3</v>
          </cell>
        </row>
        <row r="4137">
          <cell r="A4137">
            <v>128623</v>
          </cell>
          <cell r="B4137">
            <v>2664330</v>
          </cell>
        </row>
        <row r="4138">
          <cell r="A4138">
            <v>128626</v>
          </cell>
          <cell r="B4138" t="str">
            <v>22FP7-428</v>
          </cell>
        </row>
        <row r="4139">
          <cell r="A4139">
            <v>128640</v>
          </cell>
          <cell r="B4139" t="str">
            <v>525-042-9005</v>
          </cell>
        </row>
        <row r="4140">
          <cell r="A4140">
            <v>128641</v>
          </cell>
          <cell r="B4140" t="str">
            <v>525-518-9005</v>
          </cell>
        </row>
        <row r="4141">
          <cell r="A4141">
            <v>128618</v>
          </cell>
          <cell r="B4141" t="str">
            <v>1582813-1</v>
          </cell>
        </row>
        <row r="4142">
          <cell r="A4142">
            <v>128620</v>
          </cell>
          <cell r="B4142" t="str">
            <v>655-562-9005</v>
          </cell>
        </row>
        <row r="4143">
          <cell r="A4143">
            <v>128622</v>
          </cell>
          <cell r="B4143" t="str">
            <v>681736-6</v>
          </cell>
        </row>
        <row r="4144">
          <cell r="A4144">
            <v>128627</v>
          </cell>
          <cell r="B4144" t="str">
            <v>HL97DU4</v>
          </cell>
        </row>
        <row r="4145">
          <cell r="A4145">
            <v>128629</v>
          </cell>
          <cell r="B4145" t="str">
            <v>525-002-9014</v>
          </cell>
        </row>
        <row r="4146">
          <cell r="A4146">
            <v>128561</v>
          </cell>
          <cell r="B4146" t="str">
            <v>2204229-1</v>
          </cell>
        </row>
        <row r="4147">
          <cell r="A4147">
            <v>128584</v>
          </cell>
          <cell r="B4147" t="str">
            <v>3822610-1</v>
          </cell>
        </row>
        <row r="4148">
          <cell r="A4148">
            <v>128586</v>
          </cell>
          <cell r="B4148" t="str">
            <v>3822661-940</v>
          </cell>
        </row>
        <row r="4149">
          <cell r="A4149">
            <v>128591</v>
          </cell>
          <cell r="B4149" t="str">
            <v>3860025-940</v>
          </cell>
        </row>
        <row r="4150">
          <cell r="A4150">
            <v>128593</v>
          </cell>
          <cell r="B4150" t="str">
            <v>3860334-940</v>
          </cell>
        </row>
        <row r="4151">
          <cell r="A4151">
            <v>128569</v>
          </cell>
          <cell r="B4151" t="str">
            <v>2206407-3</v>
          </cell>
        </row>
        <row r="4152">
          <cell r="A4152">
            <v>128576</v>
          </cell>
          <cell r="B4152" t="str">
            <v>3103726-942</v>
          </cell>
        </row>
        <row r="4153">
          <cell r="A4153">
            <v>128583</v>
          </cell>
          <cell r="B4153" t="str">
            <v>3822529-940</v>
          </cell>
        </row>
        <row r="4154">
          <cell r="A4154">
            <v>128594</v>
          </cell>
          <cell r="B4154" t="str">
            <v>3868000-4</v>
          </cell>
        </row>
        <row r="4155">
          <cell r="A4155">
            <v>128601</v>
          </cell>
          <cell r="B4155" t="str">
            <v>67410574-1</v>
          </cell>
        </row>
        <row r="4156">
          <cell r="A4156">
            <v>128562</v>
          </cell>
          <cell r="B4156" t="str">
            <v>2204933-3</v>
          </cell>
        </row>
        <row r="4157">
          <cell r="A4157">
            <v>128564</v>
          </cell>
          <cell r="B4157" t="str">
            <v>2205448-2</v>
          </cell>
        </row>
        <row r="4158">
          <cell r="A4158">
            <v>128579</v>
          </cell>
          <cell r="B4158" t="str">
            <v>3822065-1</v>
          </cell>
        </row>
        <row r="4159">
          <cell r="A4159">
            <v>128581</v>
          </cell>
          <cell r="B4159" t="str">
            <v>3822354-940</v>
          </cell>
        </row>
        <row r="4160">
          <cell r="A4160">
            <v>128596</v>
          </cell>
          <cell r="B4160" t="str">
            <v>571757-2</v>
          </cell>
        </row>
        <row r="4161">
          <cell r="A4161">
            <v>128598</v>
          </cell>
          <cell r="B4161" t="str">
            <v>586173-1</v>
          </cell>
        </row>
        <row r="4162">
          <cell r="A4162">
            <v>128560</v>
          </cell>
          <cell r="B4162" t="str">
            <v>2204148-2</v>
          </cell>
        </row>
        <row r="4163">
          <cell r="A4163">
            <v>128567</v>
          </cell>
          <cell r="B4163" t="str">
            <v>2205974-1</v>
          </cell>
        </row>
        <row r="4164">
          <cell r="A4164">
            <v>128574</v>
          </cell>
          <cell r="B4164" t="str">
            <v>3103726-1</v>
          </cell>
        </row>
        <row r="4165">
          <cell r="A4165">
            <v>128585</v>
          </cell>
          <cell r="B4165" t="str">
            <v>3822610-2</v>
          </cell>
        </row>
        <row r="4166">
          <cell r="A4166">
            <v>128592</v>
          </cell>
          <cell r="B4166" t="str">
            <v>3860334-1</v>
          </cell>
        </row>
        <row r="4167">
          <cell r="A4167">
            <v>128599</v>
          </cell>
          <cell r="B4167" t="str">
            <v>67410223-1</v>
          </cell>
        </row>
        <row r="4168">
          <cell r="A4168">
            <v>128563</v>
          </cell>
          <cell r="B4168" t="str">
            <v>2205257-1</v>
          </cell>
        </row>
        <row r="4169">
          <cell r="A4169">
            <v>128565</v>
          </cell>
          <cell r="B4169" t="str">
            <v>2205586-1</v>
          </cell>
        </row>
        <row r="4170">
          <cell r="A4170">
            <v>128578</v>
          </cell>
          <cell r="B4170" t="str">
            <v>366590-1</v>
          </cell>
        </row>
        <row r="4171">
          <cell r="A4171">
            <v>128580</v>
          </cell>
          <cell r="B4171" t="str">
            <v>3822354-2</v>
          </cell>
        </row>
        <row r="4172">
          <cell r="A4172">
            <v>128582</v>
          </cell>
          <cell r="B4172" t="str">
            <v>3822441-1</v>
          </cell>
        </row>
        <row r="4173">
          <cell r="A4173">
            <v>128595</v>
          </cell>
          <cell r="B4173" t="str">
            <v>571576-2</v>
          </cell>
        </row>
        <row r="4174">
          <cell r="A4174">
            <v>128597</v>
          </cell>
          <cell r="B4174" t="str">
            <v>582346-1</v>
          </cell>
        </row>
        <row r="4175">
          <cell r="A4175">
            <v>128570</v>
          </cell>
          <cell r="B4175" t="str">
            <v>2208257-1</v>
          </cell>
        </row>
        <row r="4176">
          <cell r="A4176">
            <v>128571</v>
          </cell>
          <cell r="B4176" t="str">
            <v>2208829-311</v>
          </cell>
        </row>
        <row r="4177">
          <cell r="A4177">
            <v>128588</v>
          </cell>
          <cell r="B4177" t="str">
            <v>3840098-940</v>
          </cell>
        </row>
        <row r="4178">
          <cell r="A4178">
            <v>128589</v>
          </cell>
          <cell r="B4178" t="str">
            <v>3840294-1</v>
          </cell>
        </row>
        <row r="4179">
          <cell r="A4179">
            <v>128603</v>
          </cell>
          <cell r="B4179" t="str">
            <v>896216-1</v>
          </cell>
        </row>
        <row r="4180">
          <cell r="A4180">
            <v>128566</v>
          </cell>
          <cell r="B4180" t="str">
            <v>2205848-1</v>
          </cell>
        </row>
        <row r="4181">
          <cell r="A4181">
            <v>128568</v>
          </cell>
          <cell r="B4181" t="str">
            <v>2205992-1</v>
          </cell>
        </row>
        <row r="4182">
          <cell r="A4182">
            <v>128575</v>
          </cell>
          <cell r="B4182" t="str">
            <v>3103726-941</v>
          </cell>
        </row>
        <row r="4183">
          <cell r="A4183">
            <v>128577</v>
          </cell>
          <cell r="B4183" t="str">
            <v>366124-1</v>
          </cell>
        </row>
        <row r="4184">
          <cell r="A4184">
            <v>128600</v>
          </cell>
          <cell r="B4184" t="str">
            <v>67410289-2</v>
          </cell>
        </row>
        <row r="4185">
          <cell r="A4185">
            <v>128602</v>
          </cell>
          <cell r="B4185" t="str">
            <v>67411120-1</v>
          </cell>
        </row>
        <row r="4186">
          <cell r="A4186">
            <v>128572</v>
          </cell>
          <cell r="B4186" t="str">
            <v>3091121-2</v>
          </cell>
        </row>
        <row r="4187">
          <cell r="A4187">
            <v>128573</v>
          </cell>
          <cell r="B4187" t="str">
            <v>3102584-940</v>
          </cell>
        </row>
        <row r="4188">
          <cell r="A4188">
            <v>128587</v>
          </cell>
          <cell r="B4188" t="str">
            <v>3840098-1</v>
          </cell>
        </row>
        <row r="4189">
          <cell r="A4189">
            <v>128590</v>
          </cell>
          <cell r="B4189" t="str">
            <v>3840294-940</v>
          </cell>
        </row>
        <row r="4190">
          <cell r="A4190">
            <v>128604</v>
          </cell>
          <cell r="B4190" t="str">
            <v>896216-940</v>
          </cell>
        </row>
        <row r="4191">
          <cell r="A4191">
            <v>128605</v>
          </cell>
          <cell r="B4191" t="str">
            <v>MFG3-1236</v>
          </cell>
        </row>
        <row r="4192">
          <cell r="A4192">
            <v>128710</v>
          </cell>
          <cell r="B4192" t="str">
            <v>3034432-4</v>
          </cell>
        </row>
        <row r="4193">
          <cell r="A4193">
            <v>128711</v>
          </cell>
          <cell r="B4193" t="str">
            <v>3038448-3</v>
          </cell>
        </row>
        <row r="4194">
          <cell r="A4194">
            <v>128728</v>
          </cell>
          <cell r="B4194" t="str">
            <v>70040315-1</v>
          </cell>
        </row>
        <row r="4195">
          <cell r="A4195">
            <v>128729</v>
          </cell>
          <cell r="B4195" t="str">
            <v>70721382-2</v>
          </cell>
        </row>
        <row r="4196">
          <cell r="A4196">
            <v>128712</v>
          </cell>
          <cell r="B4196" t="str">
            <v>3038448-5</v>
          </cell>
        </row>
        <row r="4197">
          <cell r="A4197">
            <v>128713</v>
          </cell>
          <cell r="B4197" t="str">
            <v>3038449-3</v>
          </cell>
        </row>
        <row r="4198">
          <cell r="A4198">
            <v>128726</v>
          </cell>
          <cell r="B4198" t="str">
            <v>70040313-1</v>
          </cell>
        </row>
        <row r="4199">
          <cell r="A4199">
            <v>128727</v>
          </cell>
          <cell r="B4199" t="str">
            <v>70040314-1</v>
          </cell>
        </row>
        <row r="4200">
          <cell r="A4200">
            <v>128703</v>
          </cell>
          <cell r="B4200" t="str">
            <v>2783259-1</v>
          </cell>
        </row>
        <row r="4201">
          <cell r="A4201">
            <v>128718</v>
          </cell>
          <cell r="B4201" t="str">
            <v>3038473-14</v>
          </cell>
        </row>
        <row r="4202">
          <cell r="A4202">
            <v>128720</v>
          </cell>
          <cell r="B4202" t="str">
            <v>3888395-3</v>
          </cell>
        </row>
        <row r="4203">
          <cell r="A4203">
            <v>128735</v>
          </cell>
          <cell r="B4203" t="str">
            <v>WE3888471-1</v>
          </cell>
        </row>
        <row r="4204">
          <cell r="A4204">
            <v>128737</v>
          </cell>
          <cell r="B4204" t="str">
            <v>7088103-1</v>
          </cell>
        </row>
        <row r="4205">
          <cell r="A4205">
            <v>128702</v>
          </cell>
          <cell r="B4205" t="str">
            <v>2783258-2</v>
          </cell>
        </row>
        <row r="4206">
          <cell r="A4206">
            <v>128704</v>
          </cell>
          <cell r="B4206" t="str">
            <v>3034427-3</v>
          </cell>
        </row>
        <row r="4207">
          <cell r="A4207">
            <v>128719</v>
          </cell>
          <cell r="B4207" t="str">
            <v>3888395-2</v>
          </cell>
        </row>
        <row r="4208">
          <cell r="A4208">
            <v>128721</v>
          </cell>
          <cell r="B4208" t="str">
            <v>3888411-3</v>
          </cell>
        </row>
        <row r="4209">
          <cell r="A4209">
            <v>128736</v>
          </cell>
          <cell r="B4209" t="str">
            <v>WE3888472-1</v>
          </cell>
        </row>
        <row r="4210">
          <cell r="A4210">
            <v>128707</v>
          </cell>
          <cell r="B4210" t="str">
            <v>3034432-1</v>
          </cell>
        </row>
        <row r="4211">
          <cell r="A4211">
            <v>128714</v>
          </cell>
          <cell r="B4211" t="str">
            <v>3038449-5</v>
          </cell>
        </row>
        <row r="4212">
          <cell r="A4212">
            <v>128725</v>
          </cell>
          <cell r="B4212" t="str">
            <v>3888487-3</v>
          </cell>
        </row>
        <row r="4213">
          <cell r="A4213">
            <v>128732</v>
          </cell>
          <cell r="B4213" t="str">
            <v>70721545-1</v>
          </cell>
        </row>
        <row r="4214">
          <cell r="A4214">
            <v>128706</v>
          </cell>
          <cell r="B4214" t="str">
            <v>3034431-2</v>
          </cell>
        </row>
        <row r="4215">
          <cell r="A4215">
            <v>128708</v>
          </cell>
          <cell r="B4215" t="str">
            <v>3034432-2</v>
          </cell>
        </row>
        <row r="4216">
          <cell r="A4216">
            <v>128715</v>
          </cell>
          <cell r="B4216" t="str">
            <v>3038449-6</v>
          </cell>
        </row>
        <row r="4217">
          <cell r="A4217">
            <v>128717</v>
          </cell>
          <cell r="B4217" t="str">
            <v>3038473-12</v>
          </cell>
        </row>
        <row r="4218">
          <cell r="A4218">
            <v>128722</v>
          </cell>
          <cell r="B4218" t="str">
            <v>3888411-4</v>
          </cell>
        </row>
        <row r="4219">
          <cell r="A4219">
            <v>128724</v>
          </cell>
          <cell r="B4219" t="str">
            <v>3888487-2</v>
          </cell>
        </row>
        <row r="4220">
          <cell r="A4220">
            <v>128731</v>
          </cell>
          <cell r="B4220" t="str">
            <v>70721544-1</v>
          </cell>
        </row>
        <row r="4221">
          <cell r="A4221">
            <v>128733</v>
          </cell>
          <cell r="B4221" t="str">
            <v>70721546-00</v>
          </cell>
        </row>
        <row r="4222">
          <cell r="A4222">
            <v>128705</v>
          </cell>
          <cell r="B4222" t="str">
            <v>3034430-2</v>
          </cell>
        </row>
        <row r="4223">
          <cell r="A4223">
            <v>128709</v>
          </cell>
          <cell r="B4223" t="str">
            <v>3034432-3</v>
          </cell>
        </row>
        <row r="4224">
          <cell r="A4224">
            <v>128716</v>
          </cell>
          <cell r="B4224" t="str">
            <v>3038451-4</v>
          </cell>
        </row>
        <row r="4225">
          <cell r="A4225">
            <v>128723</v>
          </cell>
          <cell r="B4225" t="str">
            <v>3888479-1</v>
          </cell>
        </row>
        <row r="4226">
          <cell r="A4226">
            <v>128730</v>
          </cell>
          <cell r="B4226" t="str">
            <v>70721537-1</v>
          </cell>
        </row>
        <row r="4227">
          <cell r="A4227">
            <v>128734</v>
          </cell>
          <cell r="B4227" t="str">
            <v>70721547-00</v>
          </cell>
        </row>
        <row r="4228">
          <cell r="A4228">
            <v>128874</v>
          </cell>
          <cell r="B4228" t="str">
            <v>3061964-1</v>
          </cell>
        </row>
        <row r="4229">
          <cell r="A4229">
            <v>128861</v>
          </cell>
          <cell r="B4229" t="str">
            <v>3-020-188-02</v>
          </cell>
        </row>
        <row r="4230">
          <cell r="A4230">
            <v>128780</v>
          </cell>
          <cell r="B4230" t="str">
            <v>3036024-940</v>
          </cell>
        </row>
        <row r="4231">
          <cell r="A4231">
            <v>128781</v>
          </cell>
          <cell r="B4231" t="str">
            <v>3036036-940</v>
          </cell>
        </row>
        <row r="4232">
          <cell r="A4232">
            <v>128798</v>
          </cell>
          <cell r="B4232" t="str">
            <v>3234718-940</v>
          </cell>
        </row>
        <row r="4233">
          <cell r="A4233">
            <v>128799</v>
          </cell>
          <cell r="B4233" t="str">
            <v>3501596-940</v>
          </cell>
        </row>
        <row r="4234">
          <cell r="A4234">
            <v>128813</v>
          </cell>
          <cell r="B4234" t="str">
            <v>367179-940</v>
          </cell>
        </row>
        <row r="4235">
          <cell r="A4235">
            <v>128816</v>
          </cell>
          <cell r="B4235" t="str">
            <v>367702-940</v>
          </cell>
        </row>
        <row r="4236">
          <cell r="A4236">
            <v>128830</v>
          </cell>
          <cell r="B4236" t="str">
            <v>3860823-940</v>
          </cell>
        </row>
        <row r="4237">
          <cell r="A4237">
            <v>128831</v>
          </cell>
          <cell r="B4237" t="str">
            <v>3860826-940</v>
          </cell>
        </row>
        <row r="4238">
          <cell r="A4238">
            <v>128848</v>
          </cell>
          <cell r="B4238" t="str">
            <v>3870206-940</v>
          </cell>
        </row>
        <row r="4239">
          <cell r="A4239">
            <v>128849</v>
          </cell>
          <cell r="B4239" t="str">
            <v>3870207-940</v>
          </cell>
        </row>
        <row r="4240">
          <cell r="A4240">
            <v>128792</v>
          </cell>
          <cell r="B4240" t="str">
            <v>3101817-900</v>
          </cell>
        </row>
        <row r="4241">
          <cell r="A4241">
            <v>128794</v>
          </cell>
          <cell r="B4241" t="str">
            <v>3103406-940</v>
          </cell>
        </row>
        <row r="4242">
          <cell r="A4242">
            <v>128801</v>
          </cell>
          <cell r="B4242" t="str">
            <v>3503629-940</v>
          </cell>
        </row>
        <row r="4243">
          <cell r="A4243">
            <v>128803</v>
          </cell>
          <cell r="B4243" t="str">
            <v>3616146-940</v>
          </cell>
        </row>
        <row r="4244">
          <cell r="A4244">
            <v>128826</v>
          </cell>
          <cell r="B4244" t="str">
            <v>3860400-940</v>
          </cell>
        </row>
        <row r="4245">
          <cell r="A4245">
            <v>128828</v>
          </cell>
          <cell r="B4245" t="str">
            <v>3860821-940</v>
          </cell>
        </row>
        <row r="4246">
          <cell r="A4246">
            <v>128833</v>
          </cell>
          <cell r="B4246" t="str">
            <v>3861020-940</v>
          </cell>
        </row>
        <row r="4247">
          <cell r="A4247">
            <v>128835</v>
          </cell>
          <cell r="B4247" t="str">
            <v>3861028-940</v>
          </cell>
        </row>
        <row r="4248">
          <cell r="A4248">
            <v>128837</v>
          </cell>
          <cell r="B4248" t="str">
            <v>3861046-940</v>
          </cell>
        </row>
        <row r="4249">
          <cell r="A4249">
            <v>128860</v>
          </cell>
          <cell r="B4249" t="str">
            <v>896807-940</v>
          </cell>
        </row>
        <row r="4250">
          <cell r="A4250">
            <v>128786</v>
          </cell>
          <cell r="B4250" t="str">
            <v>3070201-940</v>
          </cell>
        </row>
        <row r="4251">
          <cell r="A4251">
            <v>128793</v>
          </cell>
          <cell r="B4251" t="str">
            <v>3103119-940</v>
          </cell>
        </row>
        <row r="4252">
          <cell r="A4252">
            <v>128800</v>
          </cell>
          <cell r="B4252" t="str">
            <v>3501688-940</v>
          </cell>
        </row>
        <row r="4253">
          <cell r="A4253">
            <v>128811</v>
          </cell>
          <cell r="B4253" t="str">
            <v>366858-940</v>
          </cell>
        </row>
        <row r="4254">
          <cell r="A4254">
            <v>128818</v>
          </cell>
          <cell r="B4254" t="str">
            <v>3822016-940</v>
          </cell>
        </row>
        <row r="4255">
          <cell r="A4255">
            <v>128825</v>
          </cell>
          <cell r="B4255" t="str">
            <v>3860335-940</v>
          </cell>
        </row>
        <row r="4256">
          <cell r="A4256">
            <v>128836</v>
          </cell>
          <cell r="B4256" t="str">
            <v>3861036-940</v>
          </cell>
        </row>
        <row r="4257">
          <cell r="A4257">
            <v>128843</v>
          </cell>
          <cell r="B4257" t="str">
            <v>3861142-940</v>
          </cell>
        </row>
        <row r="4258">
          <cell r="A4258">
            <v>128850</v>
          </cell>
          <cell r="B4258" t="str">
            <v>3870208-940</v>
          </cell>
        </row>
        <row r="4259">
          <cell r="A4259">
            <v>128777</v>
          </cell>
          <cell r="B4259" t="str">
            <v>2208808-1</v>
          </cell>
        </row>
        <row r="4260">
          <cell r="A4260">
            <v>128784</v>
          </cell>
          <cell r="B4260" t="str">
            <v>3036182-940</v>
          </cell>
        </row>
        <row r="4261">
          <cell r="A4261">
            <v>128795</v>
          </cell>
          <cell r="B4261" t="str">
            <v>3104384-940</v>
          </cell>
        </row>
        <row r="4262">
          <cell r="A4262">
            <v>128802</v>
          </cell>
          <cell r="B4262" t="str">
            <v>3613618-900</v>
          </cell>
        </row>
        <row r="4263">
          <cell r="A4263">
            <v>128809</v>
          </cell>
          <cell r="B4263" t="str">
            <v>366486-940</v>
          </cell>
        </row>
        <row r="4264">
          <cell r="A4264">
            <v>128820</v>
          </cell>
          <cell r="B4264" t="str">
            <v>3822580-940</v>
          </cell>
        </row>
        <row r="4265">
          <cell r="A4265">
            <v>128827</v>
          </cell>
          <cell r="B4265" t="str">
            <v>3860405-940</v>
          </cell>
        </row>
        <row r="4266">
          <cell r="A4266">
            <v>128834</v>
          </cell>
          <cell r="B4266" t="str">
            <v>3861025-940</v>
          </cell>
        </row>
        <row r="4267">
          <cell r="A4267">
            <v>128845</v>
          </cell>
          <cell r="B4267" t="str">
            <v>3861162-1</v>
          </cell>
        </row>
        <row r="4268">
          <cell r="A4268">
            <v>128852</v>
          </cell>
          <cell r="B4268" t="str">
            <v>70720129-940</v>
          </cell>
        </row>
        <row r="4269">
          <cell r="A4269">
            <v>128859</v>
          </cell>
          <cell r="B4269" t="str">
            <v>73749-940</v>
          </cell>
        </row>
        <row r="4270">
          <cell r="A4270">
            <v>128778</v>
          </cell>
          <cell r="B4270" t="str">
            <v>2805462-1</v>
          </cell>
        </row>
        <row r="4271">
          <cell r="A4271">
            <v>128783</v>
          </cell>
          <cell r="B4271" t="str">
            <v>3036068-940</v>
          </cell>
        </row>
        <row r="4272">
          <cell r="A4272">
            <v>128785</v>
          </cell>
          <cell r="B4272" t="str">
            <v>3036183-940</v>
          </cell>
        </row>
        <row r="4273">
          <cell r="A4273">
            <v>128787</v>
          </cell>
          <cell r="B4273" t="str">
            <v>3072116-940</v>
          </cell>
        </row>
        <row r="4274">
          <cell r="A4274">
            <v>128808</v>
          </cell>
          <cell r="B4274" t="str">
            <v>365997-940</v>
          </cell>
        </row>
        <row r="4275">
          <cell r="A4275">
            <v>128810</v>
          </cell>
          <cell r="B4275" t="str">
            <v>366626-940</v>
          </cell>
        </row>
        <row r="4276">
          <cell r="A4276">
            <v>128812</v>
          </cell>
          <cell r="B4276" t="str">
            <v>367137-940</v>
          </cell>
        </row>
        <row r="4277">
          <cell r="A4277">
            <v>128817</v>
          </cell>
          <cell r="B4277" t="str">
            <v>367857-981</v>
          </cell>
        </row>
        <row r="4278">
          <cell r="A4278">
            <v>128819</v>
          </cell>
          <cell r="B4278" t="str">
            <v>3822353-940</v>
          </cell>
        </row>
        <row r="4279">
          <cell r="A4279">
            <v>128842</v>
          </cell>
          <cell r="B4279" t="str">
            <v>3861139-940</v>
          </cell>
        </row>
        <row r="4280">
          <cell r="A4280">
            <v>128844</v>
          </cell>
          <cell r="B4280" t="str">
            <v>3861143-940</v>
          </cell>
        </row>
        <row r="4281">
          <cell r="A4281">
            <v>128851</v>
          </cell>
          <cell r="B4281" t="str">
            <v>3870211-940</v>
          </cell>
        </row>
        <row r="4282">
          <cell r="A4282">
            <v>128853</v>
          </cell>
          <cell r="B4282" t="str">
            <v>70720177-940</v>
          </cell>
        </row>
        <row r="4283">
          <cell r="A4283">
            <v>128789</v>
          </cell>
          <cell r="B4283" t="str">
            <v>3072670-900</v>
          </cell>
        </row>
        <row r="4284">
          <cell r="A4284">
            <v>128791</v>
          </cell>
          <cell r="B4284" t="str">
            <v>3101144-940</v>
          </cell>
        </row>
        <row r="4285">
          <cell r="A4285">
            <v>128804</v>
          </cell>
          <cell r="B4285" t="str">
            <v>3616972-940</v>
          </cell>
        </row>
        <row r="4286">
          <cell r="A4286">
            <v>128806</v>
          </cell>
          <cell r="B4286" t="str">
            <v>364925-940</v>
          </cell>
        </row>
        <row r="4287">
          <cell r="A4287">
            <v>128821</v>
          </cell>
          <cell r="B4287" t="str">
            <v>3822615-940</v>
          </cell>
        </row>
        <row r="4288">
          <cell r="A4288">
            <v>128823</v>
          </cell>
          <cell r="B4288" t="str">
            <v>3822657-940</v>
          </cell>
        </row>
        <row r="4289">
          <cell r="A4289">
            <v>128838</v>
          </cell>
          <cell r="B4289" t="str">
            <v>3861047-940</v>
          </cell>
        </row>
        <row r="4290">
          <cell r="A4290">
            <v>128840</v>
          </cell>
          <cell r="B4290" t="str">
            <v>3861064-940</v>
          </cell>
        </row>
        <row r="4291">
          <cell r="A4291">
            <v>128855</v>
          </cell>
          <cell r="B4291" t="str">
            <v>70720744-940</v>
          </cell>
        </row>
        <row r="4292">
          <cell r="A4292">
            <v>128857</v>
          </cell>
          <cell r="B4292" t="str">
            <v>70721375-940</v>
          </cell>
        </row>
        <row r="4293">
          <cell r="A4293">
            <v>128779</v>
          </cell>
          <cell r="B4293" t="str">
            <v>3033197-900</v>
          </cell>
        </row>
        <row r="4294">
          <cell r="A4294">
            <v>128782</v>
          </cell>
          <cell r="B4294" t="str">
            <v>3036042-940</v>
          </cell>
        </row>
        <row r="4295">
          <cell r="A4295">
            <v>128796</v>
          </cell>
          <cell r="B4295" t="str">
            <v>3104584-940</v>
          </cell>
        </row>
        <row r="4296">
          <cell r="A4296">
            <v>128797</v>
          </cell>
          <cell r="B4296" t="str">
            <v>3233432-940</v>
          </cell>
        </row>
        <row r="4297">
          <cell r="A4297">
            <v>128814</v>
          </cell>
          <cell r="B4297" t="str">
            <v>367455-940</v>
          </cell>
        </row>
        <row r="4298">
          <cell r="A4298">
            <v>128815</v>
          </cell>
          <cell r="B4298" t="str">
            <v>367700-940</v>
          </cell>
        </row>
        <row r="4299">
          <cell r="A4299">
            <v>128829</v>
          </cell>
          <cell r="B4299" t="str">
            <v>3860822-940</v>
          </cell>
        </row>
        <row r="4300">
          <cell r="A4300">
            <v>128832</v>
          </cell>
          <cell r="B4300" t="str">
            <v>3860827-940</v>
          </cell>
        </row>
        <row r="4301">
          <cell r="A4301">
            <v>128846</v>
          </cell>
          <cell r="B4301" t="str">
            <v>3861162-940</v>
          </cell>
        </row>
        <row r="4302">
          <cell r="A4302">
            <v>128847</v>
          </cell>
          <cell r="B4302" t="str">
            <v>3861163-940</v>
          </cell>
        </row>
        <row r="4303">
          <cell r="A4303">
            <v>128788</v>
          </cell>
          <cell r="B4303" t="str">
            <v>3072116-950</v>
          </cell>
        </row>
        <row r="4304">
          <cell r="A4304">
            <v>128790</v>
          </cell>
          <cell r="B4304" t="str">
            <v>3093726-940</v>
          </cell>
        </row>
        <row r="4305">
          <cell r="A4305">
            <v>128805</v>
          </cell>
          <cell r="B4305" t="str">
            <v>3616976-940</v>
          </cell>
        </row>
        <row r="4306">
          <cell r="A4306">
            <v>128807</v>
          </cell>
          <cell r="B4306" t="str">
            <v>365151-940</v>
          </cell>
        </row>
        <row r="4307">
          <cell r="A4307">
            <v>128822</v>
          </cell>
          <cell r="B4307" t="str">
            <v>3822629-940</v>
          </cell>
        </row>
        <row r="4308">
          <cell r="A4308">
            <v>128824</v>
          </cell>
          <cell r="B4308" t="str">
            <v>3840294-920</v>
          </cell>
        </row>
        <row r="4309">
          <cell r="A4309">
            <v>128839</v>
          </cell>
          <cell r="B4309" t="str">
            <v>3861063-940</v>
          </cell>
        </row>
        <row r="4310">
          <cell r="A4310">
            <v>128841</v>
          </cell>
          <cell r="B4310" t="str">
            <v>3861136-940</v>
          </cell>
        </row>
        <row r="4311">
          <cell r="A4311">
            <v>128854</v>
          </cell>
          <cell r="B4311" t="str">
            <v>70720339-940</v>
          </cell>
        </row>
        <row r="4312">
          <cell r="A4312">
            <v>128856</v>
          </cell>
          <cell r="B4312" t="str">
            <v>70720745-940</v>
          </cell>
        </row>
        <row r="4313">
          <cell r="A4313">
            <v>128858</v>
          </cell>
          <cell r="B4313" t="str">
            <v>70722099-940</v>
          </cell>
        </row>
        <row r="4314">
          <cell r="A4314">
            <v>129006</v>
          </cell>
          <cell r="B4314" t="str">
            <v>3862213-117</v>
          </cell>
        </row>
        <row r="4315">
          <cell r="A4315">
            <v>129328</v>
          </cell>
          <cell r="B4315" t="str">
            <v>82011350-134</v>
          </cell>
        </row>
        <row r="4316">
          <cell r="A4316">
            <v>129610</v>
          </cell>
          <cell r="B4316" t="str">
            <v>80-3475-001</v>
          </cell>
        </row>
        <row r="4317">
          <cell r="A4317">
            <v>129611</v>
          </cell>
          <cell r="B4317" t="str">
            <v>80-4358-001</v>
          </cell>
        </row>
        <row r="4318">
          <cell r="A4318">
            <v>129624</v>
          </cell>
          <cell r="B4318" t="str">
            <v>80-6845-003</v>
          </cell>
        </row>
        <row r="4319">
          <cell r="A4319">
            <v>129625</v>
          </cell>
          <cell r="B4319" t="str">
            <v>81-4901-005</v>
          </cell>
        </row>
        <row r="4320">
          <cell r="A4320">
            <v>129608</v>
          </cell>
          <cell r="B4320">
            <v>620601329</v>
          </cell>
        </row>
        <row r="4321">
          <cell r="A4321">
            <v>129609</v>
          </cell>
          <cell r="B4321">
            <v>620970074</v>
          </cell>
        </row>
        <row r="4322">
          <cell r="A4322">
            <v>129626</v>
          </cell>
          <cell r="B4322" t="str">
            <v>81-4902-002</v>
          </cell>
        </row>
        <row r="4323">
          <cell r="A4323">
            <v>129627</v>
          </cell>
          <cell r="B4323" t="str">
            <v>81-4919-003</v>
          </cell>
        </row>
        <row r="4324">
          <cell r="A4324">
            <v>129612</v>
          </cell>
          <cell r="B4324" t="str">
            <v>80-4836-001</v>
          </cell>
        </row>
        <row r="4325">
          <cell r="A4325">
            <v>129623</v>
          </cell>
          <cell r="B4325" t="str">
            <v>80-6845-001</v>
          </cell>
        </row>
        <row r="4326">
          <cell r="A4326">
            <v>129630</v>
          </cell>
          <cell r="B4326" t="str">
            <v>81-6729-001</v>
          </cell>
        </row>
        <row r="4327">
          <cell r="A4327">
            <v>129620</v>
          </cell>
          <cell r="B4327" t="str">
            <v>80-6691-001</v>
          </cell>
        </row>
        <row r="4328">
          <cell r="A4328">
            <v>129622</v>
          </cell>
          <cell r="B4328" t="str">
            <v>80-6707-001</v>
          </cell>
        </row>
        <row r="4329">
          <cell r="A4329">
            <v>129629</v>
          </cell>
          <cell r="B4329" t="str">
            <v>81-6319-001</v>
          </cell>
        </row>
        <row r="4330">
          <cell r="A4330">
            <v>129631</v>
          </cell>
          <cell r="B4330" t="str">
            <v>81-6803-001</v>
          </cell>
        </row>
        <row r="4331">
          <cell r="A4331">
            <v>129616</v>
          </cell>
          <cell r="B4331" t="str">
            <v>80-6180-002</v>
          </cell>
        </row>
        <row r="4332">
          <cell r="A4332">
            <v>129618</v>
          </cell>
          <cell r="B4332" t="str">
            <v>80-6547-001</v>
          </cell>
        </row>
        <row r="4333">
          <cell r="A4333">
            <v>129633</v>
          </cell>
          <cell r="B4333" t="str">
            <v>R161804010</v>
          </cell>
        </row>
        <row r="4334">
          <cell r="A4334">
            <v>129614</v>
          </cell>
          <cell r="B4334" t="str">
            <v>80-4836-003</v>
          </cell>
        </row>
        <row r="4335">
          <cell r="A4335">
            <v>129621</v>
          </cell>
          <cell r="B4335" t="str">
            <v>80-6692-001</v>
          </cell>
        </row>
        <row r="4336">
          <cell r="A4336">
            <v>129628</v>
          </cell>
          <cell r="B4336" t="str">
            <v>81-5147-001</v>
          </cell>
        </row>
        <row r="4337">
          <cell r="A4337">
            <v>129617</v>
          </cell>
          <cell r="B4337" t="str">
            <v>80-6357-001</v>
          </cell>
        </row>
        <row r="4338">
          <cell r="A4338">
            <v>129619</v>
          </cell>
          <cell r="B4338" t="str">
            <v>80-6689-001</v>
          </cell>
        </row>
        <row r="4339">
          <cell r="A4339">
            <v>129632</v>
          </cell>
          <cell r="B4339" t="str">
            <v>81-6804-001</v>
          </cell>
        </row>
        <row r="4340">
          <cell r="A4340">
            <v>129613</v>
          </cell>
          <cell r="B4340" t="str">
            <v>80-4836-002</v>
          </cell>
        </row>
        <row r="4341">
          <cell r="A4341">
            <v>129615</v>
          </cell>
          <cell r="B4341" t="str">
            <v>80-5273-003</v>
          </cell>
        </row>
        <row r="4342">
          <cell r="A4342">
            <v>109297</v>
          </cell>
          <cell r="B4342" t="str">
            <v>367040-909</v>
          </cell>
        </row>
        <row r="4343">
          <cell r="A4343">
            <v>109303</v>
          </cell>
          <cell r="B4343" t="str">
            <v>367040-907</v>
          </cell>
        </row>
        <row r="4344">
          <cell r="A4344">
            <v>127665</v>
          </cell>
          <cell r="B4344" t="str">
            <v>1096918-1</v>
          </cell>
        </row>
        <row r="4345">
          <cell r="A4345">
            <v>127666</v>
          </cell>
          <cell r="B4345" t="str">
            <v>51080280-001</v>
          </cell>
        </row>
        <row r="4346">
          <cell r="A4346">
            <v>127667</v>
          </cell>
          <cell r="B4346" t="str">
            <v>70722120-1</v>
          </cell>
        </row>
        <row r="4347">
          <cell r="A4347">
            <v>130198</v>
          </cell>
          <cell r="B4347" t="str">
            <v>3-105-250-27</v>
          </cell>
        </row>
        <row r="4348">
          <cell r="A4348">
            <v>130533</v>
          </cell>
          <cell r="B4348" t="str">
            <v>698198-13</v>
          </cell>
        </row>
        <row r="4349">
          <cell r="A4349">
            <v>130535</v>
          </cell>
          <cell r="B4349" t="str">
            <v>2303960-3</v>
          </cell>
        </row>
        <row r="4350">
          <cell r="A4350">
            <v>130534</v>
          </cell>
          <cell r="B4350" t="str">
            <v>3173620-111</v>
          </cell>
        </row>
        <row r="4351">
          <cell r="A4351">
            <v>130536</v>
          </cell>
          <cell r="B4351" t="str">
            <v>379713-13</v>
          </cell>
        </row>
        <row r="4352">
          <cell r="A4352">
            <v>130512</v>
          </cell>
          <cell r="B4352" t="str">
            <v>3101144-7</v>
          </cell>
        </row>
        <row r="4353">
          <cell r="A4353">
            <v>130514</v>
          </cell>
          <cell r="B4353" t="str">
            <v>3102430-2</v>
          </cell>
        </row>
        <row r="4354">
          <cell r="A4354">
            <v>130521</v>
          </cell>
          <cell r="B4354" t="str">
            <v>366992-1</v>
          </cell>
        </row>
        <row r="4355">
          <cell r="A4355">
            <v>130523</v>
          </cell>
          <cell r="B4355" t="str">
            <v>3822610-2</v>
          </cell>
        </row>
        <row r="4356">
          <cell r="A4356">
            <v>130499</v>
          </cell>
          <cell r="B4356" t="str">
            <v>893756-1//SS2</v>
          </cell>
        </row>
        <row r="4357">
          <cell r="A4357">
            <v>130502</v>
          </cell>
          <cell r="B4357" t="str">
            <v>3060180-2</v>
          </cell>
        </row>
        <row r="4358">
          <cell r="A4358">
            <v>130516</v>
          </cell>
          <cell r="B4358" t="str">
            <v>3103427-4</v>
          </cell>
        </row>
        <row r="4359">
          <cell r="A4359">
            <v>130517</v>
          </cell>
          <cell r="B4359" t="str">
            <v>3108202-2</v>
          </cell>
        </row>
        <row r="4360">
          <cell r="A4360">
            <v>130509</v>
          </cell>
          <cell r="B4360" t="str">
            <v>3075527-3</v>
          </cell>
        </row>
        <row r="4361">
          <cell r="A4361">
            <v>130511</v>
          </cell>
          <cell r="B4361" t="str">
            <v>3097269-3</v>
          </cell>
        </row>
        <row r="4362">
          <cell r="A4362">
            <v>130524</v>
          </cell>
          <cell r="B4362" t="str">
            <v>3860088-3</v>
          </cell>
        </row>
        <row r="4363">
          <cell r="A4363">
            <v>130526</v>
          </cell>
          <cell r="B4363" t="str">
            <v>3860346-1</v>
          </cell>
        </row>
        <row r="4364">
          <cell r="A4364">
            <v>130528</v>
          </cell>
          <cell r="B4364" t="str">
            <v>3860397-1</v>
          </cell>
        </row>
        <row r="4365">
          <cell r="A4365">
            <v>130506</v>
          </cell>
          <cell r="B4365" t="str">
            <v>3070062-4</v>
          </cell>
        </row>
        <row r="4366">
          <cell r="A4366">
            <v>130513</v>
          </cell>
          <cell r="B4366" t="str">
            <v>3102297-1</v>
          </cell>
        </row>
        <row r="4367">
          <cell r="A4367">
            <v>130520</v>
          </cell>
          <cell r="B4367" t="str">
            <v>366881-1</v>
          </cell>
        </row>
        <row r="4368">
          <cell r="A4368">
            <v>130531</v>
          </cell>
          <cell r="B4368" t="str">
            <v>896214-1</v>
          </cell>
        </row>
        <row r="4369">
          <cell r="A4369">
            <v>130508</v>
          </cell>
          <cell r="B4369" t="str">
            <v>3074641-4</v>
          </cell>
        </row>
        <row r="4370">
          <cell r="A4370">
            <v>130510</v>
          </cell>
          <cell r="B4370" t="str">
            <v>3093734-3</v>
          </cell>
        </row>
        <row r="4371">
          <cell r="A4371">
            <v>130525</v>
          </cell>
          <cell r="B4371" t="str">
            <v>3860344-3</v>
          </cell>
        </row>
        <row r="4372">
          <cell r="A4372">
            <v>130527</v>
          </cell>
          <cell r="B4372" t="str">
            <v>3860348-3</v>
          </cell>
        </row>
        <row r="4373">
          <cell r="A4373">
            <v>130500</v>
          </cell>
          <cell r="B4373" t="str">
            <v>2-030-014-02</v>
          </cell>
        </row>
        <row r="4374">
          <cell r="A4374">
            <v>130501</v>
          </cell>
          <cell r="B4374" t="str">
            <v>2-080-016-02</v>
          </cell>
        </row>
        <row r="4375">
          <cell r="A4375">
            <v>130518</v>
          </cell>
          <cell r="B4375" t="str">
            <v>3108377-3</v>
          </cell>
        </row>
        <row r="4376">
          <cell r="A4376">
            <v>130519</v>
          </cell>
          <cell r="B4376" t="str">
            <v>3500467-1</v>
          </cell>
        </row>
        <row r="4377">
          <cell r="A4377">
            <v>130497</v>
          </cell>
          <cell r="B4377" t="str">
            <v>3108203-2</v>
          </cell>
        </row>
        <row r="4378">
          <cell r="A4378">
            <v>130504</v>
          </cell>
          <cell r="B4378" t="str">
            <v>3060291-2</v>
          </cell>
        </row>
        <row r="4379">
          <cell r="A4379">
            <v>130515</v>
          </cell>
          <cell r="B4379" t="str">
            <v>3102614-3</v>
          </cell>
        </row>
        <row r="4380">
          <cell r="A4380">
            <v>130522</v>
          </cell>
          <cell r="B4380" t="str">
            <v>367699-1</v>
          </cell>
        </row>
        <row r="4381">
          <cell r="A4381">
            <v>130529</v>
          </cell>
          <cell r="B4381" t="str">
            <v>3860598-1</v>
          </cell>
        </row>
        <row r="4382">
          <cell r="A4382">
            <v>130496</v>
          </cell>
          <cell r="B4382" t="str">
            <v>366486-1</v>
          </cell>
        </row>
        <row r="4383">
          <cell r="A4383">
            <v>130498</v>
          </cell>
          <cell r="B4383" t="str">
            <v>3108395-2</v>
          </cell>
        </row>
        <row r="4384">
          <cell r="A4384">
            <v>130503</v>
          </cell>
          <cell r="B4384" t="str">
            <v>3060272-3</v>
          </cell>
        </row>
        <row r="4385">
          <cell r="A4385">
            <v>130505</v>
          </cell>
          <cell r="B4385" t="str">
            <v>3060365-1</v>
          </cell>
        </row>
        <row r="4386">
          <cell r="A4386">
            <v>130507</v>
          </cell>
          <cell r="B4386" t="str">
            <v>3072670-2</v>
          </cell>
        </row>
        <row r="4387">
          <cell r="A4387">
            <v>130530</v>
          </cell>
          <cell r="B4387" t="str">
            <v>865888-10</v>
          </cell>
        </row>
        <row r="4388">
          <cell r="A4388">
            <v>130532</v>
          </cell>
          <cell r="B4388" t="str">
            <v>896216-1</v>
          </cell>
        </row>
        <row r="4389">
          <cell r="A4389">
            <v>130729</v>
          </cell>
          <cell r="B4389">
            <v>195577</v>
          </cell>
        </row>
        <row r="4390">
          <cell r="A4390">
            <v>130730</v>
          </cell>
          <cell r="B4390">
            <v>910710</v>
          </cell>
        </row>
        <row r="4391">
          <cell r="A4391">
            <v>130744</v>
          </cell>
          <cell r="B4391">
            <v>2638218</v>
          </cell>
        </row>
        <row r="4392">
          <cell r="A4392">
            <v>130747</v>
          </cell>
          <cell r="B4392">
            <v>2675075</v>
          </cell>
        </row>
        <row r="4393">
          <cell r="A4393">
            <v>130761</v>
          </cell>
          <cell r="B4393" t="str">
            <v>18P09-1</v>
          </cell>
        </row>
        <row r="4394">
          <cell r="A4394">
            <v>130762</v>
          </cell>
          <cell r="B4394" t="str">
            <v>18P87-1</v>
          </cell>
        </row>
        <row r="4395">
          <cell r="A4395">
            <v>130779</v>
          </cell>
          <cell r="B4395" t="str">
            <v>2671406-1421</v>
          </cell>
        </row>
        <row r="4396">
          <cell r="A4396">
            <v>130780</v>
          </cell>
          <cell r="B4396" t="str">
            <v>2671406-1422</v>
          </cell>
        </row>
        <row r="4397">
          <cell r="A4397">
            <v>130794</v>
          </cell>
          <cell r="B4397" t="str">
            <v>2671406-332</v>
          </cell>
        </row>
        <row r="4398">
          <cell r="A4398">
            <v>130797</v>
          </cell>
          <cell r="B4398" t="str">
            <v>2671406-415</v>
          </cell>
        </row>
        <row r="4399">
          <cell r="A4399">
            <v>130811</v>
          </cell>
          <cell r="B4399" t="str">
            <v>2681660-018</v>
          </cell>
        </row>
        <row r="4400">
          <cell r="A4400">
            <v>130812</v>
          </cell>
          <cell r="B4400" t="str">
            <v>2681660-022</v>
          </cell>
        </row>
        <row r="4401">
          <cell r="A4401">
            <v>130829</v>
          </cell>
          <cell r="B4401" t="str">
            <v>2682063-013</v>
          </cell>
        </row>
        <row r="4402">
          <cell r="A4402">
            <v>130830</v>
          </cell>
          <cell r="B4402" t="str">
            <v>2682063-014</v>
          </cell>
        </row>
        <row r="4403">
          <cell r="A4403">
            <v>130844</v>
          </cell>
          <cell r="B4403" t="str">
            <v>2686822-1019</v>
          </cell>
        </row>
        <row r="4404">
          <cell r="A4404">
            <v>130847</v>
          </cell>
          <cell r="B4404" t="str">
            <v>2686858-1024</v>
          </cell>
        </row>
        <row r="4405">
          <cell r="A4405">
            <v>130848</v>
          </cell>
          <cell r="B4405" t="str">
            <v>2686858-1030</v>
          </cell>
        </row>
        <row r="4406">
          <cell r="A4406">
            <v>130861</v>
          </cell>
          <cell r="B4406" t="str">
            <v>3175896-10</v>
          </cell>
        </row>
        <row r="4407">
          <cell r="A4407">
            <v>130862</v>
          </cell>
          <cell r="B4407" t="str">
            <v>3175896-8</v>
          </cell>
        </row>
        <row r="4408">
          <cell r="A4408">
            <v>130879</v>
          </cell>
          <cell r="B4408" t="str">
            <v>3181481-2</v>
          </cell>
        </row>
        <row r="4409">
          <cell r="A4409">
            <v>130880</v>
          </cell>
          <cell r="B4409" t="str">
            <v>3181481-4</v>
          </cell>
        </row>
        <row r="4410">
          <cell r="A4410">
            <v>130897</v>
          </cell>
          <cell r="B4410" t="str">
            <v>7205920-1</v>
          </cell>
        </row>
        <row r="4411">
          <cell r="A4411">
            <v>130898</v>
          </cell>
          <cell r="B4411" t="str">
            <v>7205920-2</v>
          </cell>
        </row>
        <row r="4412">
          <cell r="A4412">
            <v>130911</v>
          </cell>
          <cell r="B4412" t="str">
            <v>82011351-129</v>
          </cell>
        </row>
        <row r="4413">
          <cell r="A4413">
            <v>130912</v>
          </cell>
          <cell r="B4413" t="str">
            <v>82011351-133</v>
          </cell>
        </row>
        <row r="4414">
          <cell r="A4414">
            <v>130930</v>
          </cell>
          <cell r="B4414" t="str">
            <v>953543-13</v>
          </cell>
        </row>
        <row r="4415">
          <cell r="A4415">
            <v>130931</v>
          </cell>
          <cell r="B4415" t="str">
            <v>953543-14</v>
          </cell>
        </row>
        <row r="4416">
          <cell r="A4416">
            <v>130948</v>
          </cell>
          <cell r="B4416" t="str">
            <v>63000204-1</v>
          </cell>
        </row>
        <row r="4417">
          <cell r="A4417">
            <v>130949</v>
          </cell>
          <cell r="B4417" t="str">
            <v>63000339-1</v>
          </cell>
        </row>
        <row r="4418">
          <cell r="A4418">
            <v>130962</v>
          </cell>
          <cell r="B4418">
            <v>2520439</v>
          </cell>
        </row>
        <row r="4419">
          <cell r="A4419">
            <v>130963</v>
          </cell>
          <cell r="B4419">
            <v>2523214</v>
          </cell>
        </row>
        <row r="4420">
          <cell r="A4420">
            <v>130966</v>
          </cell>
          <cell r="B4420">
            <v>2537747</v>
          </cell>
        </row>
        <row r="4421">
          <cell r="A4421">
            <v>130980</v>
          </cell>
          <cell r="B4421" t="str">
            <v>137412-3</v>
          </cell>
        </row>
        <row r="4422">
          <cell r="A4422">
            <v>130981</v>
          </cell>
          <cell r="B4422" t="str">
            <v>139005-1</v>
          </cell>
        </row>
        <row r="4423">
          <cell r="A4423">
            <v>130998</v>
          </cell>
          <cell r="B4423" t="str">
            <v>2217979-9</v>
          </cell>
        </row>
        <row r="4424">
          <cell r="A4424">
            <v>130999</v>
          </cell>
          <cell r="B4424" t="str">
            <v>3034235-2</v>
          </cell>
        </row>
        <row r="4425">
          <cell r="A4425">
            <v>131013</v>
          </cell>
          <cell r="B4425" t="str">
            <v>3177705-1</v>
          </cell>
        </row>
        <row r="4426">
          <cell r="A4426">
            <v>131016</v>
          </cell>
          <cell r="B4426" t="str">
            <v>3884728-1</v>
          </cell>
        </row>
        <row r="4427">
          <cell r="A4427">
            <v>131030</v>
          </cell>
          <cell r="B4427" t="str">
            <v>92378-9</v>
          </cell>
        </row>
        <row r="4428">
          <cell r="A4428">
            <v>131031</v>
          </cell>
          <cell r="B4428" t="str">
            <v>92969-1</v>
          </cell>
        </row>
        <row r="4429">
          <cell r="A4429">
            <v>131048</v>
          </cell>
          <cell r="B4429" t="str">
            <v>3177113-2</v>
          </cell>
        </row>
        <row r="4430">
          <cell r="A4430">
            <v>131049</v>
          </cell>
          <cell r="B4430" t="str">
            <v>3180278-1</v>
          </cell>
        </row>
        <row r="4431">
          <cell r="A4431">
            <v>130741</v>
          </cell>
          <cell r="B4431">
            <v>950320</v>
          </cell>
        </row>
        <row r="4432">
          <cell r="A4432">
            <v>130743</v>
          </cell>
          <cell r="B4432">
            <v>2603278</v>
          </cell>
        </row>
        <row r="4433">
          <cell r="A4433">
            <v>130748</v>
          </cell>
          <cell r="B4433">
            <v>2677080</v>
          </cell>
        </row>
        <row r="4434">
          <cell r="A4434">
            <v>130750</v>
          </cell>
          <cell r="B4434">
            <v>2685226</v>
          </cell>
        </row>
        <row r="4435">
          <cell r="A4435">
            <v>130773</v>
          </cell>
          <cell r="B4435" t="str">
            <v>2671406-1330</v>
          </cell>
        </row>
        <row r="4436">
          <cell r="A4436">
            <v>130775</v>
          </cell>
          <cell r="B4436" t="str">
            <v>2671406-1414</v>
          </cell>
        </row>
        <row r="4437">
          <cell r="A4437">
            <v>130777</v>
          </cell>
          <cell r="B4437" t="str">
            <v>2671406-1418</v>
          </cell>
        </row>
        <row r="4438">
          <cell r="A4438">
            <v>130782</v>
          </cell>
          <cell r="B4438" t="str">
            <v>2671406-1427</v>
          </cell>
        </row>
        <row r="4439">
          <cell r="A4439">
            <v>130784</v>
          </cell>
          <cell r="B4439" t="str">
            <v>2671406-1430</v>
          </cell>
        </row>
        <row r="4440">
          <cell r="A4440">
            <v>130807</v>
          </cell>
          <cell r="B4440" t="str">
            <v>2681660-010</v>
          </cell>
        </row>
        <row r="4441">
          <cell r="A4441">
            <v>130809</v>
          </cell>
          <cell r="B4441" t="str">
            <v>2681660-014</v>
          </cell>
        </row>
        <row r="4442">
          <cell r="A4442">
            <v>130816</v>
          </cell>
          <cell r="B4442" t="str">
            <v>2681663-020</v>
          </cell>
        </row>
        <row r="4443">
          <cell r="A4443">
            <v>130818</v>
          </cell>
          <cell r="B4443" t="str">
            <v>2681663-134</v>
          </cell>
        </row>
        <row r="4444">
          <cell r="A4444">
            <v>130841</v>
          </cell>
          <cell r="B4444" t="str">
            <v>2685227-009</v>
          </cell>
        </row>
        <row r="4445">
          <cell r="A4445">
            <v>130843</v>
          </cell>
          <cell r="B4445" t="str">
            <v>2686822-019</v>
          </cell>
        </row>
        <row r="4446">
          <cell r="A4446">
            <v>130850</v>
          </cell>
          <cell r="B4446" t="str">
            <v>2688819-002</v>
          </cell>
        </row>
        <row r="4447">
          <cell r="A4447">
            <v>130852</v>
          </cell>
          <cell r="B4447" t="str">
            <v>2691015-017</v>
          </cell>
        </row>
        <row r="4448">
          <cell r="A4448">
            <v>130875</v>
          </cell>
          <cell r="B4448" t="str">
            <v>3181480-2</v>
          </cell>
        </row>
        <row r="4449">
          <cell r="A4449">
            <v>130877</v>
          </cell>
          <cell r="B4449" t="str">
            <v>3181480-6</v>
          </cell>
        </row>
        <row r="4450">
          <cell r="A4450">
            <v>130882</v>
          </cell>
          <cell r="B4450" t="str">
            <v>3182155-2</v>
          </cell>
        </row>
        <row r="4451">
          <cell r="A4451">
            <v>130884</v>
          </cell>
          <cell r="B4451" t="str">
            <v>3239446-1</v>
          </cell>
        </row>
        <row r="4452">
          <cell r="A4452">
            <v>130907</v>
          </cell>
          <cell r="B4452" t="str">
            <v>82011350-134</v>
          </cell>
        </row>
        <row r="4453">
          <cell r="A4453">
            <v>130909</v>
          </cell>
          <cell r="B4453" t="str">
            <v>82011351-121</v>
          </cell>
        </row>
        <row r="4454">
          <cell r="A4454">
            <v>130916</v>
          </cell>
          <cell r="B4454" t="str">
            <v>953529-28</v>
          </cell>
        </row>
        <row r="4455">
          <cell r="A4455">
            <v>130918</v>
          </cell>
          <cell r="B4455" t="str">
            <v>953531-8</v>
          </cell>
        </row>
        <row r="4456">
          <cell r="A4456">
            <v>130942</v>
          </cell>
          <cell r="B4456" t="str">
            <v>84D01-1</v>
          </cell>
        </row>
        <row r="4457">
          <cell r="A4457">
            <v>130944</v>
          </cell>
          <cell r="B4457" t="str">
            <v>3074125-2</v>
          </cell>
        </row>
        <row r="4458">
          <cell r="A4458">
            <v>130951</v>
          </cell>
          <cell r="B4458" t="str">
            <v>651-522-9401</v>
          </cell>
        </row>
        <row r="4459">
          <cell r="A4459">
            <v>130953</v>
          </cell>
          <cell r="B4459" t="str">
            <v>651-522-9551</v>
          </cell>
        </row>
        <row r="4460">
          <cell r="A4460">
            <v>130976</v>
          </cell>
          <cell r="B4460" t="str">
            <v>110753-1</v>
          </cell>
        </row>
        <row r="4461">
          <cell r="A4461">
            <v>130978</v>
          </cell>
          <cell r="B4461" t="str">
            <v>135148-1</v>
          </cell>
        </row>
        <row r="4462">
          <cell r="A4462">
            <v>130983</v>
          </cell>
          <cell r="B4462" t="str">
            <v>146143-1</v>
          </cell>
        </row>
        <row r="4463">
          <cell r="A4463">
            <v>130985</v>
          </cell>
          <cell r="B4463" t="str">
            <v>146205-3</v>
          </cell>
        </row>
        <row r="4464">
          <cell r="A4464">
            <v>131008</v>
          </cell>
          <cell r="B4464" t="str">
            <v>3165683-1</v>
          </cell>
        </row>
        <row r="4465">
          <cell r="A4465">
            <v>131010</v>
          </cell>
          <cell r="B4465" t="str">
            <v>3166657-4</v>
          </cell>
        </row>
        <row r="4466">
          <cell r="A4466">
            <v>130732</v>
          </cell>
          <cell r="B4466">
            <v>910723</v>
          </cell>
        </row>
        <row r="4467">
          <cell r="A4467">
            <v>130734</v>
          </cell>
          <cell r="B4467">
            <v>910726</v>
          </cell>
        </row>
        <row r="4468">
          <cell r="A4468">
            <v>130757</v>
          </cell>
          <cell r="B4468">
            <v>2691455</v>
          </cell>
        </row>
        <row r="4469">
          <cell r="A4469">
            <v>130759</v>
          </cell>
          <cell r="B4469">
            <v>3240019</v>
          </cell>
        </row>
        <row r="4470">
          <cell r="A4470">
            <v>130766</v>
          </cell>
          <cell r="B4470" t="str">
            <v>2671406-1308</v>
          </cell>
        </row>
        <row r="4471">
          <cell r="A4471">
            <v>130768</v>
          </cell>
          <cell r="B4471" t="str">
            <v>2671406-1311</v>
          </cell>
        </row>
        <row r="4472">
          <cell r="A4472">
            <v>130791</v>
          </cell>
          <cell r="B4472" t="str">
            <v>2671406-315</v>
          </cell>
        </row>
        <row r="4473">
          <cell r="A4473">
            <v>130793</v>
          </cell>
          <cell r="B4473" t="str">
            <v>2671406-324</v>
          </cell>
        </row>
        <row r="4474">
          <cell r="A4474">
            <v>130798</v>
          </cell>
          <cell r="B4474" t="str">
            <v>2671406-421</v>
          </cell>
        </row>
        <row r="4475">
          <cell r="A4475">
            <v>130800</v>
          </cell>
          <cell r="B4475" t="str">
            <v>2671406-431</v>
          </cell>
        </row>
        <row r="4476">
          <cell r="A4476">
            <v>130802</v>
          </cell>
          <cell r="B4476" t="str">
            <v>2678027-004</v>
          </cell>
        </row>
        <row r="4477">
          <cell r="A4477">
            <v>130825</v>
          </cell>
          <cell r="B4477" t="str">
            <v>2681664-136</v>
          </cell>
        </row>
        <row r="4478">
          <cell r="A4478">
            <v>130827</v>
          </cell>
          <cell r="B4478" t="str">
            <v>2682063-008</v>
          </cell>
        </row>
        <row r="4479">
          <cell r="A4479">
            <v>130832</v>
          </cell>
          <cell r="B4479" t="str">
            <v>2682063-018</v>
          </cell>
        </row>
        <row r="4480">
          <cell r="A4480">
            <v>130834</v>
          </cell>
          <cell r="B4480" t="str">
            <v>2682063-028</v>
          </cell>
        </row>
        <row r="4481">
          <cell r="A4481">
            <v>130857</v>
          </cell>
          <cell r="B4481" t="str">
            <v>2691400-024</v>
          </cell>
        </row>
        <row r="4482">
          <cell r="A4482">
            <v>131012</v>
          </cell>
          <cell r="B4482" t="str">
            <v>3175965-1</v>
          </cell>
        </row>
        <row r="4483">
          <cell r="A4483">
            <v>131017</v>
          </cell>
          <cell r="B4483" t="str">
            <v>4244199-1</v>
          </cell>
        </row>
        <row r="4484">
          <cell r="A4484">
            <v>131019</v>
          </cell>
          <cell r="B4484" t="str">
            <v>4245916-1</v>
          </cell>
        </row>
        <row r="4485">
          <cell r="A4485">
            <v>131042</v>
          </cell>
          <cell r="B4485" t="str">
            <v>A83C89</v>
          </cell>
        </row>
        <row r="4486">
          <cell r="A4486">
            <v>131044</v>
          </cell>
          <cell r="B4486" t="str">
            <v>119856-10</v>
          </cell>
        </row>
        <row r="4487">
          <cell r="A4487">
            <v>131051</v>
          </cell>
          <cell r="B4487">
            <v>2523123</v>
          </cell>
        </row>
        <row r="4488">
          <cell r="A4488">
            <v>131053</v>
          </cell>
          <cell r="B4488" t="str">
            <v>3184470-6</v>
          </cell>
        </row>
        <row r="4489">
          <cell r="A4489">
            <v>130859</v>
          </cell>
          <cell r="B4489" t="str">
            <v>2788175-1</v>
          </cell>
        </row>
        <row r="4490">
          <cell r="A4490">
            <v>130866</v>
          </cell>
          <cell r="B4490" t="str">
            <v>3177739-2</v>
          </cell>
        </row>
        <row r="4491">
          <cell r="A4491">
            <v>130868</v>
          </cell>
          <cell r="B4491" t="str">
            <v>3177740-1</v>
          </cell>
        </row>
        <row r="4492">
          <cell r="A4492">
            <v>130891</v>
          </cell>
          <cell r="B4492" t="str">
            <v>63000013-2</v>
          </cell>
        </row>
        <row r="4493">
          <cell r="A4493">
            <v>130893</v>
          </cell>
          <cell r="B4493" t="str">
            <v>63001642-1</v>
          </cell>
        </row>
        <row r="4494">
          <cell r="A4494">
            <v>130900</v>
          </cell>
          <cell r="B4494" t="str">
            <v>82010398-129</v>
          </cell>
        </row>
        <row r="4495">
          <cell r="A4495">
            <v>130902</v>
          </cell>
          <cell r="B4495" t="str">
            <v>82011350-114</v>
          </cell>
        </row>
        <row r="4496">
          <cell r="A4496">
            <v>130926</v>
          </cell>
          <cell r="B4496" t="str">
            <v>953539-12</v>
          </cell>
        </row>
        <row r="4497">
          <cell r="A4497">
            <v>130928</v>
          </cell>
          <cell r="B4497" t="str">
            <v>953539-19</v>
          </cell>
        </row>
        <row r="4498">
          <cell r="A4498">
            <v>130933</v>
          </cell>
          <cell r="B4498" t="str">
            <v>953543-8</v>
          </cell>
        </row>
        <row r="4499">
          <cell r="A4499">
            <v>130935</v>
          </cell>
          <cell r="B4499" t="str">
            <v>2682063-026</v>
          </cell>
        </row>
        <row r="4500">
          <cell r="A4500">
            <v>130958</v>
          </cell>
          <cell r="B4500">
            <v>96783</v>
          </cell>
        </row>
        <row r="4501">
          <cell r="A4501">
            <v>130960</v>
          </cell>
          <cell r="B4501">
            <v>198855</v>
          </cell>
        </row>
        <row r="4502">
          <cell r="A4502">
            <v>130967</v>
          </cell>
          <cell r="B4502">
            <v>2542236</v>
          </cell>
        </row>
        <row r="4503">
          <cell r="A4503">
            <v>130969</v>
          </cell>
          <cell r="B4503">
            <v>2667808</v>
          </cell>
        </row>
        <row r="4504">
          <cell r="A4504">
            <v>130992</v>
          </cell>
          <cell r="B4504" t="str">
            <v>2217977-1</v>
          </cell>
        </row>
        <row r="4505">
          <cell r="A4505">
            <v>130994</v>
          </cell>
          <cell r="B4505" t="str">
            <v>2217979-10</v>
          </cell>
        </row>
        <row r="4506">
          <cell r="A4506">
            <v>130736</v>
          </cell>
          <cell r="B4506">
            <v>910740</v>
          </cell>
        </row>
        <row r="4507">
          <cell r="A4507">
            <v>130738</v>
          </cell>
          <cell r="B4507">
            <v>910751</v>
          </cell>
        </row>
        <row r="4508">
          <cell r="A4508">
            <v>130753</v>
          </cell>
          <cell r="B4508">
            <v>2689321</v>
          </cell>
        </row>
        <row r="4509">
          <cell r="A4509">
            <v>130755</v>
          </cell>
          <cell r="B4509">
            <v>2690047</v>
          </cell>
        </row>
        <row r="4510">
          <cell r="A4510">
            <v>130770</v>
          </cell>
          <cell r="B4510" t="str">
            <v>2671406-1316</v>
          </cell>
        </row>
        <row r="4511">
          <cell r="A4511">
            <v>130772</v>
          </cell>
          <cell r="B4511" t="str">
            <v>2671406-1328</v>
          </cell>
        </row>
        <row r="4512">
          <cell r="A4512">
            <v>130787</v>
          </cell>
          <cell r="B4512" t="str">
            <v>2671406-1445</v>
          </cell>
        </row>
        <row r="4513">
          <cell r="A4513">
            <v>130789</v>
          </cell>
          <cell r="B4513" t="str">
            <v>2671406-310</v>
          </cell>
        </row>
        <row r="4514">
          <cell r="A4514">
            <v>130804</v>
          </cell>
          <cell r="B4514" t="str">
            <v>2681659-026</v>
          </cell>
        </row>
        <row r="4515">
          <cell r="A4515">
            <v>130806</v>
          </cell>
          <cell r="B4515" t="str">
            <v>2681659-031</v>
          </cell>
        </row>
        <row r="4516">
          <cell r="A4516">
            <v>130819</v>
          </cell>
          <cell r="B4516" t="str">
            <v>2681663-142</v>
          </cell>
        </row>
        <row r="4517">
          <cell r="A4517">
            <v>130821</v>
          </cell>
          <cell r="B4517" t="str">
            <v>2681664-012</v>
          </cell>
        </row>
        <row r="4518">
          <cell r="A4518">
            <v>130823</v>
          </cell>
          <cell r="B4518" t="str">
            <v>2681664-026</v>
          </cell>
        </row>
        <row r="4519">
          <cell r="A4519">
            <v>130836</v>
          </cell>
          <cell r="B4519" t="str">
            <v>2682063-118</v>
          </cell>
        </row>
        <row r="4520">
          <cell r="A4520">
            <v>130838</v>
          </cell>
          <cell r="B4520" t="str">
            <v>2682063-130</v>
          </cell>
        </row>
        <row r="4521">
          <cell r="A4521">
            <v>130853</v>
          </cell>
          <cell r="B4521" t="str">
            <v>2691015-024</v>
          </cell>
        </row>
        <row r="4522">
          <cell r="A4522">
            <v>130855</v>
          </cell>
          <cell r="B4522" t="str">
            <v>2691178-22422</v>
          </cell>
        </row>
        <row r="4523">
          <cell r="A4523">
            <v>130737</v>
          </cell>
          <cell r="B4523">
            <v>910749</v>
          </cell>
        </row>
        <row r="4524">
          <cell r="A4524">
            <v>130739</v>
          </cell>
          <cell r="B4524">
            <v>910757</v>
          </cell>
        </row>
        <row r="4525">
          <cell r="A4525">
            <v>130752</v>
          </cell>
          <cell r="B4525">
            <v>2688561</v>
          </cell>
        </row>
        <row r="4526">
          <cell r="A4526">
            <v>130754</v>
          </cell>
          <cell r="B4526">
            <v>2689670</v>
          </cell>
        </row>
        <row r="4527">
          <cell r="A4527">
            <v>130756</v>
          </cell>
          <cell r="B4527">
            <v>2690619</v>
          </cell>
        </row>
        <row r="4528">
          <cell r="A4528">
            <v>130769</v>
          </cell>
          <cell r="B4528" t="str">
            <v>2671406-1314</v>
          </cell>
        </row>
        <row r="4529">
          <cell r="A4529">
            <v>130771</v>
          </cell>
          <cell r="B4529" t="str">
            <v>2671406-1319</v>
          </cell>
        </row>
        <row r="4530">
          <cell r="A4530">
            <v>130786</v>
          </cell>
          <cell r="B4530" t="str">
            <v>2671406-1440</v>
          </cell>
        </row>
        <row r="4531">
          <cell r="A4531">
            <v>130788</v>
          </cell>
          <cell r="B4531" t="str">
            <v>2671406-306</v>
          </cell>
        </row>
        <row r="4532">
          <cell r="A4532">
            <v>130803</v>
          </cell>
          <cell r="B4532" t="str">
            <v>2678027-006</v>
          </cell>
        </row>
        <row r="4533">
          <cell r="A4533">
            <v>130805</v>
          </cell>
          <cell r="B4533" t="str">
            <v>2681659-029</v>
          </cell>
        </row>
        <row r="4534">
          <cell r="A4534">
            <v>130820</v>
          </cell>
          <cell r="B4534" t="str">
            <v>2681664-011</v>
          </cell>
        </row>
        <row r="4535">
          <cell r="A4535">
            <v>130822</v>
          </cell>
          <cell r="B4535" t="str">
            <v>2681664-013</v>
          </cell>
        </row>
        <row r="4536">
          <cell r="A4536">
            <v>130837</v>
          </cell>
          <cell r="B4536" t="str">
            <v>2682063-125</v>
          </cell>
        </row>
        <row r="4537">
          <cell r="A4537">
            <v>130839</v>
          </cell>
          <cell r="B4537" t="str">
            <v>2682063-131</v>
          </cell>
        </row>
        <row r="4538">
          <cell r="A4538">
            <v>130854</v>
          </cell>
          <cell r="B4538" t="str">
            <v>2691178-12122</v>
          </cell>
        </row>
        <row r="4539">
          <cell r="A4539">
            <v>130856</v>
          </cell>
          <cell r="B4539" t="str">
            <v>2691399-026</v>
          </cell>
        </row>
        <row r="4540">
          <cell r="A4540">
            <v>130726</v>
          </cell>
          <cell r="B4540">
            <v>177582</v>
          </cell>
        </row>
        <row r="4541">
          <cell r="A4541">
            <v>130733</v>
          </cell>
          <cell r="B4541">
            <v>910724</v>
          </cell>
        </row>
        <row r="4542">
          <cell r="A4542">
            <v>130740</v>
          </cell>
          <cell r="B4542">
            <v>950317</v>
          </cell>
        </row>
        <row r="4543">
          <cell r="A4543">
            <v>130751</v>
          </cell>
          <cell r="B4543">
            <v>2688560</v>
          </cell>
        </row>
        <row r="4544">
          <cell r="A4544">
            <v>130758</v>
          </cell>
          <cell r="B4544">
            <v>3240017</v>
          </cell>
        </row>
        <row r="4545">
          <cell r="A4545">
            <v>130765</v>
          </cell>
          <cell r="B4545" t="str">
            <v>2671406-1306</v>
          </cell>
        </row>
        <row r="4546">
          <cell r="A4546">
            <v>130776</v>
          </cell>
          <cell r="B4546" t="str">
            <v>2671406-1415</v>
          </cell>
        </row>
        <row r="4547">
          <cell r="A4547">
            <v>130783</v>
          </cell>
          <cell r="B4547" t="str">
            <v>2671406-1429</v>
          </cell>
        </row>
        <row r="4548">
          <cell r="A4548">
            <v>130790</v>
          </cell>
          <cell r="B4548" t="str">
            <v>2671406-313</v>
          </cell>
        </row>
        <row r="4549">
          <cell r="A4549">
            <v>130801</v>
          </cell>
          <cell r="B4549" t="str">
            <v>2674419-503</v>
          </cell>
        </row>
        <row r="4550">
          <cell r="A4550">
            <v>130808</v>
          </cell>
          <cell r="B4550" t="str">
            <v>2681660-013</v>
          </cell>
        </row>
        <row r="4551">
          <cell r="A4551">
            <v>130815</v>
          </cell>
          <cell r="B4551" t="str">
            <v>2681660-032</v>
          </cell>
        </row>
        <row r="4552">
          <cell r="A4552">
            <v>130826</v>
          </cell>
          <cell r="B4552" t="str">
            <v>2682063-006</v>
          </cell>
        </row>
        <row r="4553">
          <cell r="A4553">
            <v>130833</v>
          </cell>
          <cell r="B4553" t="str">
            <v>2682063-023</v>
          </cell>
        </row>
        <row r="4554">
          <cell r="A4554">
            <v>130840</v>
          </cell>
          <cell r="B4554" t="str">
            <v>2682063-132</v>
          </cell>
        </row>
        <row r="4555">
          <cell r="A4555">
            <v>130851</v>
          </cell>
          <cell r="B4555" t="str">
            <v>2691015-012</v>
          </cell>
        </row>
        <row r="4556">
          <cell r="A4556">
            <v>130858</v>
          </cell>
          <cell r="B4556" t="str">
            <v>2783208-1</v>
          </cell>
        </row>
        <row r="4557">
          <cell r="A4557">
            <v>130870</v>
          </cell>
          <cell r="B4557" t="str">
            <v>3179511-1</v>
          </cell>
        </row>
        <row r="4558">
          <cell r="A4558">
            <v>130872</v>
          </cell>
          <cell r="B4558" t="str">
            <v>3179511-4</v>
          </cell>
        </row>
        <row r="4559">
          <cell r="A4559">
            <v>130887</v>
          </cell>
          <cell r="B4559" t="str">
            <v>574-S-136</v>
          </cell>
        </row>
        <row r="4560">
          <cell r="A4560">
            <v>130889</v>
          </cell>
          <cell r="B4560" t="str">
            <v>624-512-9574</v>
          </cell>
        </row>
        <row r="4561">
          <cell r="A4561">
            <v>130904</v>
          </cell>
          <cell r="B4561" t="str">
            <v>82011350-123</v>
          </cell>
        </row>
        <row r="4562">
          <cell r="A4562">
            <v>130906</v>
          </cell>
          <cell r="B4562" t="str">
            <v>82011350-133</v>
          </cell>
        </row>
        <row r="4563">
          <cell r="A4563">
            <v>130921</v>
          </cell>
          <cell r="B4563" t="str">
            <v>953538-135</v>
          </cell>
        </row>
        <row r="4564">
          <cell r="A4564">
            <v>130923</v>
          </cell>
          <cell r="B4564" t="str">
            <v>953539-102</v>
          </cell>
        </row>
        <row r="4565">
          <cell r="A4565">
            <v>130937</v>
          </cell>
          <cell r="B4565" t="str">
            <v>2686823-024</v>
          </cell>
        </row>
        <row r="4566">
          <cell r="A4566">
            <v>130939</v>
          </cell>
          <cell r="B4566" t="str">
            <v>383V806</v>
          </cell>
        </row>
        <row r="4567">
          <cell r="A4567">
            <v>130954</v>
          </cell>
          <cell r="B4567" t="str">
            <v>70722907-1</v>
          </cell>
        </row>
        <row r="4568">
          <cell r="A4568">
            <v>130956</v>
          </cell>
          <cell r="B4568" t="str">
            <v>651-522-9571</v>
          </cell>
        </row>
        <row r="4569">
          <cell r="A4569">
            <v>130971</v>
          </cell>
          <cell r="B4569">
            <v>3240375</v>
          </cell>
        </row>
        <row r="4570">
          <cell r="A4570">
            <v>130973</v>
          </cell>
          <cell r="B4570">
            <v>3242158</v>
          </cell>
        </row>
        <row r="4571">
          <cell r="A4571">
            <v>130988</v>
          </cell>
          <cell r="B4571" t="str">
            <v>146962-2</v>
          </cell>
        </row>
        <row r="4572">
          <cell r="A4572">
            <v>130990</v>
          </cell>
          <cell r="B4572" t="str">
            <v>14936-3</v>
          </cell>
        </row>
        <row r="4573">
          <cell r="A4573">
            <v>131005</v>
          </cell>
          <cell r="B4573" t="str">
            <v>3074555-999</v>
          </cell>
        </row>
        <row r="4574">
          <cell r="A4574">
            <v>130869</v>
          </cell>
          <cell r="B4574" t="str">
            <v>3177740-2</v>
          </cell>
        </row>
        <row r="4575">
          <cell r="A4575">
            <v>130871</v>
          </cell>
          <cell r="B4575" t="str">
            <v>3179511-2</v>
          </cell>
        </row>
        <row r="4576">
          <cell r="A4576">
            <v>130873</v>
          </cell>
          <cell r="B4576" t="str">
            <v>3179511-5</v>
          </cell>
        </row>
        <row r="4577">
          <cell r="A4577">
            <v>130886</v>
          </cell>
          <cell r="B4577" t="str">
            <v>3239936-2</v>
          </cell>
        </row>
        <row r="4578">
          <cell r="A4578">
            <v>130888</v>
          </cell>
          <cell r="B4578" t="str">
            <v>574-S-21</v>
          </cell>
        </row>
        <row r="4579">
          <cell r="A4579">
            <v>130903</v>
          </cell>
          <cell r="B4579" t="str">
            <v>82011350-120</v>
          </cell>
        </row>
        <row r="4580">
          <cell r="A4580">
            <v>130905</v>
          </cell>
          <cell r="B4580" t="str">
            <v>82011350-124</v>
          </cell>
        </row>
        <row r="4581">
          <cell r="A4581">
            <v>130920</v>
          </cell>
          <cell r="B4581" t="str">
            <v>953538-132</v>
          </cell>
        </row>
        <row r="4582">
          <cell r="A4582">
            <v>130922</v>
          </cell>
          <cell r="B4582" t="str">
            <v>953539-10</v>
          </cell>
        </row>
        <row r="4583">
          <cell r="A4583">
            <v>130938</v>
          </cell>
          <cell r="B4583" t="str">
            <v>383V805</v>
          </cell>
        </row>
        <row r="4584">
          <cell r="A4584">
            <v>130940</v>
          </cell>
          <cell r="B4584" t="str">
            <v>60D37</v>
          </cell>
        </row>
        <row r="4585">
          <cell r="A4585">
            <v>130955</v>
          </cell>
          <cell r="B4585" t="str">
            <v>3863005-1</v>
          </cell>
        </row>
        <row r="4586">
          <cell r="A4586">
            <v>130957</v>
          </cell>
          <cell r="B4586" t="str">
            <v>3-300-485-01</v>
          </cell>
        </row>
        <row r="4587">
          <cell r="A4587">
            <v>130972</v>
          </cell>
          <cell r="B4587">
            <v>3241587</v>
          </cell>
        </row>
        <row r="4588">
          <cell r="A4588">
            <v>130974</v>
          </cell>
          <cell r="B4588">
            <v>3243619</v>
          </cell>
        </row>
        <row r="4589">
          <cell r="A4589">
            <v>130987</v>
          </cell>
          <cell r="B4589" t="str">
            <v>146529-1</v>
          </cell>
        </row>
        <row r="4590">
          <cell r="A4590">
            <v>130989</v>
          </cell>
          <cell r="B4590" t="str">
            <v>147524-1</v>
          </cell>
        </row>
        <row r="4591">
          <cell r="A4591">
            <v>130991</v>
          </cell>
          <cell r="B4591" t="str">
            <v>2217692-1</v>
          </cell>
        </row>
        <row r="4592">
          <cell r="A4592">
            <v>130865</v>
          </cell>
          <cell r="B4592" t="str">
            <v>3177427-3</v>
          </cell>
        </row>
        <row r="4593">
          <cell r="A4593">
            <v>130876</v>
          </cell>
          <cell r="B4593" t="str">
            <v>3181480-5</v>
          </cell>
        </row>
        <row r="4594">
          <cell r="A4594">
            <v>130883</v>
          </cell>
          <cell r="B4594" t="str">
            <v>3185814-1</v>
          </cell>
        </row>
        <row r="4595">
          <cell r="A4595">
            <v>130890</v>
          </cell>
          <cell r="B4595" t="str">
            <v>63000013-1</v>
          </cell>
        </row>
        <row r="4596">
          <cell r="A4596">
            <v>130894</v>
          </cell>
          <cell r="B4596" t="str">
            <v>63001643-1</v>
          </cell>
        </row>
        <row r="4597">
          <cell r="A4597">
            <v>130901</v>
          </cell>
          <cell r="B4597" t="str">
            <v>82011107-453</v>
          </cell>
        </row>
        <row r="4598">
          <cell r="A4598">
            <v>130908</v>
          </cell>
          <cell r="B4598" t="str">
            <v>82011351-012</v>
          </cell>
        </row>
        <row r="4599">
          <cell r="A4599">
            <v>130915</v>
          </cell>
          <cell r="B4599" t="str">
            <v>953529-26</v>
          </cell>
        </row>
        <row r="4600">
          <cell r="A4600">
            <v>130919</v>
          </cell>
          <cell r="B4600" t="str">
            <v>953537-114</v>
          </cell>
        </row>
        <row r="4601">
          <cell r="A4601">
            <v>130927</v>
          </cell>
          <cell r="B4601" t="str">
            <v>953539-15</v>
          </cell>
        </row>
        <row r="4602">
          <cell r="A4602">
            <v>130934</v>
          </cell>
          <cell r="B4602">
            <v>2526313</v>
          </cell>
        </row>
        <row r="4603">
          <cell r="A4603">
            <v>130941</v>
          </cell>
          <cell r="B4603" t="str">
            <v>82012336-001</v>
          </cell>
        </row>
        <row r="4604">
          <cell r="A4604">
            <v>130945</v>
          </cell>
          <cell r="B4604" t="str">
            <v>3105775-2</v>
          </cell>
        </row>
        <row r="4605">
          <cell r="A4605">
            <v>130952</v>
          </cell>
          <cell r="B4605" t="str">
            <v>651-522-9501</v>
          </cell>
        </row>
        <row r="4606">
          <cell r="A4606">
            <v>130959</v>
          </cell>
          <cell r="B4606">
            <v>110482</v>
          </cell>
        </row>
        <row r="4607">
          <cell r="A4607">
            <v>130970</v>
          </cell>
          <cell r="B4607">
            <v>2681926</v>
          </cell>
        </row>
        <row r="4608">
          <cell r="A4608">
            <v>130977</v>
          </cell>
          <cell r="B4608" t="str">
            <v>110753-2</v>
          </cell>
        </row>
        <row r="4609">
          <cell r="A4609">
            <v>131001</v>
          </cell>
          <cell r="B4609" t="str">
            <v>3038108-6</v>
          </cell>
        </row>
        <row r="4610">
          <cell r="A4610">
            <v>131003</v>
          </cell>
          <cell r="B4610" t="str">
            <v>3060361-999</v>
          </cell>
        </row>
        <row r="4611">
          <cell r="A4611">
            <v>131026</v>
          </cell>
          <cell r="B4611" t="str">
            <v>82010558-001</v>
          </cell>
        </row>
        <row r="4612">
          <cell r="A4612">
            <v>131028</v>
          </cell>
          <cell r="B4612" t="str">
            <v>887715-4</v>
          </cell>
        </row>
        <row r="4613">
          <cell r="A4613">
            <v>131033</v>
          </cell>
          <cell r="B4613" t="str">
            <v>96214-4</v>
          </cell>
        </row>
        <row r="4614">
          <cell r="A4614">
            <v>131035</v>
          </cell>
          <cell r="B4614" t="str">
            <v>96643-2</v>
          </cell>
        </row>
        <row r="4615">
          <cell r="A4615">
            <v>131037</v>
          </cell>
          <cell r="B4615" t="str">
            <v>974907-1</v>
          </cell>
        </row>
        <row r="4616">
          <cell r="A4616">
            <v>130735</v>
          </cell>
          <cell r="B4616">
            <v>910732</v>
          </cell>
        </row>
        <row r="4617">
          <cell r="A4617">
            <v>130742</v>
          </cell>
          <cell r="B4617">
            <v>2526074</v>
          </cell>
        </row>
        <row r="4618">
          <cell r="A4618">
            <v>130749</v>
          </cell>
          <cell r="B4618">
            <v>2685225</v>
          </cell>
        </row>
        <row r="4619">
          <cell r="A4619">
            <v>130760</v>
          </cell>
          <cell r="B4619" t="str">
            <v>13P52-1</v>
          </cell>
        </row>
        <row r="4620">
          <cell r="A4620">
            <v>130767</v>
          </cell>
          <cell r="B4620" t="str">
            <v>2671406-1310</v>
          </cell>
        </row>
        <row r="4621">
          <cell r="A4621">
            <v>130774</v>
          </cell>
          <cell r="B4621" t="str">
            <v>2671406-1331</v>
          </cell>
        </row>
        <row r="4622">
          <cell r="A4622">
            <v>130785</v>
          </cell>
          <cell r="B4622" t="str">
            <v>2671406-1439</v>
          </cell>
        </row>
        <row r="4623">
          <cell r="A4623">
            <v>130792</v>
          </cell>
          <cell r="B4623" t="str">
            <v>2671406-316</v>
          </cell>
        </row>
        <row r="4624">
          <cell r="A4624">
            <v>130799</v>
          </cell>
          <cell r="B4624" t="str">
            <v>2671406-427</v>
          </cell>
        </row>
        <row r="4625">
          <cell r="A4625">
            <v>130810</v>
          </cell>
          <cell r="B4625" t="str">
            <v>2681660-015</v>
          </cell>
        </row>
        <row r="4626">
          <cell r="A4626">
            <v>130817</v>
          </cell>
          <cell r="B4626" t="str">
            <v>2681663-120</v>
          </cell>
        </row>
        <row r="4627">
          <cell r="A4627">
            <v>130824</v>
          </cell>
          <cell r="B4627" t="str">
            <v>2681664-032</v>
          </cell>
        </row>
        <row r="4628">
          <cell r="A4628">
            <v>130835</v>
          </cell>
          <cell r="B4628" t="str">
            <v>2682063-029</v>
          </cell>
        </row>
        <row r="4629">
          <cell r="A4629">
            <v>130842</v>
          </cell>
          <cell r="B4629" t="str">
            <v>2685228-209</v>
          </cell>
        </row>
        <row r="4630">
          <cell r="A4630">
            <v>130849</v>
          </cell>
          <cell r="B4630" t="str">
            <v>2688819-001</v>
          </cell>
        </row>
        <row r="4631">
          <cell r="A4631">
            <v>130860</v>
          </cell>
          <cell r="B4631" t="str">
            <v>3162791-1</v>
          </cell>
        </row>
        <row r="4632">
          <cell r="A4632">
            <v>130867</v>
          </cell>
          <cell r="B4632" t="str">
            <v>3177739-3</v>
          </cell>
        </row>
        <row r="4633">
          <cell r="A4633">
            <v>131007</v>
          </cell>
          <cell r="B4633" t="str">
            <v>3164570-2</v>
          </cell>
        </row>
        <row r="4634">
          <cell r="A4634">
            <v>131022</v>
          </cell>
          <cell r="B4634" t="str">
            <v>4246002-1</v>
          </cell>
        </row>
        <row r="4635">
          <cell r="A4635">
            <v>131024</v>
          </cell>
          <cell r="B4635" t="str">
            <v>71E86-1</v>
          </cell>
        </row>
        <row r="4636">
          <cell r="A4636">
            <v>131039</v>
          </cell>
          <cell r="B4636" t="str">
            <v>974907-3</v>
          </cell>
        </row>
        <row r="4637">
          <cell r="A4637">
            <v>131041</v>
          </cell>
          <cell r="B4637" t="str">
            <v>975974-3</v>
          </cell>
        </row>
        <row r="4638">
          <cell r="A4638">
            <v>131054</v>
          </cell>
          <cell r="B4638" t="str">
            <v>67041598-2</v>
          </cell>
        </row>
        <row r="4639">
          <cell r="A4639">
            <v>130874</v>
          </cell>
          <cell r="B4639" t="str">
            <v>3179893-1</v>
          </cell>
        </row>
        <row r="4640">
          <cell r="A4640">
            <v>130885</v>
          </cell>
          <cell r="B4640" t="str">
            <v>3239893-1</v>
          </cell>
        </row>
        <row r="4641">
          <cell r="A4641">
            <v>130892</v>
          </cell>
          <cell r="B4641" t="str">
            <v>63000495-1</v>
          </cell>
        </row>
        <row r="4642">
          <cell r="A4642">
            <v>130899</v>
          </cell>
          <cell r="B4642" t="str">
            <v>7205920-3</v>
          </cell>
        </row>
        <row r="4643">
          <cell r="A4643">
            <v>130910</v>
          </cell>
          <cell r="B4643" t="str">
            <v>82011351-122</v>
          </cell>
        </row>
        <row r="4644">
          <cell r="A4644">
            <v>130917</v>
          </cell>
          <cell r="B4644" t="str">
            <v>953531-10</v>
          </cell>
        </row>
        <row r="4645">
          <cell r="A4645">
            <v>130924</v>
          </cell>
          <cell r="B4645" t="str">
            <v>953539-11</v>
          </cell>
        </row>
        <row r="4646">
          <cell r="A4646">
            <v>130936</v>
          </cell>
          <cell r="B4646" t="str">
            <v>2682063-032</v>
          </cell>
        </row>
        <row r="4647">
          <cell r="A4647">
            <v>130943</v>
          </cell>
          <cell r="B4647">
            <v>2689669</v>
          </cell>
        </row>
        <row r="4648">
          <cell r="A4648">
            <v>130950</v>
          </cell>
          <cell r="B4648" t="str">
            <v>651-522-9301</v>
          </cell>
        </row>
        <row r="4649">
          <cell r="A4649">
            <v>130961</v>
          </cell>
          <cell r="B4649">
            <v>343451</v>
          </cell>
        </row>
        <row r="4650">
          <cell r="A4650">
            <v>130968</v>
          </cell>
          <cell r="B4650">
            <v>2653122</v>
          </cell>
        </row>
        <row r="4651">
          <cell r="A4651">
            <v>130975</v>
          </cell>
          <cell r="B4651" t="str">
            <v>1036V0191</v>
          </cell>
        </row>
        <row r="4652">
          <cell r="A4652">
            <v>130986</v>
          </cell>
          <cell r="B4652" t="str">
            <v>146417-1</v>
          </cell>
        </row>
        <row r="4653">
          <cell r="A4653">
            <v>130993</v>
          </cell>
          <cell r="B4653" t="str">
            <v>2217979-1</v>
          </cell>
        </row>
        <row r="4654">
          <cell r="A4654">
            <v>131000</v>
          </cell>
          <cell r="B4654" t="str">
            <v>3038062-5</v>
          </cell>
        </row>
        <row r="4655">
          <cell r="A4655">
            <v>131011</v>
          </cell>
          <cell r="B4655" t="str">
            <v>3174169-1</v>
          </cell>
        </row>
        <row r="4656">
          <cell r="A4656">
            <v>130984</v>
          </cell>
          <cell r="B4656" t="str">
            <v>146144-1</v>
          </cell>
        </row>
        <row r="4657">
          <cell r="A4657">
            <v>130995</v>
          </cell>
          <cell r="B4657" t="str">
            <v>2217979-2</v>
          </cell>
        </row>
        <row r="4658">
          <cell r="A4658">
            <v>131002</v>
          </cell>
          <cell r="B4658" t="str">
            <v>3038114-2</v>
          </cell>
        </row>
        <row r="4659">
          <cell r="A4659">
            <v>131009</v>
          </cell>
          <cell r="B4659" t="str">
            <v>3166657-2</v>
          </cell>
        </row>
        <row r="4660">
          <cell r="A4660">
            <v>131020</v>
          </cell>
          <cell r="B4660" t="str">
            <v>4245917-1</v>
          </cell>
        </row>
        <row r="4661">
          <cell r="A4661">
            <v>131027</v>
          </cell>
          <cell r="B4661" t="str">
            <v>883784-2</v>
          </cell>
        </row>
        <row r="4662">
          <cell r="A4662">
            <v>131034</v>
          </cell>
          <cell r="B4662" t="str">
            <v>96290-2</v>
          </cell>
        </row>
        <row r="4663">
          <cell r="A4663">
            <v>131045</v>
          </cell>
          <cell r="B4663" t="str">
            <v>139646-1</v>
          </cell>
        </row>
        <row r="4664">
          <cell r="A4664">
            <v>131052</v>
          </cell>
          <cell r="B4664">
            <v>2526477</v>
          </cell>
        </row>
        <row r="4665">
          <cell r="A4665">
            <v>131004</v>
          </cell>
          <cell r="B4665" t="str">
            <v>3060990-3</v>
          </cell>
        </row>
        <row r="4666">
          <cell r="A4666">
            <v>131006</v>
          </cell>
          <cell r="B4666" t="str">
            <v>3162070-1</v>
          </cell>
        </row>
        <row r="4667">
          <cell r="A4667">
            <v>131021</v>
          </cell>
          <cell r="B4667" t="str">
            <v>4246001-1</v>
          </cell>
        </row>
        <row r="4668">
          <cell r="A4668">
            <v>131023</v>
          </cell>
          <cell r="B4668" t="str">
            <v>540-1792-910</v>
          </cell>
        </row>
        <row r="4669">
          <cell r="A4669">
            <v>131038</v>
          </cell>
          <cell r="B4669" t="str">
            <v>974907-2</v>
          </cell>
        </row>
        <row r="4670">
          <cell r="A4670">
            <v>131040</v>
          </cell>
          <cell r="B4670" t="str">
            <v>975974-2</v>
          </cell>
        </row>
        <row r="4671">
          <cell r="A4671">
            <v>131055</v>
          </cell>
          <cell r="B4671" t="str">
            <v>858885-6</v>
          </cell>
        </row>
        <row r="4672">
          <cell r="A4672">
            <v>130727</v>
          </cell>
          <cell r="B4672">
            <v>194204</v>
          </cell>
        </row>
        <row r="4673">
          <cell r="A4673">
            <v>130728</v>
          </cell>
          <cell r="B4673">
            <v>195576</v>
          </cell>
        </row>
        <row r="4674">
          <cell r="A4674">
            <v>130731</v>
          </cell>
          <cell r="B4674">
            <v>910722</v>
          </cell>
        </row>
        <row r="4675">
          <cell r="A4675">
            <v>130745</v>
          </cell>
          <cell r="B4675">
            <v>2638919</v>
          </cell>
        </row>
        <row r="4676">
          <cell r="A4676">
            <v>130746</v>
          </cell>
          <cell r="B4676">
            <v>2649531</v>
          </cell>
        </row>
        <row r="4677">
          <cell r="A4677">
            <v>130763</v>
          </cell>
          <cell r="B4677" t="str">
            <v>2671406-130</v>
          </cell>
        </row>
        <row r="4678">
          <cell r="A4678">
            <v>130764</v>
          </cell>
          <cell r="B4678" t="str">
            <v>2671406-1304</v>
          </cell>
        </row>
        <row r="4679">
          <cell r="A4679">
            <v>130778</v>
          </cell>
          <cell r="B4679" t="str">
            <v>2671406-1419</v>
          </cell>
        </row>
        <row r="4680">
          <cell r="A4680">
            <v>130781</v>
          </cell>
          <cell r="B4680" t="str">
            <v>2671406-1423</v>
          </cell>
        </row>
        <row r="4681">
          <cell r="A4681">
            <v>130795</v>
          </cell>
          <cell r="B4681" t="str">
            <v>2671406-333</v>
          </cell>
        </row>
        <row r="4682">
          <cell r="A4682">
            <v>130796</v>
          </cell>
          <cell r="B4682" t="str">
            <v>2671406-413</v>
          </cell>
        </row>
        <row r="4683">
          <cell r="A4683">
            <v>130813</v>
          </cell>
          <cell r="B4683" t="str">
            <v>2681660-024</v>
          </cell>
        </row>
        <row r="4684">
          <cell r="A4684">
            <v>130814</v>
          </cell>
          <cell r="B4684" t="str">
            <v>2681660-025</v>
          </cell>
        </row>
        <row r="4685">
          <cell r="A4685">
            <v>130828</v>
          </cell>
          <cell r="B4685" t="str">
            <v>2682063-011</v>
          </cell>
        </row>
        <row r="4686">
          <cell r="A4686">
            <v>130831</v>
          </cell>
          <cell r="B4686" t="str">
            <v>2682063-015</v>
          </cell>
        </row>
        <row r="4687">
          <cell r="A4687">
            <v>130845</v>
          </cell>
          <cell r="B4687" t="str">
            <v>2686858-025</v>
          </cell>
        </row>
        <row r="4688">
          <cell r="A4688">
            <v>130846</v>
          </cell>
          <cell r="B4688" t="str">
            <v>2686858-026</v>
          </cell>
        </row>
        <row r="4689">
          <cell r="A4689">
            <v>130863</v>
          </cell>
          <cell r="B4689" t="str">
            <v>3175896-9</v>
          </cell>
        </row>
        <row r="4690">
          <cell r="A4690">
            <v>130864</v>
          </cell>
          <cell r="B4690" t="str">
            <v>3177427-2</v>
          </cell>
        </row>
        <row r="4691">
          <cell r="A4691">
            <v>130878</v>
          </cell>
          <cell r="B4691" t="str">
            <v>3181480-7</v>
          </cell>
        </row>
        <row r="4692">
          <cell r="A4692">
            <v>130881</v>
          </cell>
          <cell r="B4692" t="str">
            <v>3181481-7</v>
          </cell>
        </row>
        <row r="4693">
          <cell r="A4693">
            <v>130895</v>
          </cell>
          <cell r="B4693" t="str">
            <v>651-527-9105</v>
          </cell>
        </row>
        <row r="4694">
          <cell r="A4694">
            <v>130896</v>
          </cell>
          <cell r="B4694" t="str">
            <v>67411880-1</v>
          </cell>
        </row>
        <row r="4695">
          <cell r="A4695">
            <v>130913</v>
          </cell>
          <cell r="B4695" t="str">
            <v>909V0609</v>
          </cell>
        </row>
        <row r="4696">
          <cell r="A4696">
            <v>130914</v>
          </cell>
          <cell r="B4696" t="str">
            <v>953529-20</v>
          </cell>
        </row>
        <row r="4697">
          <cell r="A4697">
            <v>130929</v>
          </cell>
          <cell r="B4697" t="str">
            <v>953539-9</v>
          </cell>
        </row>
        <row r="4698">
          <cell r="A4698">
            <v>130932</v>
          </cell>
          <cell r="B4698" t="str">
            <v>953543-24</v>
          </cell>
        </row>
        <row r="4699">
          <cell r="A4699">
            <v>130946</v>
          </cell>
          <cell r="B4699" t="str">
            <v>3883905-1</v>
          </cell>
        </row>
        <row r="4700">
          <cell r="A4700">
            <v>130947</v>
          </cell>
          <cell r="B4700" t="str">
            <v>63000203-1</v>
          </cell>
        </row>
        <row r="4701">
          <cell r="A4701">
            <v>130964</v>
          </cell>
          <cell r="B4701">
            <v>2529255</v>
          </cell>
        </row>
        <row r="4702">
          <cell r="A4702">
            <v>130965</v>
          </cell>
          <cell r="B4702">
            <v>2529924</v>
          </cell>
        </row>
        <row r="4703">
          <cell r="A4703">
            <v>130979</v>
          </cell>
          <cell r="B4703" t="str">
            <v>135664-1</v>
          </cell>
        </row>
        <row r="4704">
          <cell r="A4704">
            <v>130982</v>
          </cell>
          <cell r="B4704" t="str">
            <v>139646-2</v>
          </cell>
        </row>
        <row r="4705">
          <cell r="A4705">
            <v>130996</v>
          </cell>
          <cell r="B4705" t="str">
            <v>2217979-3</v>
          </cell>
        </row>
        <row r="4706">
          <cell r="A4706">
            <v>130997</v>
          </cell>
          <cell r="B4706" t="str">
            <v>2217979-8</v>
          </cell>
        </row>
        <row r="4707">
          <cell r="A4707">
            <v>131018</v>
          </cell>
          <cell r="B4707" t="str">
            <v>4244597-1</v>
          </cell>
        </row>
        <row r="4708">
          <cell r="A4708">
            <v>131025</v>
          </cell>
          <cell r="B4708" t="str">
            <v>73D51</v>
          </cell>
        </row>
        <row r="4709">
          <cell r="A4709">
            <v>131036</v>
          </cell>
          <cell r="B4709" t="str">
            <v>97012-51</v>
          </cell>
        </row>
        <row r="4710">
          <cell r="A4710">
            <v>131043</v>
          </cell>
          <cell r="B4710">
            <v>2537695</v>
          </cell>
        </row>
        <row r="4711">
          <cell r="A4711">
            <v>131050</v>
          </cell>
          <cell r="B4711">
            <v>2521519</v>
          </cell>
        </row>
        <row r="4712">
          <cell r="A4712">
            <v>131014</v>
          </cell>
          <cell r="B4712" t="str">
            <v>3184463-1</v>
          </cell>
        </row>
        <row r="4713">
          <cell r="A4713">
            <v>131015</v>
          </cell>
          <cell r="B4713" t="str">
            <v>3239517-2</v>
          </cell>
        </row>
        <row r="4714">
          <cell r="A4714">
            <v>131029</v>
          </cell>
          <cell r="B4714" t="str">
            <v>92378-5</v>
          </cell>
        </row>
        <row r="4715">
          <cell r="A4715">
            <v>131032</v>
          </cell>
          <cell r="B4715" t="str">
            <v>92969-2</v>
          </cell>
        </row>
        <row r="4716">
          <cell r="A4716">
            <v>131046</v>
          </cell>
          <cell r="B4716" t="str">
            <v>25E57-1</v>
          </cell>
        </row>
        <row r="4717">
          <cell r="A4717">
            <v>131047</v>
          </cell>
          <cell r="B4717" t="str">
            <v>31-01516-1</v>
          </cell>
        </row>
        <row r="4718">
          <cell r="A4718">
            <v>131599</v>
          </cell>
          <cell r="B4718" t="str">
            <v>2204824-1</v>
          </cell>
        </row>
        <row r="4719">
          <cell r="A4719">
            <v>131600</v>
          </cell>
          <cell r="B4719" t="str">
            <v>2204824-2</v>
          </cell>
        </row>
        <row r="4720">
          <cell r="A4720">
            <v>131598</v>
          </cell>
          <cell r="B4720" t="str">
            <v>204762-2</v>
          </cell>
        </row>
        <row r="4721">
          <cell r="A4721">
            <v>131601</v>
          </cell>
          <cell r="B4721" t="str">
            <v>2205389-2</v>
          </cell>
        </row>
        <row r="4722">
          <cell r="A4722">
            <v>131602</v>
          </cell>
          <cell r="B4722">
            <v>2718896</v>
          </cell>
        </row>
        <row r="4723">
          <cell r="A4723">
            <v>131747</v>
          </cell>
          <cell r="B4723" t="str">
            <v>3616141-111</v>
          </cell>
        </row>
        <row r="4724">
          <cell r="A4724">
            <v>131749</v>
          </cell>
          <cell r="B4724" t="str">
            <v>2310793-1</v>
          </cell>
        </row>
        <row r="4725">
          <cell r="A4725">
            <v>131748</v>
          </cell>
          <cell r="B4725" t="str">
            <v>3176994-115</v>
          </cell>
        </row>
        <row r="4726">
          <cell r="A4726">
            <v>131750</v>
          </cell>
          <cell r="B4726" t="str">
            <v>3177752-111</v>
          </cell>
        </row>
        <row r="4727">
          <cell r="A4727">
            <v>131744</v>
          </cell>
          <cell r="B4727" t="str">
            <v>67221334-1</v>
          </cell>
        </row>
        <row r="4728">
          <cell r="A4728">
            <v>131751</v>
          </cell>
          <cell r="B4728" t="str">
            <v>63000029-111</v>
          </cell>
        </row>
        <row r="4729">
          <cell r="A4729">
            <v>131742</v>
          </cell>
          <cell r="B4729" t="str">
            <v>WB3810802-111</v>
          </cell>
        </row>
        <row r="4730">
          <cell r="A4730">
            <v>131743</v>
          </cell>
          <cell r="B4730" t="str">
            <v>3617383-111</v>
          </cell>
        </row>
        <row r="4731">
          <cell r="A4731">
            <v>131745</v>
          </cell>
          <cell r="B4731" t="str">
            <v>67221335-1</v>
          </cell>
        </row>
        <row r="4732">
          <cell r="A4732">
            <v>131746</v>
          </cell>
          <cell r="B4732" t="str">
            <v>67221336-1</v>
          </cell>
        </row>
        <row r="4733">
          <cell r="A4733">
            <v>132002</v>
          </cell>
          <cell r="B4733" t="str">
            <v>10160183-103</v>
          </cell>
        </row>
        <row r="4734">
          <cell r="A4734">
            <v>132003</v>
          </cell>
          <cell r="B4734" t="str">
            <v>10160279-102</v>
          </cell>
        </row>
        <row r="4735">
          <cell r="A4735">
            <v>132005</v>
          </cell>
          <cell r="B4735" t="str">
            <v>68000925-102</v>
          </cell>
        </row>
        <row r="4736">
          <cell r="A4736">
            <v>132004</v>
          </cell>
          <cell r="B4736" t="str">
            <v>10162654-102</v>
          </cell>
        </row>
        <row r="4737">
          <cell r="A4737">
            <v>132006</v>
          </cell>
          <cell r="B4737" t="str">
            <v>68004032-101</v>
          </cell>
        </row>
        <row r="4738">
          <cell r="A4738">
            <v>132008</v>
          </cell>
          <cell r="B4738" t="str">
            <v>68009078-102</v>
          </cell>
        </row>
        <row r="4739">
          <cell r="A4739">
            <v>132001</v>
          </cell>
          <cell r="B4739" t="str">
            <v>10160183-102</v>
          </cell>
        </row>
        <row r="4740">
          <cell r="A4740">
            <v>132007</v>
          </cell>
          <cell r="B4740" t="str">
            <v>68008953-101</v>
          </cell>
        </row>
        <row r="4741">
          <cell r="A4741">
            <v>132009</v>
          </cell>
          <cell r="B4741" t="str">
            <v>68006031-101</v>
          </cell>
        </row>
        <row r="4742">
          <cell r="A4742">
            <v>132240</v>
          </cell>
          <cell r="B4742" t="str">
            <v>364986-12</v>
          </cell>
        </row>
        <row r="4743">
          <cell r="A4743">
            <v>132242</v>
          </cell>
          <cell r="B4743" t="str">
            <v>364986-16</v>
          </cell>
        </row>
        <row r="4744">
          <cell r="A4744">
            <v>132255</v>
          </cell>
          <cell r="B4744" t="str">
            <v>3883998-1</v>
          </cell>
        </row>
        <row r="4745">
          <cell r="A4745">
            <v>132257</v>
          </cell>
          <cell r="B4745" t="str">
            <v>698347-1</v>
          </cell>
        </row>
        <row r="4746">
          <cell r="A4746">
            <v>132227</v>
          </cell>
          <cell r="B4746" t="str">
            <v>3601520-1</v>
          </cell>
        </row>
        <row r="4747">
          <cell r="A4747">
            <v>132229</v>
          </cell>
          <cell r="B4747" t="str">
            <v>3601520-5</v>
          </cell>
        </row>
        <row r="4748">
          <cell r="A4748">
            <v>132234</v>
          </cell>
          <cell r="B4748" t="str">
            <v>3610004-5</v>
          </cell>
        </row>
        <row r="4749">
          <cell r="A4749">
            <v>132236</v>
          </cell>
          <cell r="B4749" t="str">
            <v>364910-4</v>
          </cell>
        </row>
        <row r="4750">
          <cell r="A4750">
            <v>132238</v>
          </cell>
          <cell r="B4750" t="str">
            <v>364932-3</v>
          </cell>
        </row>
        <row r="4751">
          <cell r="A4751">
            <v>132259</v>
          </cell>
          <cell r="B4751" t="str">
            <v>74807-1</v>
          </cell>
        </row>
        <row r="4752">
          <cell r="A4752">
            <v>132261</v>
          </cell>
          <cell r="B4752" t="str">
            <v>75076-39</v>
          </cell>
        </row>
        <row r="4753">
          <cell r="A4753">
            <v>132263</v>
          </cell>
          <cell r="B4753" t="str">
            <v>868752-1</v>
          </cell>
        </row>
        <row r="4754">
          <cell r="A4754">
            <v>132231</v>
          </cell>
          <cell r="B4754" t="str">
            <v>3601520-8</v>
          </cell>
        </row>
        <row r="4755">
          <cell r="A4755">
            <v>132232</v>
          </cell>
          <cell r="B4755" t="str">
            <v>3610004-3</v>
          </cell>
        </row>
        <row r="4756">
          <cell r="A4756">
            <v>132249</v>
          </cell>
          <cell r="B4756" t="str">
            <v>3830166-1</v>
          </cell>
        </row>
        <row r="4757">
          <cell r="A4757">
            <v>132250</v>
          </cell>
          <cell r="B4757" t="str">
            <v>3830166-2</v>
          </cell>
        </row>
        <row r="4758">
          <cell r="A4758">
            <v>132264</v>
          </cell>
          <cell r="B4758" t="str">
            <v>899981-2</v>
          </cell>
        </row>
        <row r="4759">
          <cell r="A4759">
            <v>132239</v>
          </cell>
          <cell r="B4759" t="str">
            <v>364936-4</v>
          </cell>
        </row>
        <row r="4760">
          <cell r="A4760">
            <v>132241</v>
          </cell>
          <cell r="B4760" t="str">
            <v>364986-14</v>
          </cell>
        </row>
        <row r="4761">
          <cell r="A4761">
            <v>132256</v>
          </cell>
          <cell r="B4761" t="str">
            <v>3883998-2</v>
          </cell>
        </row>
        <row r="4762">
          <cell r="A4762">
            <v>132258</v>
          </cell>
          <cell r="B4762" t="str">
            <v>70721253-2</v>
          </cell>
        </row>
        <row r="4763">
          <cell r="A4763">
            <v>132228</v>
          </cell>
          <cell r="B4763" t="str">
            <v>3601520-2</v>
          </cell>
        </row>
        <row r="4764">
          <cell r="A4764">
            <v>132235</v>
          </cell>
          <cell r="B4764" t="str">
            <v>3610004-6</v>
          </cell>
        </row>
        <row r="4765">
          <cell r="A4765">
            <v>132246</v>
          </cell>
          <cell r="B4765" t="str">
            <v>367638-3</v>
          </cell>
        </row>
        <row r="4766">
          <cell r="A4766">
            <v>132253</v>
          </cell>
          <cell r="B4766" t="str">
            <v>3883798-1</v>
          </cell>
        </row>
        <row r="4767">
          <cell r="A4767">
            <v>132260</v>
          </cell>
          <cell r="B4767" t="str">
            <v>75076-32</v>
          </cell>
        </row>
        <row r="4768">
          <cell r="A4768">
            <v>132243</v>
          </cell>
          <cell r="B4768" t="str">
            <v>364986-24</v>
          </cell>
        </row>
        <row r="4769">
          <cell r="A4769">
            <v>132245</v>
          </cell>
          <cell r="B4769" t="str">
            <v>367638-2</v>
          </cell>
        </row>
        <row r="4770">
          <cell r="A4770">
            <v>132252</v>
          </cell>
          <cell r="B4770" t="str">
            <v>3883453-1</v>
          </cell>
        </row>
        <row r="4771">
          <cell r="A4771">
            <v>132254</v>
          </cell>
          <cell r="B4771" t="str">
            <v>3883839-2</v>
          </cell>
        </row>
        <row r="4772">
          <cell r="A4772">
            <v>132226</v>
          </cell>
          <cell r="B4772" t="str">
            <v>3601193-4</v>
          </cell>
        </row>
        <row r="4773">
          <cell r="A4773">
            <v>132237</v>
          </cell>
          <cell r="B4773" t="str">
            <v>364932-2</v>
          </cell>
        </row>
        <row r="4774">
          <cell r="A4774">
            <v>132244</v>
          </cell>
          <cell r="B4774" t="str">
            <v>364986-25</v>
          </cell>
        </row>
        <row r="4775">
          <cell r="A4775">
            <v>132251</v>
          </cell>
          <cell r="B4775" t="str">
            <v>3830416-1</v>
          </cell>
        </row>
        <row r="4776">
          <cell r="A4776">
            <v>132262</v>
          </cell>
          <cell r="B4776" t="str">
            <v>868242-1</v>
          </cell>
        </row>
        <row r="4777">
          <cell r="A4777">
            <v>132230</v>
          </cell>
          <cell r="B4777" t="str">
            <v>3601520-7</v>
          </cell>
        </row>
        <row r="4778">
          <cell r="A4778">
            <v>132233</v>
          </cell>
          <cell r="B4778" t="str">
            <v>3610004-4</v>
          </cell>
        </row>
        <row r="4779">
          <cell r="A4779">
            <v>132247</v>
          </cell>
          <cell r="B4779" t="str">
            <v>367638-4</v>
          </cell>
        </row>
        <row r="4780">
          <cell r="A4780">
            <v>132248</v>
          </cell>
          <cell r="B4780" t="str">
            <v>3830070-1</v>
          </cell>
        </row>
        <row r="4781">
          <cell r="A4781">
            <v>132265</v>
          </cell>
          <cell r="B4781" t="str">
            <v>977355-1</v>
          </cell>
        </row>
        <row r="4782">
          <cell r="A4782">
            <v>132502</v>
          </cell>
          <cell r="B4782" t="str">
            <v>3060735-5</v>
          </cell>
        </row>
        <row r="4783">
          <cell r="A4783">
            <v>132504</v>
          </cell>
          <cell r="B4783" t="str">
            <v>3060735-8</v>
          </cell>
        </row>
        <row r="4784">
          <cell r="A4784">
            <v>132491</v>
          </cell>
          <cell r="B4784" t="str">
            <v>3074135-1</v>
          </cell>
        </row>
        <row r="4785">
          <cell r="A4785">
            <v>132498</v>
          </cell>
          <cell r="B4785" t="str">
            <v>3060735-1</v>
          </cell>
        </row>
        <row r="4786">
          <cell r="A4786">
            <v>132509</v>
          </cell>
          <cell r="B4786" t="str">
            <v>3102476-2</v>
          </cell>
        </row>
        <row r="4787">
          <cell r="A4787">
            <v>132506</v>
          </cell>
          <cell r="B4787" t="str">
            <v>3074135-4</v>
          </cell>
        </row>
        <row r="4788">
          <cell r="A4788">
            <v>132508</v>
          </cell>
          <cell r="B4788" t="str">
            <v>3074135-6</v>
          </cell>
        </row>
        <row r="4789">
          <cell r="A4789">
            <v>132494</v>
          </cell>
          <cell r="B4789" t="str">
            <v>3102476-3</v>
          </cell>
        </row>
        <row r="4790">
          <cell r="A4790">
            <v>132495</v>
          </cell>
          <cell r="B4790" t="str">
            <v>3102476-4</v>
          </cell>
        </row>
        <row r="4791">
          <cell r="A4791">
            <v>132512</v>
          </cell>
          <cell r="B4791" t="str">
            <v>897205-3</v>
          </cell>
        </row>
        <row r="4792">
          <cell r="A4792">
            <v>132513</v>
          </cell>
          <cell r="B4792" t="str">
            <v>897205-4</v>
          </cell>
        </row>
        <row r="4793">
          <cell r="A4793">
            <v>132493</v>
          </cell>
          <cell r="B4793" t="str">
            <v>3102476-1</v>
          </cell>
        </row>
        <row r="4794">
          <cell r="A4794">
            <v>132496</v>
          </cell>
          <cell r="B4794" t="str">
            <v>3102476-7</v>
          </cell>
        </row>
        <row r="4795">
          <cell r="A4795">
            <v>132497</v>
          </cell>
          <cell r="B4795" t="str">
            <v>897069-3</v>
          </cell>
        </row>
        <row r="4796">
          <cell r="A4796">
            <v>132510</v>
          </cell>
          <cell r="B4796" t="str">
            <v>3102476-5</v>
          </cell>
        </row>
        <row r="4797">
          <cell r="A4797">
            <v>132511</v>
          </cell>
          <cell r="B4797" t="str">
            <v>3102476-6</v>
          </cell>
        </row>
        <row r="4798">
          <cell r="A4798">
            <v>132490</v>
          </cell>
          <cell r="B4798" t="str">
            <v>3060735-6</v>
          </cell>
        </row>
        <row r="4799">
          <cell r="A4799">
            <v>132492</v>
          </cell>
          <cell r="B4799" t="str">
            <v>3074135-3</v>
          </cell>
        </row>
        <row r="4800">
          <cell r="A4800">
            <v>132499</v>
          </cell>
          <cell r="B4800" t="str">
            <v>3060735-2</v>
          </cell>
        </row>
        <row r="4801">
          <cell r="A4801">
            <v>132501</v>
          </cell>
          <cell r="B4801" t="str">
            <v>3060735-4</v>
          </cell>
        </row>
        <row r="4802">
          <cell r="A4802">
            <v>132503</v>
          </cell>
          <cell r="B4802" t="str">
            <v>3060735-7</v>
          </cell>
        </row>
        <row r="4803">
          <cell r="A4803">
            <v>132505</v>
          </cell>
          <cell r="B4803" t="str">
            <v>3074135-2</v>
          </cell>
        </row>
        <row r="4804">
          <cell r="A4804">
            <v>132500</v>
          </cell>
          <cell r="B4804" t="str">
            <v>3060735-3</v>
          </cell>
        </row>
        <row r="4805">
          <cell r="A4805">
            <v>132507</v>
          </cell>
          <cell r="B4805" t="str">
            <v>3074135-5</v>
          </cell>
        </row>
        <row r="4806">
          <cell r="A4806">
            <v>132514</v>
          </cell>
          <cell r="B4806" t="str">
            <v>897476-8</v>
          </cell>
        </row>
        <row r="4807">
          <cell r="A4807">
            <v>133263</v>
          </cell>
          <cell r="B4807" t="str">
            <v>3103841-1</v>
          </cell>
        </row>
        <row r="4808">
          <cell r="A4808">
            <v>133265</v>
          </cell>
          <cell r="B4808" t="str">
            <v>3103843-1</v>
          </cell>
        </row>
        <row r="4809">
          <cell r="A4809">
            <v>133264</v>
          </cell>
          <cell r="B4809" t="str">
            <v>3103841-2</v>
          </cell>
        </row>
        <row r="4810">
          <cell r="A4810">
            <v>133262</v>
          </cell>
          <cell r="B4810" t="str">
            <v>3103842-1</v>
          </cell>
        </row>
        <row r="4811">
          <cell r="A4811">
            <v>133386</v>
          </cell>
          <cell r="B4811" t="str">
            <v>3255434-1</v>
          </cell>
        </row>
        <row r="4812">
          <cell r="A4812">
            <v>133449</v>
          </cell>
          <cell r="B4812" t="str">
            <v>3070821-3</v>
          </cell>
        </row>
        <row r="4813">
          <cell r="A4813">
            <v>134596</v>
          </cell>
          <cell r="B4813">
            <v>2610679</v>
          </cell>
        </row>
        <row r="4814">
          <cell r="A4814">
            <v>134597</v>
          </cell>
          <cell r="B4814">
            <v>2610684</v>
          </cell>
        </row>
        <row r="4815">
          <cell r="A4815">
            <v>134708</v>
          </cell>
          <cell r="B4815" t="str">
            <v>012585-6//UF</v>
          </cell>
        </row>
        <row r="4816">
          <cell r="A4816">
            <v>134710</v>
          </cell>
          <cell r="B4816" t="str">
            <v>012644-2</v>
          </cell>
        </row>
        <row r="4817">
          <cell r="A4817">
            <v>134717</v>
          </cell>
          <cell r="B4817" t="str">
            <v>011387-5</v>
          </cell>
        </row>
        <row r="4818">
          <cell r="A4818">
            <v>134719</v>
          </cell>
          <cell r="B4818" t="str">
            <v>189177-10</v>
          </cell>
        </row>
        <row r="4819">
          <cell r="A4819">
            <v>134700</v>
          </cell>
          <cell r="B4819" t="str">
            <v>011387-22</v>
          </cell>
        </row>
        <row r="4820">
          <cell r="A4820">
            <v>134707</v>
          </cell>
          <cell r="B4820" t="str">
            <v>012585-4//UF</v>
          </cell>
        </row>
        <row r="4821">
          <cell r="A4821">
            <v>134718</v>
          </cell>
          <cell r="B4821" t="str">
            <v>177664-4</v>
          </cell>
        </row>
        <row r="4822">
          <cell r="A4822">
            <v>134725</v>
          </cell>
          <cell r="B4822" t="str">
            <v>156990-3</v>
          </cell>
        </row>
        <row r="4823">
          <cell r="A4823">
            <v>134704</v>
          </cell>
          <cell r="B4823" t="str">
            <v>012585-6</v>
          </cell>
        </row>
        <row r="4824">
          <cell r="A4824">
            <v>134706</v>
          </cell>
          <cell r="B4824" t="str">
            <v>011387-3//UF</v>
          </cell>
        </row>
        <row r="4825">
          <cell r="A4825">
            <v>134721</v>
          </cell>
          <cell r="B4825" t="str">
            <v>185790-1</v>
          </cell>
        </row>
        <row r="4826">
          <cell r="A4826">
            <v>134723</v>
          </cell>
          <cell r="B4826" t="str">
            <v>189177-13</v>
          </cell>
        </row>
        <row r="4827">
          <cell r="A4827">
            <v>134696</v>
          </cell>
          <cell r="B4827" t="str">
            <v>012644-1</v>
          </cell>
        </row>
        <row r="4828">
          <cell r="A4828">
            <v>134697</v>
          </cell>
          <cell r="B4828" t="str">
            <v>012644-4</v>
          </cell>
        </row>
        <row r="4829">
          <cell r="A4829">
            <v>134711</v>
          </cell>
          <cell r="B4829" t="str">
            <v>163406-2</v>
          </cell>
        </row>
        <row r="4830">
          <cell r="A4830">
            <v>134714</v>
          </cell>
          <cell r="B4830" t="str">
            <v>012644-6</v>
          </cell>
        </row>
        <row r="4831">
          <cell r="A4831">
            <v>134715</v>
          </cell>
          <cell r="B4831" t="str">
            <v>012644-8</v>
          </cell>
        </row>
        <row r="4832">
          <cell r="A4832">
            <v>134728</v>
          </cell>
          <cell r="B4832" t="str">
            <v>011387-5//UF</v>
          </cell>
        </row>
        <row r="4833">
          <cell r="A4833">
            <v>134729</v>
          </cell>
          <cell r="B4833" t="str">
            <v>011387-4//UF</v>
          </cell>
        </row>
        <row r="4834">
          <cell r="A4834">
            <v>134703</v>
          </cell>
          <cell r="B4834" t="str">
            <v>012585-4</v>
          </cell>
        </row>
        <row r="4835">
          <cell r="A4835">
            <v>134705</v>
          </cell>
          <cell r="B4835" t="str">
            <v>012644-7</v>
          </cell>
        </row>
        <row r="4836">
          <cell r="A4836">
            <v>134720</v>
          </cell>
          <cell r="B4836" t="str">
            <v>156976-1</v>
          </cell>
        </row>
        <row r="4837">
          <cell r="A4837">
            <v>134722</v>
          </cell>
          <cell r="B4837" t="str">
            <v>116350-3</v>
          </cell>
        </row>
        <row r="4838">
          <cell r="A4838">
            <v>134698</v>
          </cell>
          <cell r="B4838" t="str">
            <v>012644-5</v>
          </cell>
        </row>
        <row r="4839">
          <cell r="A4839">
            <v>134712</v>
          </cell>
          <cell r="B4839" t="str">
            <v>211074-1</v>
          </cell>
        </row>
        <row r="4840">
          <cell r="A4840">
            <v>134713</v>
          </cell>
          <cell r="B4840" t="str">
            <v>012644-3</v>
          </cell>
        </row>
        <row r="4841">
          <cell r="A4841">
            <v>134702</v>
          </cell>
          <cell r="B4841" t="str">
            <v>012585-3</v>
          </cell>
        </row>
        <row r="4842">
          <cell r="A4842">
            <v>134709</v>
          </cell>
          <cell r="B4842" t="str">
            <v>012585-3//UF</v>
          </cell>
        </row>
        <row r="4843">
          <cell r="A4843">
            <v>134716</v>
          </cell>
          <cell r="B4843" t="str">
            <v>012644-9</v>
          </cell>
        </row>
        <row r="4844">
          <cell r="A4844">
            <v>134727</v>
          </cell>
          <cell r="B4844" t="str">
            <v>012644-2//UF</v>
          </cell>
        </row>
        <row r="4845">
          <cell r="A4845">
            <v>134699</v>
          </cell>
          <cell r="B4845" t="str">
            <v>198310-9</v>
          </cell>
        </row>
        <row r="4846">
          <cell r="A4846">
            <v>134701</v>
          </cell>
          <cell r="B4846" t="str">
            <v>156989-1</v>
          </cell>
        </row>
        <row r="4847">
          <cell r="A4847">
            <v>134724</v>
          </cell>
          <cell r="B4847" t="str">
            <v>92509017-1</v>
          </cell>
        </row>
        <row r="4848">
          <cell r="A4848">
            <v>134726</v>
          </cell>
          <cell r="B4848" t="str">
            <v>012644-1//UF</v>
          </cell>
        </row>
        <row r="4849">
          <cell r="A4849">
            <v>134598</v>
          </cell>
          <cell r="B4849" t="str">
            <v>63241673-2</v>
          </cell>
        </row>
        <row r="4850">
          <cell r="A4850">
            <v>135068</v>
          </cell>
          <cell r="B4850" t="str">
            <v>1017528-1</v>
          </cell>
        </row>
        <row r="4851">
          <cell r="A4851">
            <v>135069</v>
          </cell>
          <cell r="B4851" t="str">
            <v>185160-1</v>
          </cell>
        </row>
        <row r="4852">
          <cell r="A4852">
            <v>135070</v>
          </cell>
          <cell r="B4852" t="str">
            <v>185246-1</v>
          </cell>
        </row>
        <row r="4853">
          <cell r="A4853">
            <v>135071</v>
          </cell>
          <cell r="B4853" t="str">
            <v>185274-1</v>
          </cell>
        </row>
        <row r="4854">
          <cell r="A4854">
            <v>135072</v>
          </cell>
          <cell r="B4854" t="str">
            <v>4245797-1</v>
          </cell>
        </row>
        <row r="4855">
          <cell r="A4855">
            <v>135073</v>
          </cell>
          <cell r="B4855" t="str">
            <v>4244797-1</v>
          </cell>
        </row>
        <row r="4856">
          <cell r="A4856">
            <v>135570</v>
          </cell>
          <cell r="B4856" t="str">
            <v>3176973-2</v>
          </cell>
        </row>
        <row r="4857">
          <cell r="A4857">
            <v>135572</v>
          </cell>
          <cell r="B4857" t="str">
            <v>7205712-1</v>
          </cell>
        </row>
        <row r="4858">
          <cell r="A4858">
            <v>135595</v>
          </cell>
          <cell r="B4858" t="str">
            <v>3182105-3</v>
          </cell>
        </row>
        <row r="4859">
          <cell r="A4859">
            <v>135597</v>
          </cell>
          <cell r="B4859">
            <v>2718954</v>
          </cell>
        </row>
        <row r="4860">
          <cell r="A4860">
            <v>135577</v>
          </cell>
          <cell r="B4860" t="str">
            <v>4084068-902</v>
          </cell>
        </row>
        <row r="4861">
          <cell r="A4861">
            <v>135579</v>
          </cell>
          <cell r="B4861" t="str">
            <v>3182364-1</v>
          </cell>
        </row>
        <row r="4862">
          <cell r="A4862">
            <v>135586</v>
          </cell>
          <cell r="B4862" t="str">
            <v>3252985-1</v>
          </cell>
        </row>
        <row r="4863">
          <cell r="A4863">
            <v>135588</v>
          </cell>
          <cell r="B4863" t="str">
            <v>540-0600-1</v>
          </cell>
        </row>
        <row r="4864">
          <cell r="A4864">
            <v>135574</v>
          </cell>
          <cell r="B4864" t="str">
            <v>550-0131-1</v>
          </cell>
        </row>
        <row r="4865">
          <cell r="A4865">
            <v>135576</v>
          </cell>
          <cell r="B4865" t="str">
            <v>4084068-901</v>
          </cell>
        </row>
        <row r="4866">
          <cell r="A4866">
            <v>135589</v>
          </cell>
          <cell r="B4866" t="str">
            <v>7082028-1</v>
          </cell>
        </row>
        <row r="4867">
          <cell r="A4867">
            <v>135591</v>
          </cell>
          <cell r="B4867" t="str">
            <v>3182364-2</v>
          </cell>
        </row>
        <row r="4868">
          <cell r="A4868">
            <v>135593</v>
          </cell>
          <cell r="B4868" t="str">
            <v>3179543-6</v>
          </cell>
        </row>
        <row r="4869">
          <cell r="A4869">
            <v>135581</v>
          </cell>
          <cell r="B4869" t="str">
            <v>3177402-2</v>
          </cell>
        </row>
        <row r="4870">
          <cell r="A4870">
            <v>135582</v>
          </cell>
          <cell r="B4870" t="str">
            <v>3177402-3</v>
          </cell>
        </row>
        <row r="4871">
          <cell r="A4871">
            <v>135599</v>
          </cell>
          <cell r="B4871" t="str">
            <v>3255435-1</v>
          </cell>
        </row>
        <row r="4872">
          <cell r="A4872">
            <v>135600</v>
          </cell>
          <cell r="B4872" t="str">
            <v>51090658-001</v>
          </cell>
        </row>
        <row r="4873">
          <cell r="A4873">
            <v>135571</v>
          </cell>
          <cell r="B4873" t="str">
            <v>7205752-1</v>
          </cell>
        </row>
        <row r="4874">
          <cell r="A4874">
            <v>135578</v>
          </cell>
          <cell r="B4874" t="str">
            <v>3185820-1</v>
          </cell>
        </row>
        <row r="4875">
          <cell r="A4875">
            <v>135585</v>
          </cell>
          <cell r="B4875" t="str">
            <v>3238215-3</v>
          </cell>
        </row>
        <row r="4876">
          <cell r="A4876">
            <v>135596</v>
          </cell>
          <cell r="B4876">
            <v>2718026</v>
          </cell>
        </row>
        <row r="4877">
          <cell r="A4877">
            <v>135583</v>
          </cell>
          <cell r="B4877" t="str">
            <v>3180686-1</v>
          </cell>
        </row>
        <row r="4878">
          <cell r="A4878">
            <v>135584</v>
          </cell>
          <cell r="B4878" t="str">
            <v>3182364-4</v>
          </cell>
        </row>
        <row r="4879">
          <cell r="A4879">
            <v>135598</v>
          </cell>
          <cell r="B4879" t="str">
            <v>3181483-1</v>
          </cell>
        </row>
        <row r="4880">
          <cell r="A4880">
            <v>135601</v>
          </cell>
          <cell r="B4880" t="str">
            <v>51090656-001</v>
          </cell>
        </row>
        <row r="4881">
          <cell r="A4881">
            <v>135573</v>
          </cell>
          <cell r="B4881" t="str">
            <v>3175255-1</v>
          </cell>
        </row>
        <row r="4882">
          <cell r="A4882">
            <v>135575</v>
          </cell>
          <cell r="B4882" t="str">
            <v>7206062-1</v>
          </cell>
        </row>
        <row r="4883">
          <cell r="A4883">
            <v>135590</v>
          </cell>
          <cell r="B4883" t="str">
            <v>7082155-1</v>
          </cell>
        </row>
        <row r="4884">
          <cell r="A4884">
            <v>135592</v>
          </cell>
          <cell r="B4884" t="str">
            <v>3178447-2</v>
          </cell>
        </row>
        <row r="4885">
          <cell r="A4885">
            <v>135580</v>
          </cell>
          <cell r="B4885" t="str">
            <v>2714252-1</v>
          </cell>
        </row>
        <row r="4886">
          <cell r="A4886">
            <v>135587</v>
          </cell>
          <cell r="B4886" t="str">
            <v>3252985-2</v>
          </cell>
        </row>
        <row r="4887">
          <cell r="A4887">
            <v>135594</v>
          </cell>
          <cell r="B4887" t="str">
            <v>3179543-2</v>
          </cell>
        </row>
        <row r="4888">
          <cell r="A4888"/>
        </row>
        <row r="4889">
          <cell r="A4889"/>
        </row>
        <row r="4890">
          <cell r="A4890"/>
        </row>
        <row r="4891">
          <cell r="A4891"/>
        </row>
        <row r="4892">
          <cell r="A4892"/>
        </row>
        <row r="4893">
          <cell r="A4893"/>
        </row>
        <row r="4894">
          <cell r="A4894"/>
        </row>
        <row r="4895">
          <cell r="A4895"/>
        </row>
        <row r="4896">
          <cell r="A4896"/>
        </row>
        <row r="4897">
          <cell r="A4897"/>
        </row>
        <row r="4898">
          <cell r="A4898"/>
        </row>
        <row r="4899">
          <cell r="A4899"/>
        </row>
        <row r="4900">
          <cell r="A4900"/>
        </row>
        <row r="4901">
          <cell r="A4901"/>
        </row>
        <row r="4902">
          <cell r="A4902"/>
        </row>
        <row r="4903">
          <cell r="A4903"/>
        </row>
        <row r="4904">
          <cell r="A4904"/>
        </row>
        <row r="4905">
          <cell r="A4905"/>
        </row>
        <row r="4906">
          <cell r="A4906"/>
        </row>
        <row r="4907">
          <cell r="A4907"/>
        </row>
        <row r="4908">
          <cell r="A4908"/>
        </row>
        <row r="4909">
          <cell r="A4909"/>
        </row>
        <row r="4910">
          <cell r="A4910"/>
        </row>
        <row r="4911">
          <cell r="A4911"/>
        </row>
        <row r="4912">
          <cell r="A4912"/>
        </row>
        <row r="4913">
          <cell r="A4913"/>
        </row>
        <row r="4914">
          <cell r="A4914"/>
        </row>
        <row r="4915">
          <cell r="A4915"/>
        </row>
        <row r="4916">
          <cell r="A4916"/>
        </row>
        <row r="4917">
          <cell r="A4917"/>
        </row>
        <row r="4918">
          <cell r="A4918"/>
        </row>
        <row r="4919">
          <cell r="A4919"/>
        </row>
        <row r="4920">
          <cell r="A4920"/>
        </row>
        <row r="4921">
          <cell r="A4921"/>
        </row>
        <row r="4922">
          <cell r="A4922"/>
        </row>
        <row r="4923">
          <cell r="A4923"/>
        </row>
        <row r="4924">
          <cell r="A4924"/>
        </row>
        <row r="4925">
          <cell r="A4925"/>
        </row>
        <row r="4926">
          <cell r="A4926"/>
        </row>
        <row r="4927">
          <cell r="A4927"/>
        </row>
        <row r="4928">
          <cell r="A4928"/>
        </row>
        <row r="4929">
          <cell r="A4929"/>
        </row>
        <row r="4930">
          <cell r="A4930"/>
        </row>
        <row r="4931">
          <cell r="A4931"/>
        </row>
        <row r="4932">
          <cell r="A4932"/>
        </row>
        <row r="4933">
          <cell r="A4933"/>
        </row>
        <row r="4934">
          <cell r="A4934"/>
        </row>
        <row r="4935">
          <cell r="A4935"/>
        </row>
        <row r="4936">
          <cell r="A4936"/>
        </row>
        <row r="4937">
          <cell r="A4937"/>
          <cell r="B4937"/>
        </row>
        <row r="4938">
          <cell r="A4938"/>
          <cell r="B4938"/>
        </row>
        <row r="4939">
          <cell r="A4939"/>
          <cell r="B4939"/>
        </row>
        <row r="4940">
          <cell r="A4940"/>
          <cell r="B4940"/>
        </row>
        <row r="4941">
          <cell r="A4941"/>
          <cell r="B4941"/>
        </row>
        <row r="4942">
          <cell r="A4942"/>
          <cell r="B4942"/>
        </row>
        <row r="4943">
          <cell r="A4943"/>
          <cell r="B4943"/>
        </row>
        <row r="4944">
          <cell r="A4944"/>
          <cell r="B4944"/>
        </row>
        <row r="4945">
          <cell r="A4945"/>
          <cell r="B4945"/>
        </row>
        <row r="4946">
          <cell r="A4946"/>
          <cell r="B4946"/>
        </row>
        <row r="4947">
          <cell r="A4947"/>
          <cell r="B4947"/>
        </row>
        <row r="4948">
          <cell r="A4948"/>
          <cell r="B4948"/>
        </row>
        <row r="4949">
          <cell r="A4949"/>
          <cell r="B4949"/>
        </row>
        <row r="4950">
          <cell r="A4950"/>
          <cell r="B4950"/>
        </row>
        <row r="4951">
          <cell r="A4951"/>
          <cell r="B4951"/>
        </row>
        <row r="4952">
          <cell r="A4952"/>
          <cell r="B4952"/>
        </row>
        <row r="4953">
          <cell r="A4953"/>
          <cell r="B4953"/>
        </row>
        <row r="4954">
          <cell r="A4954"/>
          <cell r="B4954"/>
        </row>
        <row r="4955">
          <cell r="A4955"/>
          <cell r="B4955"/>
        </row>
        <row r="4956">
          <cell r="A4956"/>
          <cell r="B4956"/>
        </row>
        <row r="4957">
          <cell r="A4957"/>
          <cell r="B4957"/>
        </row>
        <row r="4958">
          <cell r="A4958"/>
          <cell r="B4958"/>
        </row>
        <row r="4959">
          <cell r="A4959"/>
          <cell r="B4959"/>
        </row>
        <row r="4960">
          <cell r="A4960"/>
          <cell r="B4960"/>
        </row>
        <row r="4961">
          <cell r="A4961"/>
          <cell r="B4961"/>
        </row>
        <row r="4962">
          <cell r="A4962"/>
          <cell r="B4962"/>
        </row>
        <row r="4963">
          <cell r="A4963"/>
          <cell r="B4963"/>
        </row>
        <row r="4964">
          <cell r="A4964"/>
          <cell r="B4964"/>
        </row>
        <row r="4965">
          <cell r="A4965"/>
          <cell r="B4965"/>
        </row>
        <row r="4966">
          <cell r="A4966"/>
          <cell r="B4966"/>
        </row>
        <row r="4967">
          <cell r="A4967"/>
          <cell r="B4967"/>
        </row>
        <row r="4968">
          <cell r="A4968"/>
          <cell r="B4968"/>
        </row>
        <row r="4969">
          <cell r="A4969"/>
          <cell r="B4969"/>
        </row>
        <row r="4970">
          <cell r="A4970"/>
          <cell r="B4970"/>
        </row>
        <row r="4971">
          <cell r="A4971"/>
          <cell r="B4971"/>
        </row>
        <row r="4972">
          <cell r="A4972"/>
          <cell r="B4972"/>
        </row>
        <row r="4973">
          <cell r="A4973"/>
          <cell r="B4973"/>
        </row>
        <row r="4974">
          <cell r="A4974"/>
          <cell r="B4974"/>
        </row>
        <row r="4975">
          <cell r="A4975"/>
          <cell r="B4975"/>
        </row>
        <row r="4976">
          <cell r="A4976"/>
          <cell r="B4976"/>
        </row>
        <row r="4977">
          <cell r="A4977"/>
          <cell r="B4977"/>
        </row>
        <row r="4978">
          <cell r="A4978"/>
          <cell r="B4978"/>
        </row>
        <row r="4979">
          <cell r="A4979"/>
          <cell r="B4979"/>
        </row>
        <row r="4980">
          <cell r="A4980"/>
          <cell r="B4980"/>
        </row>
        <row r="4981">
          <cell r="A4981"/>
          <cell r="B4981"/>
        </row>
        <row r="4982">
          <cell r="A4982"/>
          <cell r="B4982"/>
        </row>
        <row r="4983">
          <cell r="A4983"/>
          <cell r="B4983"/>
        </row>
        <row r="4984">
          <cell r="A4984"/>
          <cell r="B4984"/>
        </row>
        <row r="4985">
          <cell r="A4985"/>
          <cell r="B4985"/>
        </row>
        <row r="4986">
          <cell r="A4986"/>
          <cell r="B4986"/>
        </row>
        <row r="4987">
          <cell r="A4987"/>
          <cell r="B4987"/>
        </row>
        <row r="4988">
          <cell r="A4988"/>
          <cell r="B4988"/>
        </row>
        <row r="4989">
          <cell r="A4989"/>
          <cell r="B4989"/>
        </row>
        <row r="4990">
          <cell r="A4990"/>
          <cell r="B4990"/>
        </row>
        <row r="4991">
          <cell r="A4991"/>
          <cell r="B4991"/>
        </row>
        <row r="4992">
          <cell r="A4992"/>
          <cell r="B4992"/>
        </row>
        <row r="4993">
          <cell r="A4993"/>
          <cell r="B4993"/>
        </row>
        <row r="4994">
          <cell r="A4994"/>
          <cell r="B4994"/>
        </row>
        <row r="4995">
          <cell r="A4995"/>
          <cell r="B4995"/>
        </row>
        <row r="4996">
          <cell r="A4996"/>
          <cell r="B4996"/>
        </row>
        <row r="4997">
          <cell r="A4997"/>
          <cell r="B4997"/>
        </row>
        <row r="4998">
          <cell r="A4998"/>
          <cell r="B4998"/>
        </row>
        <row r="4999">
          <cell r="A4999"/>
          <cell r="B4999"/>
        </row>
        <row r="5000">
          <cell r="A5000"/>
          <cell r="B5000"/>
        </row>
        <row r="5001">
          <cell r="A5001"/>
          <cell r="B5001"/>
        </row>
        <row r="5002">
          <cell r="A5002"/>
          <cell r="B5002"/>
        </row>
        <row r="5003">
          <cell r="A5003"/>
          <cell r="B5003"/>
        </row>
        <row r="5004">
          <cell r="A5004"/>
          <cell r="B5004"/>
        </row>
        <row r="5005">
          <cell r="A5005"/>
          <cell r="B5005"/>
        </row>
        <row r="5006">
          <cell r="A5006"/>
          <cell r="B5006"/>
        </row>
        <row r="5007">
          <cell r="A5007"/>
          <cell r="B5007"/>
        </row>
        <row r="5008">
          <cell r="A5008"/>
          <cell r="B5008"/>
        </row>
        <row r="5009">
          <cell r="A5009"/>
          <cell r="B5009"/>
        </row>
        <row r="5010">
          <cell r="A5010"/>
          <cell r="B5010"/>
        </row>
        <row r="5011">
          <cell r="A5011"/>
          <cell r="B5011"/>
        </row>
        <row r="5012">
          <cell r="A5012"/>
          <cell r="B5012"/>
        </row>
        <row r="5013">
          <cell r="A5013"/>
          <cell r="B5013"/>
        </row>
        <row r="5014">
          <cell r="A5014"/>
          <cell r="B5014"/>
        </row>
        <row r="5015">
          <cell r="A5015"/>
          <cell r="B5015"/>
        </row>
        <row r="5016">
          <cell r="A5016"/>
          <cell r="B5016"/>
        </row>
        <row r="5017">
          <cell r="A5017"/>
          <cell r="B5017"/>
        </row>
        <row r="5018">
          <cell r="A5018"/>
          <cell r="B5018"/>
        </row>
        <row r="5019">
          <cell r="A5019"/>
          <cell r="B5019"/>
        </row>
        <row r="5020">
          <cell r="A5020"/>
          <cell r="B5020"/>
        </row>
        <row r="5021">
          <cell r="A5021"/>
          <cell r="B5021"/>
        </row>
        <row r="5022">
          <cell r="A5022"/>
          <cell r="B5022"/>
        </row>
        <row r="5023">
          <cell r="A5023"/>
          <cell r="B5023"/>
        </row>
        <row r="5024">
          <cell r="A5024"/>
          <cell r="B5024"/>
        </row>
        <row r="5025">
          <cell r="A5025"/>
          <cell r="B5025"/>
        </row>
        <row r="5026">
          <cell r="A5026"/>
          <cell r="B5026"/>
        </row>
        <row r="5027">
          <cell r="A5027"/>
          <cell r="B5027"/>
        </row>
        <row r="5028">
          <cell r="A5028"/>
          <cell r="B5028"/>
        </row>
        <row r="5029">
          <cell r="A5029"/>
          <cell r="B5029"/>
        </row>
        <row r="5030">
          <cell r="A5030"/>
          <cell r="B5030"/>
        </row>
        <row r="5031">
          <cell r="A5031"/>
          <cell r="B5031"/>
        </row>
        <row r="5032">
          <cell r="A5032"/>
          <cell r="B5032"/>
        </row>
        <row r="5033">
          <cell r="A5033"/>
          <cell r="B5033"/>
        </row>
        <row r="5034">
          <cell r="A5034"/>
          <cell r="B5034"/>
        </row>
        <row r="5035">
          <cell r="A5035"/>
          <cell r="B5035"/>
        </row>
        <row r="5036">
          <cell r="A5036"/>
          <cell r="B5036"/>
        </row>
        <row r="5037">
          <cell r="A5037"/>
          <cell r="B5037"/>
        </row>
        <row r="5038">
          <cell r="A5038"/>
          <cell r="B5038"/>
        </row>
        <row r="5039">
          <cell r="A5039"/>
          <cell r="B5039"/>
        </row>
        <row r="5040">
          <cell r="A5040"/>
          <cell r="B5040"/>
        </row>
        <row r="5041">
          <cell r="A5041"/>
          <cell r="B5041"/>
        </row>
        <row r="5042">
          <cell r="A5042"/>
          <cell r="B5042"/>
        </row>
        <row r="5043">
          <cell r="A5043"/>
          <cell r="B5043"/>
        </row>
        <row r="5044">
          <cell r="A5044"/>
          <cell r="B5044"/>
        </row>
        <row r="5045">
          <cell r="A5045"/>
          <cell r="B5045"/>
        </row>
        <row r="5046">
          <cell r="A5046"/>
          <cell r="B5046"/>
        </row>
        <row r="5047">
          <cell r="A5047"/>
          <cell r="B5047"/>
        </row>
        <row r="5048">
          <cell r="A5048"/>
          <cell r="B5048"/>
        </row>
        <row r="5049">
          <cell r="A5049"/>
          <cell r="B5049"/>
        </row>
        <row r="5050">
          <cell r="A5050"/>
          <cell r="B5050"/>
        </row>
        <row r="5051">
          <cell r="A5051"/>
          <cell r="B5051"/>
        </row>
        <row r="5052">
          <cell r="A5052"/>
          <cell r="B5052"/>
        </row>
        <row r="5053">
          <cell r="A5053"/>
          <cell r="B5053"/>
        </row>
        <row r="5054">
          <cell r="A5054"/>
          <cell r="B5054"/>
        </row>
        <row r="5055">
          <cell r="A5055"/>
          <cell r="B5055"/>
        </row>
        <row r="5056">
          <cell r="A5056"/>
          <cell r="B5056"/>
        </row>
        <row r="5057">
          <cell r="A5057"/>
          <cell r="B5057"/>
        </row>
        <row r="5058">
          <cell r="A5058"/>
          <cell r="B5058"/>
        </row>
        <row r="5059">
          <cell r="A5059"/>
          <cell r="B5059"/>
        </row>
        <row r="5060">
          <cell r="A5060"/>
          <cell r="B5060"/>
        </row>
        <row r="5061">
          <cell r="A5061"/>
          <cell r="B5061"/>
        </row>
        <row r="5062">
          <cell r="A5062"/>
          <cell r="B5062"/>
        </row>
        <row r="5063">
          <cell r="A5063"/>
          <cell r="B5063"/>
        </row>
        <row r="5064">
          <cell r="A5064"/>
          <cell r="B5064"/>
        </row>
        <row r="5065">
          <cell r="A5065"/>
          <cell r="B5065"/>
        </row>
        <row r="5066">
          <cell r="A5066"/>
          <cell r="B5066"/>
        </row>
        <row r="5067">
          <cell r="A5067"/>
          <cell r="B5067"/>
        </row>
        <row r="5068">
          <cell r="A5068"/>
          <cell r="B5068"/>
        </row>
        <row r="5069">
          <cell r="A5069"/>
          <cell r="B5069"/>
        </row>
        <row r="5070">
          <cell r="A5070"/>
          <cell r="B5070"/>
        </row>
        <row r="5071">
          <cell r="A5071"/>
          <cell r="B5071"/>
        </row>
        <row r="5072">
          <cell r="A5072"/>
          <cell r="B5072"/>
        </row>
        <row r="5073">
          <cell r="A5073"/>
          <cell r="B5073"/>
        </row>
        <row r="5074">
          <cell r="A5074"/>
          <cell r="B5074"/>
        </row>
        <row r="5075">
          <cell r="A5075"/>
          <cell r="B5075"/>
        </row>
        <row r="5076">
          <cell r="A5076"/>
          <cell r="B5076"/>
        </row>
        <row r="5077">
          <cell r="A5077"/>
          <cell r="B5077"/>
        </row>
        <row r="5078">
          <cell r="A5078"/>
          <cell r="B5078"/>
        </row>
        <row r="5079">
          <cell r="A5079"/>
          <cell r="B5079"/>
        </row>
        <row r="5080">
          <cell r="A5080"/>
          <cell r="B5080"/>
        </row>
        <row r="5081">
          <cell r="A5081"/>
          <cell r="B5081"/>
        </row>
        <row r="5082">
          <cell r="A5082"/>
          <cell r="B5082"/>
        </row>
        <row r="5083">
          <cell r="A5083"/>
          <cell r="B5083"/>
        </row>
        <row r="5084">
          <cell r="A5084"/>
          <cell r="B5084"/>
        </row>
        <row r="5085">
          <cell r="A5085"/>
          <cell r="B5085"/>
        </row>
        <row r="5086">
          <cell r="A5086"/>
          <cell r="B5086"/>
        </row>
        <row r="5087">
          <cell r="A5087"/>
          <cell r="B5087"/>
        </row>
        <row r="5088">
          <cell r="A5088"/>
          <cell r="B5088"/>
        </row>
        <row r="5089">
          <cell r="A5089"/>
          <cell r="B5089"/>
        </row>
        <row r="5090">
          <cell r="A5090"/>
          <cell r="B5090"/>
        </row>
        <row r="5091">
          <cell r="A5091"/>
          <cell r="B5091"/>
        </row>
        <row r="5092">
          <cell r="A5092"/>
          <cell r="B5092"/>
        </row>
        <row r="5093">
          <cell r="A5093"/>
          <cell r="B5093"/>
        </row>
        <row r="5094">
          <cell r="A5094"/>
          <cell r="B5094"/>
        </row>
        <row r="5095">
          <cell r="A5095"/>
          <cell r="B5095"/>
        </row>
        <row r="5096">
          <cell r="A5096"/>
          <cell r="B5096"/>
        </row>
        <row r="5097">
          <cell r="A5097"/>
          <cell r="B5097"/>
        </row>
        <row r="5098">
          <cell r="A5098"/>
          <cell r="B5098"/>
        </row>
        <row r="5099">
          <cell r="A5099"/>
          <cell r="B5099"/>
        </row>
        <row r="5100">
          <cell r="A5100"/>
          <cell r="B5100"/>
        </row>
        <row r="5101">
          <cell r="A5101"/>
          <cell r="B5101"/>
        </row>
        <row r="5102">
          <cell r="A5102"/>
          <cell r="B5102"/>
        </row>
        <row r="5103">
          <cell r="A5103"/>
          <cell r="B5103"/>
        </row>
        <row r="5104">
          <cell r="A5104"/>
          <cell r="B5104"/>
        </row>
        <row r="5105">
          <cell r="A5105"/>
          <cell r="B5105"/>
        </row>
        <row r="5106">
          <cell r="A5106"/>
          <cell r="B5106"/>
        </row>
        <row r="5107">
          <cell r="A5107"/>
          <cell r="B5107"/>
        </row>
        <row r="5108">
          <cell r="A5108"/>
          <cell r="B5108"/>
        </row>
        <row r="5109">
          <cell r="A5109"/>
          <cell r="B5109"/>
        </row>
        <row r="5110">
          <cell r="A5110"/>
          <cell r="B5110"/>
        </row>
        <row r="5111">
          <cell r="A5111"/>
          <cell r="B5111"/>
        </row>
        <row r="5112">
          <cell r="A5112"/>
          <cell r="B5112"/>
        </row>
        <row r="5113">
          <cell r="A5113"/>
          <cell r="B5113"/>
        </row>
        <row r="5114">
          <cell r="A5114"/>
          <cell r="B5114"/>
        </row>
        <row r="5115">
          <cell r="A5115"/>
          <cell r="B5115"/>
        </row>
        <row r="5116">
          <cell r="A5116"/>
          <cell r="B5116"/>
        </row>
        <row r="5117">
          <cell r="A5117"/>
          <cell r="B5117"/>
        </row>
        <row r="5118">
          <cell r="A5118"/>
          <cell r="B5118"/>
        </row>
        <row r="5119">
          <cell r="A5119"/>
          <cell r="B5119"/>
        </row>
        <row r="5120">
          <cell r="A5120"/>
          <cell r="B5120"/>
        </row>
        <row r="5121">
          <cell r="A5121"/>
          <cell r="B5121"/>
        </row>
        <row r="5122">
          <cell r="A5122"/>
          <cell r="B5122"/>
        </row>
        <row r="5123">
          <cell r="A5123"/>
          <cell r="B5123"/>
        </row>
        <row r="5124">
          <cell r="A5124"/>
          <cell r="B5124"/>
        </row>
        <row r="5125">
          <cell r="A5125"/>
          <cell r="B5125"/>
        </row>
        <row r="5126">
          <cell r="A5126"/>
          <cell r="B5126"/>
        </row>
        <row r="5127">
          <cell r="A5127"/>
          <cell r="B5127"/>
        </row>
        <row r="5128">
          <cell r="A5128"/>
          <cell r="B5128"/>
        </row>
        <row r="5129">
          <cell r="A5129"/>
          <cell r="B5129"/>
        </row>
        <row r="5130">
          <cell r="A5130"/>
          <cell r="B5130"/>
        </row>
        <row r="5131">
          <cell r="A5131"/>
          <cell r="B5131"/>
        </row>
        <row r="5132">
          <cell r="A5132"/>
          <cell r="B5132"/>
        </row>
        <row r="5133">
          <cell r="A5133"/>
          <cell r="B5133"/>
        </row>
        <row r="5134">
          <cell r="A5134"/>
          <cell r="B5134"/>
        </row>
        <row r="5135">
          <cell r="A5135"/>
          <cell r="B5135"/>
        </row>
        <row r="5136">
          <cell r="A5136"/>
          <cell r="B5136"/>
        </row>
        <row r="5137">
          <cell r="A5137"/>
          <cell r="B5137"/>
        </row>
        <row r="5138">
          <cell r="A5138"/>
          <cell r="B5138"/>
        </row>
        <row r="5139">
          <cell r="A5139"/>
          <cell r="B5139"/>
        </row>
        <row r="5140">
          <cell r="A5140"/>
          <cell r="B5140"/>
        </row>
        <row r="5141">
          <cell r="A5141"/>
          <cell r="B5141"/>
        </row>
        <row r="5142">
          <cell r="A5142"/>
          <cell r="B5142"/>
        </row>
        <row r="5143">
          <cell r="A5143"/>
          <cell r="B5143"/>
        </row>
        <row r="5144">
          <cell r="A5144"/>
          <cell r="B5144"/>
        </row>
        <row r="5145">
          <cell r="A5145"/>
          <cell r="B5145"/>
        </row>
        <row r="5146">
          <cell r="A5146"/>
          <cell r="B5146"/>
        </row>
        <row r="5147">
          <cell r="A5147"/>
          <cell r="B5147"/>
        </row>
        <row r="5148">
          <cell r="A5148"/>
          <cell r="B5148"/>
        </row>
        <row r="5149">
          <cell r="A5149"/>
          <cell r="B5149"/>
        </row>
        <row r="5150">
          <cell r="A5150"/>
          <cell r="B5150"/>
        </row>
        <row r="5151">
          <cell r="A5151"/>
          <cell r="B5151"/>
        </row>
        <row r="5152">
          <cell r="A5152"/>
          <cell r="B5152"/>
        </row>
        <row r="5153">
          <cell r="A5153"/>
          <cell r="B5153"/>
        </row>
        <row r="5154">
          <cell r="A5154"/>
          <cell r="B5154"/>
        </row>
        <row r="5155">
          <cell r="A5155"/>
          <cell r="B5155"/>
        </row>
        <row r="5156">
          <cell r="A5156"/>
          <cell r="B5156"/>
        </row>
        <row r="5157">
          <cell r="A5157"/>
          <cell r="B5157"/>
        </row>
        <row r="5158">
          <cell r="A5158"/>
          <cell r="B5158"/>
        </row>
        <row r="5159">
          <cell r="A5159"/>
          <cell r="B5159"/>
        </row>
        <row r="5160">
          <cell r="A5160"/>
          <cell r="B5160"/>
        </row>
        <row r="5161">
          <cell r="A5161"/>
          <cell r="B5161"/>
        </row>
        <row r="5162">
          <cell r="A5162"/>
          <cell r="B5162"/>
        </row>
        <row r="5163">
          <cell r="A5163"/>
          <cell r="B5163"/>
        </row>
        <row r="5164">
          <cell r="A5164"/>
          <cell r="B5164"/>
        </row>
        <row r="5165">
          <cell r="A5165"/>
          <cell r="B5165"/>
        </row>
        <row r="5166">
          <cell r="A5166"/>
          <cell r="B5166"/>
        </row>
        <row r="5167">
          <cell r="A5167"/>
          <cell r="B5167"/>
        </row>
        <row r="5168">
          <cell r="A5168"/>
          <cell r="B5168"/>
        </row>
        <row r="5169">
          <cell r="A5169"/>
          <cell r="B5169"/>
        </row>
        <row r="5170">
          <cell r="A5170"/>
          <cell r="B5170"/>
        </row>
        <row r="5171">
          <cell r="A5171"/>
          <cell r="B5171"/>
        </row>
        <row r="5172">
          <cell r="A5172"/>
          <cell r="B5172"/>
        </row>
        <row r="5173">
          <cell r="A5173"/>
          <cell r="B5173"/>
        </row>
        <row r="5174">
          <cell r="A5174"/>
          <cell r="B5174"/>
        </row>
        <row r="5175">
          <cell r="A5175"/>
          <cell r="B5175"/>
        </row>
        <row r="5176">
          <cell r="A5176"/>
          <cell r="B5176"/>
        </row>
        <row r="5177">
          <cell r="A5177"/>
          <cell r="B5177"/>
        </row>
        <row r="5178">
          <cell r="A5178"/>
          <cell r="B5178"/>
        </row>
        <row r="5179">
          <cell r="A5179"/>
          <cell r="B5179"/>
        </row>
        <row r="5180">
          <cell r="A5180"/>
          <cell r="B5180"/>
        </row>
        <row r="5181">
          <cell r="A5181"/>
          <cell r="B5181"/>
        </row>
        <row r="5182">
          <cell r="A5182"/>
          <cell r="B5182"/>
        </row>
        <row r="5183">
          <cell r="A5183"/>
          <cell r="B5183"/>
        </row>
        <row r="5184">
          <cell r="A5184"/>
          <cell r="B5184"/>
        </row>
        <row r="5185">
          <cell r="A5185"/>
          <cell r="B5185"/>
        </row>
        <row r="5186">
          <cell r="A5186"/>
          <cell r="B5186"/>
        </row>
        <row r="5187">
          <cell r="A5187"/>
          <cell r="B5187"/>
        </row>
        <row r="5188">
          <cell r="A5188"/>
          <cell r="B5188"/>
        </row>
        <row r="5189">
          <cell r="A5189"/>
          <cell r="B5189"/>
        </row>
        <row r="5190">
          <cell r="A5190"/>
          <cell r="B5190"/>
        </row>
        <row r="5191">
          <cell r="A5191"/>
          <cell r="B5191"/>
        </row>
        <row r="5192">
          <cell r="A5192"/>
          <cell r="B5192"/>
        </row>
        <row r="5193">
          <cell r="A5193"/>
          <cell r="B5193"/>
        </row>
        <row r="5194">
          <cell r="A5194"/>
          <cell r="B5194"/>
        </row>
        <row r="5195">
          <cell r="A5195"/>
          <cell r="B5195"/>
        </row>
        <row r="5196">
          <cell r="A5196"/>
          <cell r="B5196"/>
        </row>
        <row r="5197">
          <cell r="A5197"/>
          <cell r="B5197"/>
        </row>
        <row r="5198">
          <cell r="A5198"/>
          <cell r="B5198"/>
        </row>
        <row r="5199">
          <cell r="A5199"/>
          <cell r="B5199"/>
        </row>
        <row r="5200">
          <cell r="A5200"/>
          <cell r="B5200"/>
        </row>
        <row r="5201">
          <cell r="A5201"/>
          <cell r="B5201"/>
        </row>
        <row r="5202">
          <cell r="A5202"/>
          <cell r="B5202"/>
        </row>
        <row r="5203">
          <cell r="A5203"/>
          <cell r="B5203"/>
        </row>
        <row r="5204">
          <cell r="A5204"/>
          <cell r="B5204"/>
        </row>
        <row r="5205">
          <cell r="A5205"/>
          <cell r="B5205"/>
        </row>
        <row r="5206">
          <cell r="A5206"/>
          <cell r="B5206"/>
        </row>
        <row r="5207">
          <cell r="A5207"/>
          <cell r="B5207"/>
        </row>
        <row r="5208">
          <cell r="A5208"/>
          <cell r="B5208"/>
        </row>
        <row r="5209">
          <cell r="A5209"/>
          <cell r="B5209"/>
        </row>
        <row r="5210">
          <cell r="A5210"/>
          <cell r="B5210"/>
        </row>
        <row r="5211">
          <cell r="A5211"/>
          <cell r="B5211"/>
        </row>
        <row r="5212">
          <cell r="A5212"/>
          <cell r="B5212"/>
        </row>
        <row r="5213">
          <cell r="A5213"/>
          <cell r="B5213"/>
        </row>
        <row r="5214">
          <cell r="A5214"/>
          <cell r="B5214"/>
        </row>
        <row r="5215">
          <cell r="A5215"/>
          <cell r="B5215"/>
        </row>
        <row r="5216">
          <cell r="A5216"/>
          <cell r="B5216"/>
        </row>
        <row r="5217">
          <cell r="A5217"/>
          <cell r="B5217"/>
        </row>
        <row r="5218">
          <cell r="A5218"/>
          <cell r="B5218"/>
        </row>
        <row r="5219">
          <cell r="A5219"/>
          <cell r="B5219"/>
        </row>
        <row r="5220">
          <cell r="A5220"/>
          <cell r="B5220"/>
        </row>
        <row r="5221">
          <cell r="A5221"/>
          <cell r="B5221"/>
        </row>
        <row r="5222">
          <cell r="A5222"/>
          <cell r="B5222"/>
        </row>
        <row r="5223">
          <cell r="A5223"/>
          <cell r="B5223"/>
        </row>
        <row r="5224">
          <cell r="A5224"/>
          <cell r="B5224"/>
        </row>
        <row r="5225">
          <cell r="A5225"/>
          <cell r="B5225"/>
        </row>
        <row r="5226">
          <cell r="A5226"/>
          <cell r="B5226"/>
        </row>
        <row r="5227">
          <cell r="A5227"/>
          <cell r="B5227"/>
        </row>
        <row r="5228">
          <cell r="A5228"/>
          <cell r="B5228"/>
        </row>
        <row r="5229">
          <cell r="A5229"/>
          <cell r="B5229"/>
        </row>
        <row r="5230">
          <cell r="A5230"/>
          <cell r="B5230"/>
        </row>
        <row r="5231">
          <cell r="A5231"/>
          <cell r="B5231"/>
        </row>
        <row r="5232">
          <cell r="A5232"/>
          <cell r="B5232"/>
        </row>
        <row r="5233">
          <cell r="A5233"/>
          <cell r="B5233"/>
        </row>
        <row r="5234">
          <cell r="A5234"/>
          <cell r="B5234"/>
        </row>
        <row r="5235">
          <cell r="A5235"/>
          <cell r="B5235"/>
        </row>
        <row r="5236">
          <cell r="A5236"/>
          <cell r="B5236"/>
        </row>
        <row r="5237">
          <cell r="A5237"/>
          <cell r="B5237"/>
        </row>
        <row r="5238">
          <cell r="A5238"/>
          <cell r="B5238"/>
        </row>
        <row r="5239">
          <cell r="A5239"/>
          <cell r="B5239"/>
        </row>
        <row r="5240">
          <cell r="A5240"/>
          <cell r="B5240"/>
        </row>
        <row r="5241">
          <cell r="A5241"/>
          <cell r="B5241"/>
        </row>
        <row r="5242">
          <cell r="A5242"/>
          <cell r="B5242"/>
        </row>
        <row r="5243">
          <cell r="A5243"/>
          <cell r="B5243"/>
        </row>
        <row r="5244">
          <cell r="A5244"/>
          <cell r="B5244"/>
        </row>
        <row r="5245">
          <cell r="A5245"/>
          <cell r="B5245"/>
        </row>
        <row r="5246">
          <cell r="A5246"/>
          <cell r="B5246"/>
        </row>
        <row r="5247">
          <cell r="A5247"/>
          <cell r="B5247"/>
        </row>
        <row r="5248">
          <cell r="A5248"/>
          <cell r="B5248"/>
        </row>
        <row r="5249">
          <cell r="A5249"/>
          <cell r="B5249"/>
        </row>
        <row r="5250">
          <cell r="A5250"/>
          <cell r="B5250"/>
        </row>
        <row r="5251">
          <cell r="A5251"/>
          <cell r="B5251"/>
        </row>
        <row r="5252">
          <cell r="A5252"/>
          <cell r="B5252"/>
        </row>
        <row r="5253">
          <cell r="A5253"/>
          <cell r="B5253"/>
        </row>
        <row r="5254">
          <cell r="A5254"/>
          <cell r="B5254"/>
        </row>
        <row r="5255">
          <cell r="A5255"/>
          <cell r="B5255"/>
        </row>
        <row r="5256">
          <cell r="A5256"/>
          <cell r="B5256"/>
        </row>
        <row r="5257">
          <cell r="A5257"/>
          <cell r="B5257"/>
        </row>
        <row r="5258">
          <cell r="A5258"/>
          <cell r="B5258"/>
        </row>
        <row r="5259">
          <cell r="A5259"/>
          <cell r="B5259"/>
        </row>
        <row r="5260">
          <cell r="A5260"/>
          <cell r="B5260"/>
        </row>
        <row r="5261">
          <cell r="A5261"/>
          <cell r="B5261"/>
        </row>
        <row r="5262">
          <cell r="A5262"/>
          <cell r="B5262"/>
        </row>
        <row r="5263">
          <cell r="A5263"/>
          <cell r="B5263"/>
        </row>
        <row r="5264">
          <cell r="A5264"/>
          <cell r="B5264"/>
        </row>
        <row r="5265">
          <cell r="A5265"/>
          <cell r="B5265"/>
        </row>
        <row r="5266">
          <cell r="A5266"/>
          <cell r="B5266"/>
        </row>
        <row r="5267">
          <cell r="A5267"/>
          <cell r="B5267"/>
        </row>
        <row r="5268">
          <cell r="A5268"/>
          <cell r="B5268"/>
        </row>
        <row r="5269">
          <cell r="A5269"/>
          <cell r="B5269"/>
        </row>
        <row r="5270">
          <cell r="A5270"/>
          <cell r="B5270"/>
        </row>
        <row r="5271">
          <cell r="A5271"/>
          <cell r="B5271"/>
        </row>
        <row r="5272">
          <cell r="A5272"/>
          <cell r="B5272"/>
        </row>
        <row r="5273">
          <cell r="A5273"/>
          <cell r="B5273"/>
        </row>
        <row r="5274">
          <cell r="A5274"/>
          <cell r="B5274"/>
        </row>
        <row r="5275">
          <cell r="A5275"/>
          <cell r="B5275"/>
        </row>
        <row r="5276">
          <cell r="A5276"/>
          <cell r="B5276"/>
        </row>
        <row r="5277">
          <cell r="A5277"/>
          <cell r="B5277"/>
        </row>
        <row r="5278">
          <cell r="A5278"/>
          <cell r="B5278"/>
        </row>
        <row r="5279">
          <cell r="A5279"/>
          <cell r="B5279"/>
        </row>
        <row r="5280">
          <cell r="A5280"/>
          <cell r="B5280"/>
        </row>
        <row r="5281">
          <cell r="A5281"/>
          <cell r="B5281"/>
        </row>
        <row r="5282">
          <cell r="A5282"/>
          <cell r="B5282"/>
        </row>
        <row r="5283">
          <cell r="A5283"/>
          <cell r="B5283"/>
        </row>
        <row r="5284">
          <cell r="A5284"/>
          <cell r="B5284"/>
        </row>
        <row r="5285">
          <cell r="A5285"/>
          <cell r="B5285"/>
        </row>
        <row r="5286">
          <cell r="A5286"/>
          <cell r="B5286"/>
        </row>
        <row r="5287">
          <cell r="A5287"/>
          <cell r="B5287"/>
        </row>
        <row r="5288">
          <cell r="A5288"/>
          <cell r="B5288"/>
        </row>
        <row r="5289">
          <cell r="A5289"/>
          <cell r="B5289"/>
        </row>
        <row r="5290">
          <cell r="A5290"/>
          <cell r="B5290"/>
        </row>
        <row r="5291">
          <cell r="A5291"/>
          <cell r="B5291"/>
        </row>
        <row r="5292">
          <cell r="A5292"/>
          <cell r="B5292"/>
        </row>
        <row r="5293">
          <cell r="A5293"/>
          <cell r="B5293"/>
        </row>
        <row r="5294">
          <cell r="A5294"/>
          <cell r="B5294"/>
        </row>
        <row r="5295">
          <cell r="A5295"/>
          <cell r="B5295"/>
        </row>
        <row r="5296">
          <cell r="A5296"/>
          <cell r="B5296"/>
        </row>
        <row r="5297">
          <cell r="A5297"/>
          <cell r="B5297"/>
        </row>
        <row r="5298">
          <cell r="A5298"/>
          <cell r="B5298"/>
        </row>
        <row r="5299">
          <cell r="A5299"/>
          <cell r="B5299"/>
        </row>
        <row r="5300">
          <cell r="A5300"/>
          <cell r="B5300"/>
        </row>
        <row r="5301">
          <cell r="A5301"/>
          <cell r="B5301"/>
        </row>
        <row r="5302">
          <cell r="A5302"/>
          <cell r="B5302"/>
        </row>
        <row r="5303">
          <cell r="A5303"/>
          <cell r="B5303"/>
        </row>
        <row r="5304">
          <cell r="A5304"/>
          <cell r="B5304"/>
        </row>
        <row r="5305">
          <cell r="A5305"/>
          <cell r="B5305"/>
        </row>
        <row r="5306">
          <cell r="A5306"/>
          <cell r="B5306"/>
        </row>
        <row r="5307">
          <cell r="A5307"/>
          <cell r="B5307"/>
        </row>
        <row r="5308">
          <cell r="A5308"/>
          <cell r="B5308"/>
        </row>
        <row r="5309">
          <cell r="A5309"/>
          <cell r="B5309"/>
        </row>
        <row r="5310">
          <cell r="A5310"/>
          <cell r="B5310"/>
        </row>
        <row r="5311">
          <cell r="A5311"/>
          <cell r="B5311"/>
        </row>
        <row r="5312">
          <cell r="A5312"/>
          <cell r="B5312"/>
        </row>
        <row r="5313">
          <cell r="A5313"/>
          <cell r="B5313"/>
        </row>
        <row r="5314">
          <cell r="A5314"/>
          <cell r="B5314"/>
        </row>
        <row r="5315">
          <cell r="A5315"/>
          <cell r="B5315"/>
        </row>
        <row r="5316">
          <cell r="A5316"/>
          <cell r="B5316"/>
        </row>
        <row r="5317">
          <cell r="A5317"/>
          <cell r="B5317"/>
        </row>
        <row r="5318">
          <cell r="A5318"/>
          <cell r="B5318"/>
        </row>
        <row r="5319">
          <cell r="A5319"/>
          <cell r="B5319"/>
        </row>
        <row r="5320">
          <cell r="A5320"/>
          <cell r="B5320"/>
        </row>
        <row r="5321">
          <cell r="A5321"/>
          <cell r="B5321"/>
        </row>
        <row r="5322">
          <cell r="A5322"/>
          <cell r="B5322"/>
        </row>
        <row r="5323">
          <cell r="A5323"/>
          <cell r="B5323"/>
        </row>
        <row r="5324">
          <cell r="A5324"/>
          <cell r="B5324"/>
        </row>
        <row r="5325">
          <cell r="A5325"/>
          <cell r="B5325"/>
        </row>
        <row r="5326">
          <cell r="A5326"/>
          <cell r="B5326"/>
        </row>
        <row r="5327">
          <cell r="A5327"/>
          <cell r="B5327"/>
        </row>
        <row r="5328">
          <cell r="A5328"/>
          <cell r="B5328"/>
        </row>
        <row r="5329">
          <cell r="A5329"/>
          <cell r="B5329"/>
        </row>
        <row r="5330">
          <cell r="A5330"/>
          <cell r="B5330"/>
        </row>
        <row r="5331">
          <cell r="A5331"/>
          <cell r="B5331"/>
        </row>
        <row r="5332">
          <cell r="A5332"/>
          <cell r="B5332"/>
        </row>
        <row r="5333">
          <cell r="A5333"/>
          <cell r="B5333"/>
        </row>
        <row r="5334">
          <cell r="A5334"/>
          <cell r="B5334"/>
        </row>
        <row r="5335">
          <cell r="A5335"/>
          <cell r="B5335"/>
        </row>
        <row r="5336">
          <cell r="A5336"/>
          <cell r="B5336"/>
        </row>
        <row r="5337">
          <cell r="A5337"/>
          <cell r="B5337"/>
        </row>
        <row r="5338">
          <cell r="A5338"/>
          <cell r="B5338"/>
        </row>
        <row r="5339">
          <cell r="A5339"/>
          <cell r="B5339"/>
        </row>
        <row r="5340">
          <cell r="A5340"/>
          <cell r="B5340"/>
        </row>
        <row r="5341">
          <cell r="A5341"/>
          <cell r="B5341"/>
        </row>
        <row r="5342">
          <cell r="A5342"/>
          <cell r="B5342"/>
        </row>
        <row r="5343">
          <cell r="A5343"/>
          <cell r="B5343"/>
        </row>
        <row r="5344">
          <cell r="A5344"/>
          <cell r="B5344"/>
        </row>
        <row r="5345">
          <cell r="A5345"/>
          <cell r="B5345"/>
        </row>
        <row r="5346">
          <cell r="A5346"/>
          <cell r="B5346"/>
        </row>
        <row r="5347">
          <cell r="A5347"/>
          <cell r="B5347"/>
        </row>
        <row r="5348">
          <cell r="A5348"/>
          <cell r="B5348"/>
        </row>
        <row r="5349">
          <cell r="A5349"/>
          <cell r="B5349"/>
        </row>
        <row r="5350">
          <cell r="A5350"/>
          <cell r="B5350"/>
        </row>
        <row r="5351">
          <cell r="A5351"/>
          <cell r="B5351"/>
        </row>
        <row r="5352">
          <cell r="A5352"/>
          <cell r="B5352"/>
        </row>
        <row r="5353">
          <cell r="A5353"/>
          <cell r="B5353"/>
        </row>
        <row r="5354">
          <cell r="A5354"/>
          <cell r="B5354"/>
        </row>
        <row r="5355">
          <cell r="A5355"/>
          <cell r="B5355"/>
        </row>
        <row r="5356">
          <cell r="A5356"/>
          <cell r="B5356"/>
        </row>
        <row r="5357">
          <cell r="A5357"/>
          <cell r="B5357"/>
        </row>
        <row r="5358">
          <cell r="A5358"/>
          <cell r="B5358"/>
        </row>
        <row r="5359">
          <cell r="A5359"/>
          <cell r="B5359"/>
        </row>
        <row r="5360">
          <cell r="A5360"/>
          <cell r="B5360"/>
        </row>
        <row r="5361">
          <cell r="A5361"/>
          <cell r="B5361"/>
        </row>
        <row r="5362">
          <cell r="A5362"/>
          <cell r="B5362"/>
        </row>
        <row r="5363">
          <cell r="A5363"/>
          <cell r="B5363"/>
        </row>
        <row r="5364">
          <cell r="A5364"/>
          <cell r="B5364"/>
        </row>
        <row r="5365">
          <cell r="A5365"/>
          <cell r="B5365"/>
        </row>
        <row r="5366">
          <cell r="A5366"/>
          <cell r="B5366"/>
        </row>
        <row r="5367">
          <cell r="A5367"/>
          <cell r="B5367"/>
        </row>
        <row r="5368">
          <cell r="A5368"/>
          <cell r="B5368"/>
        </row>
        <row r="5369">
          <cell r="A5369"/>
          <cell r="B5369"/>
        </row>
        <row r="5370">
          <cell r="A5370"/>
          <cell r="B5370"/>
        </row>
        <row r="5371">
          <cell r="A5371"/>
          <cell r="B5371"/>
        </row>
        <row r="5372">
          <cell r="A5372"/>
          <cell r="B5372"/>
        </row>
        <row r="5373">
          <cell r="A5373"/>
          <cell r="B5373"/>
        </row>
        <row r="5374">
          <cell r="A5374"/>
          <cell r="B5374"/>
        </row>
        <row r="5375">
          <cell r="A5375"/>
          <cell r="B5375"/>
        </row>
        <row r="5376">
          <cell r="A5376"/>
          <cell r="B5376"/>
        </row>
        <row r="5377">
          <cell r="A5377"/>
          <cell r="B5377"/>
        </row>
        <row r="5378">
          <cell r="A5378"/>
          <cell r="B5378"/>
        </row>
        <row r="5379">
          <cell r="A5379"/>
          <cell r="B5379"/>
        </row>
        <row r="5380">
          <cell r="A5380"/>
          <cell r="B5380"/>
        </row>
        <row r="5381">
          <cell r="A5381"/>
          <cell r="B5381"/>
        </row>
        <row r="5382">
          <cell r="A5382"/>
          <cell r="B5382"/>
        </row>
        <row r="5383">
          <cell r="A5383"/>
          <cell r="B5383"/>
        </row>
        <row r="5384">
          <cell r="A5384"/>
          <cell r="B5384"/>
        </row>
        <row r="5385">
          <cell r="A5385"/>
          <cell r="B5385"/>
        </row>
        <row r="5386">
          <cell r="A5386"/>
          <cell r="B5386"/>
        </row>
        <row r="5387">
          <cell r="A5387"/>
          <cell r="B5387"/>
        </row>
        <row r="5388">
          <cell r="A5388"/>
          <cell r="B5388"/>
        </row>
        <row r="5389">
          <cell r="A5389"/>
          <cell r="B5389"/>
        </row>
        <row r="5390">
          <cell r="A5390"/>
          <cell r="B5390"/>
        </row>
        <row r="5391">
          <cell r="A5391"/>
          <cell r="B5391"/>
        </row>
        <row r="5392">
          <cell r="A5392"/>
          <cell r="B5392"/>
        </row>
        <row r="5393">
          <cell r="A5393"/>
          <cell r="B5393"/>
        </row>
        <row r="5394">
          <cell r="A5394"/>
          <cell r="B5394"/>
        </row>
        <row r="5395">
          <cell r="A5395"/>
          <cell r="B5395"/>
        </row>
        <row r="5396">
          <cell r="A5396"/>
          <cell r="B5396"/>
        </row>
        <row r="5397">
          <cell r="A5397"/>
          <cell r="B5397"/>
        </row>
        <row r="5398">
          <cell r="A5398"/>
          <cell r="B5398"/>
        </row>
        <row r="5399">
          <cell r="A5399"/>
          <cell r="B5399"/>
        </row>
        <row r="5400">
          <cell r="A5400"/>
          <cell r="B5400"/>
        </row>
        <row r="5401">
          <cell r="A5401"/>
          <cell r="B5401"/>
        </row>
        <row r="5402">
          <cell r="A5402"/>
          <cell r="B5402"/>
        </row>
        <row r="5403">
          <cell r="A5403"/>
          <cell r="B5403"/>
        </row>
        <row r="5404">
          <cell r="A5404"/>
          <cell r="B5404"/>
        </row>
        <row r="5405">
          <cell r="A5405"/>
          <cell r="B5405"/>
        </row>
        <row r="5406">
          <cell r="A5406"/>
          <cell r="B5406"/>
        </row>
        <row r="5407">
          <cell r="A5407"/>
          <cell r="B5407"/>
        </row>
        <row r="5408">
          <cell r="A5408"/>
          <cell r="B5408"/>
        </row>
        <row r="5409">
          <cell r="A5409"/>
          <cell r="B5409"/>
        </row>
        <row r="5410">
          <cell r="A5410"/>
          <cell r="B5410"/>
        </row>
        <row r="5411">
          <cell r="A5411"/>
          <cell r="B5411"/>
        </row>
        <row r="5412">
          <cell r="A5412"/>
          <cell r="B5412"/>
        </row>
        <row r="5413">
          <cell r="A5413"/>
          <cell r="B5413"/>
        </row>
        <row r="5414">
          <cell r="A5414"/>
          <cell r="B5414"/>
        </row>
        <row r="5415">
          <cell r="A5415"/>
          <cell r="B5415"/>
        </row>
        <row r="5416">
          <cell r="A5416"/>
          <cell r="B5416"/>
        </row>
        <row r="5417">
          <cell r="A5417"/>
          <cell r="B5417"/>
        </row>
        <row r="5418">
          <cell r="A5418"/>
          <cell r="B5418"/>
        </row>
        <row r="5419">
          <cell r="A5419"/>
          <cell r="B5419"/>
        </row>
        <row r="5420">
          <cell r="A5420"/>
          <cell r="B5420"/>
        </row>
        <row r="5421">
          <cell r="A5421"/>
          <cell r="B5421"/>
        </row>
        <row r="5422">
          <cell r="A5422"/>
          <cell r="B5422"/>
        </row>
        <row r="5423">
          <cell r="A5423"/>
          <cell r="B5423"/>
        </row>
        <row r="5424">
          <cell r="A5424"/>
          <cell r="B5424"/>
        </row>
        <row r="5425">
          <cell r="A5425"/>
          <cell r="B5425"/>
        </row>
        <row r="5426">
          <cell r="A5426"/>
          <cell r="B5426"/>
        </row>
        <row r="5427">
          <cell r="A5427"/>
          <cell r="B5427"/>
        </row>
        <row r="5428">
          <cell r="A5428"/>
          <cell r="B5428"/>
        </row>
        <row r="5429">
          <cell r="A5429"/>
          <cell r="B5429"/>
        </row>
        <row r="5430">
          <cell r="A5430"/>
          <cell r="B5430"/>
        </row>
        <row r="5431">
          <cell r="A5431"/>
          <cell r="B5431"/>
        </row>
        <row r="5432">
          <cell r="A5432"/>
          <cell r="B5432"/>
        </row>
        <row r="5433">
          <cell r="A5433"/>
          <cell r="B5433"/>
        </row>
        <row r="5434">
          <cell r="A5434"/>
          <cell r="B5434"/>
        </row>
        <row r="5435">
          <cell r="A5435"/>
          <cell r="B5435"/>
        </row>
        <row r="5436">
          <cell r="A5436"/>
          <cell r="B5436"/>
        </row>
        <row r="5437">
          <cell r="A5437"/>
          <cell r="B5437"/>
        </row>
        <row r="5438">
          <cell r="A5438"/>
          <cell r="B5438"/>
        </row>
        <row r="5439">
          <cell r="A5439"/>
          <cell r="B5439"/>
        </row>
        <row r="5440">
          <cell r="A5440"/>
          <cell r="B5440"/>
        </row>
        <row r="5441">
          <cell r="A5441"/>
          <cell r="B5441"/>
        </row>
        <row r="5442">
          <cell r="A5442"/>
          <cell r="B5442"/>
        </row>
        <row r="5443">
          <cell r="A5443"/>
          <cell r="B5443"/>
        </row>
        <row r="5444">
          <cell r="A5444"/>
          <cell r="B5444"/>
        </row>
        <row r="5445">
          <cell r="A5445"/>
          <cell r="B5445"/>
        </row>
        <row r="5446">
          <cell r="A5446"/>
          <cell r="B5446"/>
        </row>
        <row r="5447">
          <cell r="A5447"/>
          <cell r="B5447"/>
        </row>
        <row r="5448">
          <cell r="A5448"/>
          <cell r="B5448"/>
        </row>
        <row r="5449">
          <cell r="A5449"/>
          <cell r="B5449"/>
        </row>
        <row r="5450">
          <cell r="A5450"/>
          <cell r="B5450"/>
        </row>
        <row r="5451">
          <cell r="A5451"/>
          <cell r="B5451"/>
        </row>
        <row r="5452">
          <cell r="A5452"/>
          <cell r="B5452"/>
        </row>
        <row r="5453">
          <cell r="A5453"/>
          <cell r="B5453"/>
        </row>
        <row r="5454">
          <cell r="A5454"/>
          <cell r="B5454"/>
        </row>
        <row r="5455">
          <cell r="A5455"/>
          <cell r="B5455"/>
        </row>
        <row r="5456">
          <cell r="A5456"/>
          <cell r="B5456"/>
        </row>
        <row r="5457">
          <cell r="A5457"/>
          <cell r="B5457"/>
        </row>
        <row r="5458">
          <cell r="A5458"/>
          <cell r="B5458"/>
        </row>
        <row r="5459">
          <cell r="A5459"/>
          <cell r="B5459"/>
        </row>
        <row r="5460">
          <cell r="A5460"/>
          <cell r="B5460"/>
        </row>
        <row r="5461">
          <cell r="A5461"/>
          <cell r="B5461"/>
        </row>
        <row r="5462">
          <cell r="A5462"/>
          <cell r="B5462"/>
        </row>
        <row r="5463">
          <cell r="A5463"/>
          <cell r="B5463"/>
        </row>
        <row r="5464">
          <cell r="A5464"/>
          <cell r="B5464"/>
        </row>
        <row r="5465">
          <cell r="A5465"/>
          <cell r="B5465"/>
        </row>
        <row r="5466">
          <cell r="A5466"/>
          <cell r="B5466"/>
        </row>
        <row r="5467">
          <cell r="A5467"/>
          <cell r="B5467"/>
        </row>
        <row r="5468">
          <cell r="A5468"/>
          <cell r="B5468"/>
        </row>
        <row r="5469">
          <cell r="A5469"/>
          <cell r="B5469"/>
        </row>
        <row r="5470">
          <cell r="A5470"/>
          <cell r="B5470"/>
        </row>
        <row r="5471">
          <cell r="A5471"/>
          <cell r="B5471"/>
        </row>
        <row r="5472">
          <cell r="A5472"/>
          <cell r="B5472"/>
        </row>
        <row r="5473">
          <cell r="A5473"/>
          <cell r="B5473"/>
        </row>
        <row r="5474">
          <cell r="A5474"/>
          <cell r="B5474"/>
        </row>
        <row r="5475">
          <cell r="A5475"/>
          <cell r="B5475"/>
        </row>
        <row r="5476">
          <cell r="A5476"/>
          <cell r="B5476"/>
        </row>
        <row r="5477">
          <cell r="A5477"/>
          <cell r="B5477"/>
        </row>
        <row r="5478">
          <cell r="A5478"/>
          <cell r="B5478"/>
        </row>
        <row r="5479">
          <cell r="A5479"/>
          <cell r="B5479"/>
        </row>
        <row r="5480">
          <cell r="A5480"/>
          <cell r="B5480"/>
        </row>
        <row r="5481">
          <cell r="A5481"/>
          <cell r="B5481"/>
        </row>
        <row r="5482">
          <cell r="A5482"/>
          <cell r="B5482"/>
        </row>
        <row r="5483">
          <cell r="A5483"/>
          <cell r="B5483"/>
        </row>
        <row r="5484">
          <cell r="A5484"/>
          <cell r="B5484"/>
        </row>
        <row r="5485">
          <cell r="A5485"/>
          <cell r="B5485"/>
        </row>
        <row r="5486">
          <cell r="A5486"/>
          <cell r="B5486"/>
        </row>
        <row r="5487">
          <cell r="A5487"/>
          <cell r="B5487"/>
        </row>
        <row r="5488">
          <cell r="A5488"/>
          <cell r="B5488"/>
        </row>
        <row r="5489">
          <cell r="A5489"/>
          <cell r="B5489"/>
        </row>
        <row r="5490">
          <cell r="A5490"/>
          <cell r="B5490"/>
        </row>
        <row r="5491">
          <cell r="A5491"/>
          <cell r="B5491"/>
        </row>
        <row r="5492">
          <cell r="A5492"/>
          <cell r="B5492"/>
        </row>
        <row r="5493">
          <cell r="A5493"/>
          <cell r="B5493"/>
        </row>
        <row r="5494">
          <cell r="A5494"/>
          <cell r="B5494"/>
        </row>
        <row r="5495">
          <cell r="A5495"/>
          <cell r="B5495"/>
        </row>
        <row r="5496">
          <cell r="A5496"/>
          <cell r="B5496"/>
        </row>
        <row r="5497">
          <cell r="A5497"/>
          <cell r="B5497"/>
        </row>
        <row r="5498">
          <cell r="A5498"/>
          <cell r="B5498"/>
        </row>
        <row r="5499">
          <cell r="A5499"/>
          <cell r="B5499"/>
        </row>
        <row r="5500">
          <cell r="A5500"/>
          <cell r="B5500"/>
        </row>
        <row r="5501">
          <cell r="A5501"/>
          <cell r="B5501"/>
        </row>
        <row r="5502">
          <cell r="A5502"/>
          <cell r="B5502"/>
        </row>
        <row r="5503">
          <cell r="A5503"/>
          <cell r="B5503"/>
        </row>
        <row r="5504">
          <cell r="A5504"/>
          <cell r="B5504"/>
        </row>
        <row r="5505">
          <cell r="A5505"/>
          <cell r="B5505"/>
        </row>
        <row r="5506">
          <cell r="A5506"/>
          <cell r="B5506"/>
        </row>
        <row r="5507">
          <cell r="A5507"/>
          <cell r="B5507"/>
        </row>
        <row r="5508">
          <cell r="A5508"/>
          <cell r="B5508"/>
        </row>
        <row r="5509">
          <cell r="A5509"/>
          <cell r="B5509"/>
        </row>
        <row r="5510">
          <cell r="A5510"/>
          <cell r="B5510"/>
        </row>
        <row r="5511">
          <cell r="A5511"/>
          <cell r="B5511"/>
        </row>
        <row r="5512">
          <cell r="A5512"/>
          <cell r="B5512"/>
        </row>
        <row r="5513">
          <cell r="A5513"/>
          <cell r="B5513"/>
        </row>
        <row r="5514">
          <cell r="A5514"/>
          <cell r="B5514"/>
        </row>
        <row r="5515">
          <cell r="A5515"/>
          <cell r="B5515"/>
        </row>
        <row r="5516">
          <cell r="A5516"/>
          <cell r="B5516"/>
        </row>
        <row r="5517">
          <cell r="A5517"/>
          <cell r="B5517"/>
        </row>
        <row r="5518">
          <cell r="A5518"/>
          <cell r="B5518"/>
        </row>
        <row r="5519">
          <cell r="A5519"/>
          <cell r="B5519"/>
        </row>
        <row r="5520">
          <cell r="A5520"/>
          <cell r="B5520"/>
        </row>
        <row r="5521">
          <cell r="A5521"/>
          <cell r="B5521"/>
        </row>
        <row r="5522">
          <cell r="A5522"/>
          <cell r="B5522"/>
        </row>
        <row r="5523">
          <cell r="A5523"/>
          <cell r="B5523"/>
        </row>
        <row r="5524">
          <cell r="A5524"/>
          <cell r="B5524"/>
        </row>
        <row r="5525">
          <cell r="A5525"/>
          <cell r="B5525"/>
        </row>
        <row r="5526">
          <cell r="A5526"/>
          <cell r="B5526"/>
        </row>
        <row r="5527">
          <cell r="A5527"/>
          <cell r="B5527"/>
        </row>
        <row r="5528">
          <cell r="A5528"/>
          <cell r="B5528"/>
        </row>
        <row r="5529">
          <cell r="A5529"/>
          <cell r="B5529"/>
        </row>
        <row r="5530">
          <cell r="A5530"/>
          <cell r="B5530"/>
        </row>
        <row r="5531">
          <cell r="A5531"/>
          <cell r="B5531"/>
        </row>
        <row r="5532">
          <cell r="A5532"/>
          <cell r="B5532"/>
        </row>
        <row r="5533">
          <cell r="A5533"/>
          <cell r="B5533"/>
        </row>
        <row r="5534">
          <cell r="A5534"/>
          <cell r="B5534"/>
        </row>
        <row r="5535">
          <cell r="A5535"/>
          <cell r="B5535"/>
        </row>
        <row r="5536">
          <cell r="A5536"/>
          <cell r="B5536"/>
        </row>
        <row r="5537">
          <cell r="A5537"/>
          <cell r="B5537"/>
        </row>
        <row r="5538">
          <cell r="A5538"/>
          <cell r="B5538"/>
        </row>
        <row r="5539">
          <cell r="A5539"/>
          <cell r="B5539"/>
        </row>
        <row r="5540">
          <cell r="A5540"/>
          <cell r="B5540"/>
        </row>
        <row r="5541">
          <cell r="A5541"/>
          <cell r="B5541"/>
        </row>
        <row r="5542">
          <cell r="A5542"/>
          <cell r="B5542"/>
        </row>
        <row r="5543">
          <cell r="A5543"/>
          <cell r="B5543"/>
        </row>
        <row r="5544">
          <cell r="A5544"/>
          <cell r="B5544"/>
        </row>
        <row r="5545">
          <cell r="A5545"/>
          <cell r="B5545"/>
        </row>
        <row r="5546">
          <cell r="A5546"/>
          <cell r="B5546"/>
        </row>
        <row r="5547">
          <cell r="A5547"/>
          <cell r="B5547"/>
        </row>
        <row r="5548">
          <cell r="A5548"/>
          <cell r="B5548"/>
        </row>
        <row r="5549">
          <cell r="A5549"/>
          <cell r="B5549"/>
        </row>
        <row r="5550">
          <cell r="A5550"/>
          <cell r="B5550"/>
        </row>
        <row r="5551">
          <cell r="A5551"/>
          <cell r="B5551"/>
        </row>
        <row r="5552">
          <cell r="A5552"/>
          <cell r="B5552"/>
        </row>
        <row r="5553">
          <cell r="A5553"/>
          <cell r="B5553"/>
        </row>
        <row r="5554">
          <cell r="A5554"/>
          <cell r="B5554"/>
        </row>
        <row r="5555">
          <cell r="A5555"/>
          <cell r="B5555"/>
        </row>
        <row r="5556">
          <cell r="A5556"/>
          <cell r="B5556"/>
        </row>
        <row r="5557">
          <cell r="A5557"/>
          <cell r="B5557"/>
        </row>
        <row r="5558">
          <cell r="A5558"/>
          <cell r="B5558"/>
        </row>
        <row r="5559">
          <cell r="A5559"/>
          <cell r="B5559"/>
        </row>
        <row r="5560">
          <cell r="A5560"/>
          <cell r="B5560"/>
        </row>
        <row r="5561">
          <cell r="A5561"/>
          <cell r="B5561"/>
        </row>
        <row r="5562">
          <cell r="A5562"/>
          <cell r="B5562"/>
        </row>
        <row r="5563">
          <cell r="A5563"/>
          <cell r="B5563"/>
        </row>
        <row r="5564">
          <cell r="A5564"/>
          <cell r="B5564"/>
        </row>
        <row r="5565">
          <cell r="A5565"/>
          <cell r="B5565"/>
        </row>
        <row r="5566">
          <cell r="A5566"/>
          <cell r="B5566"/>
        </row>
        <row r="5567">
          <cell r="A5567"/>
          <cell r="B5567"/>
        </row>
        <row r="5568">
          <cell r="A5568"/>
          <cell r="B5568"/>
        </row>
        <row r="5569">
          <cell r="A5569"/>
          <cell r="B5569"/>
        </row>
        <row r="5570">
          <cell r="A5570"/>
          <cell r="B5570"/>
        </row>
        <row r="5571">
          <cell r="A5571"/>
          <cell r="B5571"/>
        </row>
        <row r="5572">
          <cell r="A5572"/>
          <cell r="B5572"/>
        </row>
        <row r="5573">
          <cell r="A5573"/>
          <cell r="B5573"/>
        </row>
        <row r="5574">
          <cell r="A5574"/>
          <cell r="B5574"/>
        </row>
        <row r="5575">
          <cell r="A5575"/>
          <cell r="B5575"/>
        </row>
        <row r="5576">
          <cell r="A5576"/>
          <cell r="B5576"/>
        </row>
        <row r="5577">
          <cell r="A5577"/>
          <cell r="B5577"/>
        </row>
        <row r="5578">
          <cell r="A5578"/>
          <cell r="B5578"/>
        </row>
        <row r="5579">
          <cell r="A5579"/>
          <cell r="B5579"/>
        </row>
        <row r="5580">
          <cell r="A5580"/>
          <cell r="B5580"/>
        </row>
        <row r="5581">
          <cell r="A5581"/>
          <cell r="B5581"/>
        </row>
        <row r="5582">
          <cell r="A5582"/>
          <cell r="B5582"/>
        </row>
        <row r="5583">
          <cell r="A5583"/>
          <cell r="B5583"/>
        </row>
        <row r="5584">
          <cell r="A5584"/>
          <cell r="B5584"/>
        </row>
        <row r="5585">
          <cell r="A5585"/>
          <cell r="B5585"/>
        </row>
        <row r="5586">
          <cell r="A5586"/>
          <cell r="B5586"/>
        </row>
        <row r="5587">
          <cell r="A5587"/>
          <cell r="B5587"/>
        </row>
        <row r="5588">
          <cell r="A5588"/>
          <cell r="B5588"/>
        </row>
        <row r="5589">
          <cell r="A5589"/>
          <cell r="B5589"/>
        </row>
        <row r="5590">
          <cell r="A5590"/>
          <cell r="B5590"/>
        </row>
        <row r="5591">
          <cell r="A5591"/>
          <cell r="B5591"/>
        </row>
        <row r="5592">
          <cell r="A5592"/>
          <cell r="B5592"/>
        </row>
        <row r="5593">
          <cell r="A5593"/>
          <cell r="B5593"/>
        </row>
        <row r="5594">
          <cell r="A5594"/>
          <cell r="B5594"/>
        </row>
        <row r="5595">
          <cell r="A5595"/>
          <cell r="B5595"/>
        </row>
        <row r="5596">
          <cell r="A5596"/>
          <cell r="B5596"/>
        </row>
        <row r="5597">
          <cell r="A5597"/>
          <cell r="B5597"/>
        </row>
        <row r="5598">
          <cell r="A5598"/>
          <cell r="B5598"/>
        </row>
        <row r="5599">
          <cell r="A5599"/>
          <cell r="B5599"/>
        </row>
        <row r="5600">
          <cell r="A5600"/>
          <cell r="B5600"/>
        </row>
        <row r="5601">
          <cell r="A5601"/>
          <cell r="B5601"/>
        </row>
        <row r="5602">
          <cell r="A5602"/>
          <cell r="B5602"/>
        </row>
        <row r="5603">
          <cell r="A5603"/>
          <cell r="B5603"/>
        </row>
        <row r="5604">
          <cell r="A5604"/>
          <cell r="B5604"/>
        </row>
        <row r="5605">
          <cell r="A5605"/>
          <cell r="B5605"/>
        </row>
        <row r="5606">
          <cell r="A5606"/>
          <cell r="B5606"/>
        </row>
        <row r="5607">
          <cell r="A5607"/>
          <cell r="B5607"/>
        </row>
        <row r="5608">
          <cell r="A5608"/>
          <cell r="B5608"/>
        </row>
        <row r="5609">
          <cell r="A5609"/>
          <cell r="B5609"/>
        </row>
        <row r="5610">
          <cell r="A5610"/>
          <cell r="B5610"/>
        </row>
        <row r="5611">
          <cell r="A5611"/>
          <cell r="B5611"/>
        </row>
        <row r="5612">
          <cell r="A5612"/>
          <cell r="B5612"/>
        </row>
        <row r="5613">
          <cell r="A5613"/>
          <cell r="B5613"/>
        </row>
        <row r="5614">
          <cell r="A5614"/>
          <cell r="B5614"/>
        </row>
        <row r="5615">
          <cell r="A5615"/>
          <cell r="B5615"/>
        </row>
        <row r="5616">
          <cell r="A5616"/>
          <cell r="B5616"/>
        </row>
        <row r="5617">
          <cell r="A5617"/>
          <cell r="B5617"/>
        </row>
        <row r="5618">
          <cell r="A5618"/>
          <cell r="B5618"/>
        </row>
        <row r="5619">
          <cell r="A5619"/>
          <cell r="B5619"/>
        </row>
        <row r="5620">
          <cell r="A5620"/>
          <cell r="B5620"/>
        </row>
        <row r="5621">
          <cell r="A5621"/>
          <cell r="B5621"/>
        </row>
        <row r="5622">
          <cell r="A5622"/>
          <cell r="B5622"/>
        </row>
        <row r="5623">
          <cell r="A5623"/>
          <cell r="B5623"/>
        </row>
        <row r="5624">
          <cell r="A5624"/>
          <cell r="B5624"/>
        </row>
        <row r="5625">
          <cell r="A5625"/>
          <cell r="B5625"/>
        </row>
        <row r="5626">
          <cell r="A5626"/>
          <cell r="B5626"/>
        </row>
        <row r="5627">
          <cell r="A5627"/>
          <cell r="B5627"/>
        </row>
        <row r="5628">
          <cell r="A5628"/>
          <cell r="B5628"/>
        </row>
        <row r="5629">
          <cell r="A5629"/>
          <cell r="B5629"/>
        </row>
        <row r="5630">
          <cell r="A5630"/>
          <cell r="B5630"/>
        </row>
        <row r="5631">
          <cell r="A5631"/>
          <cell r="B5631"/>
        </row>
        <row r="5632">
          <cell r="A5632"/>
          <cell r="B5632"/>
        </row>
        <row r="5633">
          <cell r="A5633"/>
          <cell r="B5633"/>
        </row>
        <row r="5634">
          <cell r="A5634"/>
          <cell r="B5634"/>
        </row>
        <row r="5635">
          <cell r="A5635"/>
          <cell r="B5635"/>
        </row>
        <row r="5636">
          <cell r="A5636"/>
          <cell r="B5636"/>
        </row>
        <row r="5637">
          <cell r="A5637"/>
          <cell r="B5637"/>
        </row>
        <row r="5638">
          <cell r="A5638"/>
          <cell r="B5638"/>
        </row>
        <row r="5639">
          <cell r="A5639"/>
          <cell r="B5639"/>
        </row>
        <row r="5640">
          <cell r="A5640"/>
          <cell r="B5640"/>
        </row>
        <row r="5641">
          <cell r="A5641"/>
          <cell r="B5641"/>
        </row>
        <row r="5642">
          <cell r="A5642"/>
          <cell r="B5642"/>
        </row>
        <row r="5643">
          <cell r="A5643"/>
          <cell r="B5643"/>
        </row>
        <row r="5644">
          <cell r="A5644"/>
          <cell r="B5644"/>
        </row>
        <row r="5645">
          <cell r="A5645"/>
          <cell r="B5645"/>
        </row>
        <row r="5646">
          <cell r="A5646"/>
          <cell r="B5646"/>
        </row>
        <row r="5647">
          <cell r="A5647"/>
          <cell r="B5647"/>
        </row>
        <row r="5648">
          <cell r="A5648"/>
          <cell r="B5648"/>
        </row>
        <row r="5649">
          <cell r="A5649"/>
          <cell r="B5649"/>
        </row>
        <row r="5650">
          <cell r="A5650"/>
          <cell r="B5650"/>
        </row>
        <row r="5651">
          <cell r="A5651"/>
          <cell r="B5651"/>
        </row>
        <row r="5652">
          <cell r="A5652"/>
          <cell r="B5652"/>
        </row>
        <row r="5653">
          <cell r="A5653"/>
          <cell r="B5653"/>
        </row>
        <row r="5654">
          <cell r="A5654"/>
          <cell r="B5654"/>
        </row>
        <row r="5655">
          <cell r="A5655"/>
          <cell r="B5655"/>
        </row>
        <row r="5656">
          <cell r="A5656"/>
          <cell r="B5656"/>
        </row>
        <row r="5657">
          <cell r="A5657"/>
          <cell r="B5657"/>
        </row>
        <row r="5658">
          <cell r="A5658"/>
          <cell r="B5658"/>
        </row>
        <row r="5659">
          <cell r="A5659"/>
          <cell r="B5659"/>
        </row>
        <row r="5660">
          <cell r="A5660"/>
          <cell r="B5660"/>
        </row>
        <row r="5661">
          <cell r="A5661"/>
          <cell r="B5661"/>
        </row>
        <row r="5662">
          <cell r="A5662"/>
          <cell r="B5662"/>
        </row>
        <row r="5663">
          <cell r="A5663"/>
          <cell r="B5663"/>
        </row>
        <row r="5664">
          <cell r="A5664"/>
          <cell r="B5664"/>
        </row>
        <row r="5665">
          <cell r="A5665"/>
          <cell r="B5665"/>
        </row>
        <row r="5666">
          <cell r="A5666"/>
          <cell r="B5666"/>
        </row>
        <row r="5667">
          <cell r="A5667"/>
          <cell r="B5667"/>
        </row>
        <row r="5668">
          <cell r="A5668"/>
          <cell r="B5668"/>
        </row>
        <row r="5669">
          <cell r="A5669"/>
          <cell r="B5669"/>
        </row>
        <row r="5670">
          <cell r="A5670"/>
          <cell r="B5670"/>
        </row>
        <row r="5671">
          <cell r="A5671"/>
          <cell r="B5671"/>
        </row>
        <row r="5672">
          <cell r="A5672"/>
          <cell r="B5672"/>
        </row>
        <row r="5673">
          <cell r="A5673"/>
          <cell r="B5673"/>
        </row>
        <row r="5674">
          <cell r="A5674"/>
          <cell r="B5674"/>
        </row>
        <row r="5675">
          <cell r="A5675"/>
          <cell r="B5675"/>
        </row>
        <row r="5676">
          <cell r="A5676"/>
          <cell r="B5676"/>
        </row>
        <row r="5677">
          <cell r="A5677"/>
          <cell r="B5677"/>
        </row>
        <row r="5678">
          <cell r="A5678"/>
          <cell r="B5678"/>
        </row>
        <row r="5679">
          <cell r="A5679"/>
          <cell r="B5679"/>
        </row>
        <row r="5680">
          <cell r="A5680"/>
          <cell r="B5680"/>
        </row>
        <row r="5681">
          <cell r="A5681"/>
          <cell r="B5681"/>
        </row>
        <row r="5682">
          <cell r="A5682"/>
          <cell r="B5682"/>
        </row>
        <row r="5683">
          <cell r="A5683"/>
          <cell r="B5683"/>
        </row>
        <row r="5684">
          <cell r="A5684"/>
          <cell r="B5684"/>
        </row>
        <row r="5685">
          <cell r="A5685"/>
          <cell r="B5685"/>
        </row>
        <row r="5686">
          <cell r="A5686"/>
          <cell r="B5686"/>
        </row>
        <row r="5687">
          <cell r="A5687"/>
          <cell r="B5687"/>
        </row>
        <row r="5688">
          <cell r="A5688"/>
          <cell r="B5688"/>
        </row>
        <row r="5689">
          <cell r="A5689"/>
          <cell r="B5689"/>
        </row>
        <row r="5690">
          <cell r="A5690"/>
          <cell r="B5690"/>
        </row>
        <row r="5691">
          <cell r="A5691"/>
          <cell r="B5691"/>
        </row>
        <row r="5692">
          <cell r="A5692"/>
          <cell r="B5692"/>
        </row>
        <row r="5693">
          <cell r="A5693"/>
          <cell r="B5693"/>
        </row>
        <row r="5694">
          <cell r="A5694"/>
          <cell r="B5694"/>
        </row>
        <row r="5695">
          <cell r="A5695"/>
          <cell r="B5695"/>
        </row>
        <row r="5696">
          <cell r="A5696"/>
          <cell r="B5696"/>
        </row>
        <row r="5697">
          <cell r="A5697"/>
          <cell r="B5697"/>
        </row>
        <row r="5698">
          <cell r="A5698"/>
          <cell r="B5698"/>
        </row>
        <row r="5699">
          <cell r="A5699"/>
          <cell r="B5699"/>
        </row>
        <row r="5700">
          <cell r="A5700"/>
          <cell r="B5700"/>
        </row>
        <row r="5701">
          <cell r="A5701"/>
          <cell r="B5701"/>
        </row>
        <row r="5702">
          <cell r="A5702"/>
          <cell r="B5702"/>
        </row>
        <row r="5703">
          <cell r="A5703"/>
          <cell r="B5703"/>
        </row>
        <row r="5704">
          <cell r="A5704"/>
          <cell r="B5704"/>
        </row>
        <row r="5705">
          <cell r="A5705"/>
          <cell r="B5705"/>
        </row>
        <row r="5706">
          <cell r="A5706"/>
          <cell r="B5706"/>
        </row>
        <row r="5707">
          <cell r="A5707"/>
          <cell r="B5707"/>
        </row>
        <row r="5708">
          <cell r="A5708"/>
          <cell r="B5708"/>
        </row>
        <row r="5709">
          <cell r="A5709"/>
          <cell r="B5709"/>
        </row>
        <row r="5710">
          <cell r="A5710"/>
          <cell r="B5710"/>
        </row>
        <row r="5711">
          <cell r="A5711"/>
          <cell r="B5711"/>
        </row>
        <row r="5712">
          <cell r="A5712"/>
          <cell r="B5712"/>
        </row>
        <row r="5713">
          <cell r="A5713"/>
          <cell r="B5713"/>
        </row>
        <row r="5714">
          <cell r="A5714"/>
          <cell r="B5714"/>
        </row>
        <row r="5715">
          <cell r="A5715"/>
          <cell r="B5715"/>
        </row>
        <row r="5716">
          <cell r="A5716"/>
          <cell r="B5716"/>
        </row>
        <row r="5717">
          <cell r="A5717"/>
          <cell r="B5717"/>
        </row>
        <row r="5718">
          <cell r="A5718"/>
          <cell r="B5718"/>
        </row>
        <row r="5719">
          <cell r="A5719"/>
          <cell r="B5719"/>
        </row>
        <row r="5720">
          <cell r="A5720"/>
          <cell r="B5720"/>
        </row>
        <row r="5721">
          <cell r="A5721"/>
          <cell r="B5721"/>
        </row>
        <row r="5722">
          <cell r="A5722"/>
          <cell r="B5722"/>
        </row>
        <row r="5723">
          <cell r="A5723"/>
          <cell r="B5723"/>
        </row>
        <row r="5724">
          <cell r="A5724"/>
          <cell r="B5724"/>
        </row>
        <row r="5725">
          <cell r="A5725"/>
          <cell r="B5725"/>
        </row>
        <row r="5726">
          <cell r="A5726"/>
          <cell r="B5726"/>
        </row>
        <row r="5727">
          <cell r="A5727"/>
          <cell r="B5727"/>
        </row>
        <row r="5728">
          <cell r="A5728"/>
          <cell r="B5728"/>
        </row>
        <row r="5729">
          <cell r="A5729"/>
          <cell r="B5729"/>
        </row>
        <row r="5730">
          <cell r="A5730"/>
          <cell r="B5730"/>
        </row>
        <row r="5731">
          <cell r="A5731"/>
          <cell r="B5731"/>
        </row>
        <row r="5732">
          <cell r="A5732"/>
          <cell r="B5732"/>
        </row>
        <row r="5733">
          <cell r="A5733"/>
          <cell r="B5733"/>
        </row>
        <row r="5734">
          <cell r="A5734"/>
          <cell r="B5734"/>
        </row>
        <row r="5735">
          <cell r="A5735"/>
          <cell r="B5735"/>
        </row>
        <row r="5736">
          <cell r="A5736"/>
          <cell r="B5736"/>
        </row>
        <row r="5737">
          <cell r="A5737"/>
          <cell r="B5737"/>
        </row>
        <row r="5738">
          <cell r="A5738"/>
          <cell r="B5738"/>
        </row>
        <row r="5739">
          <cell r="A5739"/>
          <cell r="B5739"/>
        </row>
        <row r="5740">
          <cell r="A5740"/>
          <cell r="B5740"/>
        </row>
        <row r="5741">
          <cell r="A5741"/>
          <cell r="B5741"/>
        </row>
        <row r="5742">
          <cell r="A5742"/>
          <cell r="B5742"/>
        </row>
        <row r="5743">
          <cell r="A5743"/>
          <cell r="B5743"/>
        </row>
        <row r="5744">
          <cell r="A5744"/>
          <cell r="B5744"/>
        </row>
        <row r="5745">
          <cell r="A5745"/>
          <cell r="B5745"/>
        </row>
        <row r="5746">
          <cell r="A5746"/>
          <cell r="B5746"/>
        </row>
        <row r="5747">
          <cell r="A5747"/>
          <cell r="B5747"/>
        </row>
        <row r="5748">
          <cell r="A5748"/>
          <cell r="B5748"/>
        </row>
        <row r="5749">
          <cell r="A5749"/>
          <cell r="B5749"/>
        </row>
        <row r="5750">
          <cell r="A5750"/>
          <cell r="B5750"/>
        </row>
        <row r="5751">
          <cell r="A5751"/>
          <cell r="B5751"/>
        </row>
        <row r="5752">
          <cell r="A5752"/>
          <cell r="B5752"/>
        </row>
        <row r="5753">
          <cell r="A5753"/>
          <cell r="B5753"/>
        </row>
        <row r="5754">
          <cell r="A5754"/>
          <cell r="B5754"/>
        </row>
        <row r="5755">
          <cell r="A5755"/>
          <cell r="B5755"/>
        </row>
        <row r="5756">
          <cell r="A5756"/>
          <cell r="B5756"/>
        </row>
        <row r="5757">
          <cell r="A5757"/>
          <cell r="B5757"/>
        </row>
        <row r="5758">
          <cell r="A5758"/>
          <cell r="B5758"/>
        </row>
        <row r="5759">
          <cell r="A5759"/>
          <cell r="B5759"/>
        </row>
        <row r="5760">
          <cell r="A5760"/>
          <cell r="B5760"/>
        </row>
        <row r="5761">
          <cell r="A5761"/>
          <cell r="B5761"/>
        </row>
        <row r="5762">
          <cell r="A5762"/>
          <cell r="B5762"/>
        </row>
        <row r="5763">
          <cell r="A5763"/>
          <cell r="B5763"/>
        </row>
        <row r="5764">
          <cell r="A5764"/>
          <cell r="B5764"/>
        </row>
        <row r="5765">
          <cell r="A5765"/>
          <cell r="B5765"/>
        </row>
        <row r="5766">
          <cell r="A5766"/>
          <cell r="B5766"/>
        </row>
        <row r="5767">
          <cell r="A5767"/>
          <cell r="B5767"/>
        </row>
        <row r="5768">
          <cell r="A5768"/>
          <cell r="B5768"/>
        </row>
        <row r="5769">
          <cell r="A5769"/>
          <cell r="B5769"/>
        </row>
        <row r="5770">
          <cell r="A5770"/>
          <cell r="B5770"/>
        </row>
        <row r="5771">
          <cell r="A5771"/>
          <cell r="B5771"/>
        </row>
        <row r="5772">
          <cell r="A5772"/>
          <cell r="B5772"/>
        </row>
        <row r="5773">
          <cell r="A5773"/>
          <cell r="B5773"/>
        </row>
        <row r="5774">
          <cell r="A5774"/>
          <cell r="B5774"/>
        </row>
        <row r="5775">
          <cell r="A5775"/>
          <cell r="B5775"/>
        </row>
        <row r="5776">
          <cell r="A5776"/>
          <cell r="B5776"/>
        </row>
        <row r="5777">
          <cell r="A5777"/>
          <cell r="B5777"/>
        </row>
        <row r="5778">
          <cell r="A5778"/>
          <cell r="B5778"/>
        </row>
        <row r="5779">
          <cell r="A5779"/>
          <cell r="B5779"/>
        </row>
        <row r="5780">
          <cell r="A5780"/>
          <cell r="B5780"/>
        </row>
        <row r="5781">
          <cell r="A5781"/>
          <cell r="B5781"/>
        </row>
        <row r="5782">
          <cell r="A5782"/>
          <cell r="B5782"/>
        </row>
        <row r="5783">
          <cell r="A5783"/>
          <cell r="B5783"/>
        </row>
        <row r="5784">
          <cell r="A5784"/>
          <cell r="B5784"/>
        </row>
        <row r="5785">
          <cell r="A5785"/>
          <cell r="B5785"/>
        </row>
        <row r="5786">
          <cell r="A5786"/>
          <cell r="B5786"/>
        </row>
        <row r="5787">
          <cell r="A5787"/>
          <cell r="B5787"/>
        </row>
        <row r="5788">
          <cell r="A5788"/>
          <cell r="B5788"/>
        </row>
        <row r="5789">
          <cell r="A5789"/>
          <cell r="B5789"/>
        </row>
        <row r="5790">
          <cell r="A5790"/>
          <cell r="B5790"/>
        </row>
        <row r="5791">
          <cell r="A5791"/>
          <cell r="B5791"/>
        </row>
        <row r="5792">
          <cell r="A5792"/>
          <cell r="B5792"/>
        </row>
        <row r="5793">
          <cell r="A5793"/>
          <cell r="B5793"/>
        </row>
        <row r="5794">
          <cell r="A5794"/>
          <cell r="B5794"/>
        </row>
        <row r="5795">
          <cell r="A5795"/>
          <cell r="B5795"/>
        </row>
        <row r="5796">
          <cell r="A5796"/>
          <cell r="B5796"/>
        </row>
        <row r="5797">
          <cell r="A5797"/>
          <cell r="B5797"/>
        </row>
        <row r="5798">
          <cell r="A5798"/>
          <cell r="B5798"/>
        </row>
        <row r="5799">
          <cell r="A5799"/>
          <cell r="B5799"/>
        </row>
        <row r="5800">
          <cell r="A5800"/>
          <cell r="B5800"/>
        </row>
        <row r="5801">
          <cell r="A5801"/>
          <cell r="B5801"/>
        </row>
        <row r="5802">
          <cell r="A5802"/>
          <cell r="B5802"/>
        </row>
        <row r="5803">
          <cell r="A5803"/>
          <cell r="B5803"/>
        </row>
        <row r="5804">
          <cell r="A5804"/>
          <cell r="B5804"/>
        </row>
        <row r="5805">
          <cell r="A5805"/>
          <cell r="B5805"/>
        </row>
        <row r="5806">
          <cell r="A5806"/>
          <cell r="B5806"/>
        </row>
        <row r="5807">
          <cell r="A5807"/>
          <cell r="B5807"/>
        </row>
        <row r="5808">
          <cell r="A5808"/>
          <cell r="B5808"/>
        </row>
        <row r="5809">
          <cell r="A5809"/>
          <cell r="B5809"/>
        </row>
        <row r="5810">
          <cell r="A5810"/>
          <cell r="B5810"/>
        </row>
        <row r="5811">
          <cell r="A5811"/>
          <cell r="B5811"/>
        </row>
        <row r="5812">
          <cell r="A5812"/>
          <cell r="B5812"/>
        </row>
        <row r="5813">
          <cell r="A5813"/>
          <cell r="B5813"/>
        </row>
        <row r="5814">
          <cell r="A5814"/>
          <cell r="B5814"/>
        </row>
        <row r="5815">
          <cell r="A5815"/>
          <cell r="B5815"/>
        </row>
        <row r="5816">
          <cell r="A5816"/>
          <cell r="B5816"/>
        </row>
        <row r="5817">
          <cell r="A5817"/>
          <cell r="B5817"/>
        </row>
        <row r="5818">
          <cell r="A5818"/>
          <cell r="B5818"/>
        </row>
        <row r="5819">
          <cell r="A5819"/>
          <cell r="B5819"/>
        </row>
        <row r="5820">
          <cell r="A5820"/>
          <cell r="B5820"/>
        </row>
        <row r="5821">
          <cell r="A5821"/>
          <cell r="B5821"/>
        </row>
        <row r="5822">
          <cell r="A5822"/>
          <cell r="B5822"/>
        </row>
        <row r="5823">
          <cell r="A5823"/>
          <cell r="B5823"/>
        </row>
        <row r="5824">
          <cell r="A5824"/>
          <cell r="B5824"/>
        </row>
        <row r="5825">
          <cell r="A5825"/>
          <cell r="B5825"/>
        </row>
        <row r="5826">
          <cell r="A5826"/>
          <cell r="B5826"/>
        </row>
        <row r="5827">
          <cell r="A5827"/>
          <cell r="B5827"/>
        </row>
        <row r="5828">
          <cell r="A5828"/>
          <cell r="B5828"/>
        </row>
        <row r="5829">
          <cell r="A5829"/>
          <cell r="B5829"/>
        </row>
        <row r="5830">
          <cell r="A5830"/>
          <cell r="B5830"/>
        </row>
        <row r="5831">
          <cell r="A5831"/>
          <cell r="B5831"/>
        </row>
        <row r="5832">
          <cell r="A5832"/>
          <cell r="B5832"/>
        </row>
        <row r="5833">
          <cell r="A5833"/>
          <cell r="B5833"/>
        </row>
        <row r="5834">
          <cell r="A5834"/>
          <cell r="B5834"/>
        </row>
        <row r="5835">
          <cell r="A5835"/>
          <cell r="B5835"/>
        </row>
        <row r="5836">
          <cell r="A5836"/>
          <cell r="B5836"/>
        </row>
        <row r="5837">
          <cell r="A5837"/>
          <cell r="B5837"/>
        </row>
        <row r="5838">
          <cell r="A5838"/>
          <cell r="B5838"/>
        </row>
        <row r="5839">
          <cell r="A5839"/>
          <cell r="B5839"/>
        </row>
        <row r="5840">
          <cell r="A5840"/>
          <cell r="B5840"/>
        </row>
        <row r="5841">
          <cell r="A5841"/>
          <cell r="B5841"/>
        </row>
        <row r="5842">
          <cell r="A5842"/>
          <cell r="B5842"/>
        </row>
        <row r="5843">
          <cell r="A5843"/>
          <cell r="B5843"/>
        </row>
        <row r="5844">
          <cell r="A5844"/>
          <cell r="B5844"/>
        </row>
        <row r="5845">
          <cell r="A5845"/>
          <cell r="B5845"/>
        </row>
        <row r="5846">
          <cell r="A5846"/>
          <cell r="B5846"/>
        </row>
        <row r="5847">
          <cell r="A5847"/>
          <cell r="B5847"/>
        </row>
        <row r="5848">
          <cell r="A5848"/>
          <cell r="B5848"/>
        </row>
        <row r="5849">
          <cell r="A5849"/>
          <cell r="B5849"/>
        </row>
        <row r="5850">
          <cell r="A5850"/>
          <cell r="B5850"/>
        </row>
        <row r="5851">
          <cell r="A5851"/>
          <cell r="B5851"/>
        </row>
        <row r="5852">
          <cell r="A5852"/>
          <cell r="B5852"/>
        </row>
        <row r="5853">
          <cell r="A5853"/>
          <cell r="B5853"/>
        </row>
        <row r="5854">
          <cell r="A5854"/>
          <cell r="B5854"/>
        </row>
        <row r="5855">
          <cell r="A5855"/>
          <cell r="B5855"/>
        </row>
        <row r="5856">
          <cell r="A5856"/>
          <cell r="B5856"/>
        </row>
        <row r="5857">
          <cell r="A5857"/>
          <cell r="B5857"/>
        </row>
        <row r="5858">
          <cell r="A5858"/>
          <cell r="B5858"/>
        </row>
        <row r="5859">
          <cell r="A5859"/>
          <cell r="B5859"/>
        </row>
        <row r="5860">
          <cell r="A5860"/>
          <cell r="B5860"/>
        </row>
        <row r="5861">
          <cell r="A5861"/>
          <cell r="B5861"/>
        </row>
        <row r="5862">
          <cell r="A5862"/>
          <cell r="B5862"/>
        </row>
        <row r="5863">
          <cell r="A5863"/>
          <cell r="B5863"/>
        </row>
        <row r="5864">
          <cell r="A5864"/>
          <cell r="B5864"/>
        </row>
        <row r="5865">
          <cell r="A5865"/>
          <cell r="B5865"/>
        </row>
        <row r="5866">
          <cell r="A5866"/>
          <cell r="B5866"/>
        </row>
        <row r="5867">
          <cell r="A5867"/>
          <cell r="B5867"/>
        </row>
        <row r="5868">
          <cell r="A5868"/>
          <cell r="B5868"/>
        </row>
        <row r="5869">
          <cell r="A5869"/>
          <cell r="B5869"/>
        </row>
        <row r="5870">
          <cell r="A5870"/>
          <cell r="B5870"/>
        </row>
        <row r="5871">
          <cell r="A5871"/>
          <cell r="B5871"/>
        </row>
        <row r="5872">
          <cell r="A5872"/>
          <cell r="B5872"/>
        </row>
        <row r="5873">
          <cell r="A5873"/>
          <cell r="B5873"/>
        </row>
        <row r="5874">
          <cell r="A5874"/>
          <cell r="B5874"/>
        </row>
        <row r="5875">
          <cell r="A5875"/>
          <cell r="B5875"/>
        </row>
        <row r="5876">
          <cell r="A5876"/>
          <cell r="B5876"/>
        </row>
        <row r="5877">
          <cell r="A5877"/>
          <cell r="B5877"/>
        </row>
        <row r="5878">
          <cell r="A5878"/>
          <cell r="B5878"/>
        </row>
        <row r="5879">
          <cell r="A5879"/>
          <cell r="B5879"/>
        </row>
        <row r="5880">
          <cell r="A5880"/>
          <cell r="B5880"/>
        </row>
        <row r="5881">
          <cell r="A5881"/>
          <cell r="B5881"/>
        </row>
        <row r="5882">
          <cell r="A5882"/>
          <cell r="B5882"/>
        </row>
        <row r="5883">
          <cell r="A5883"/>
          <cell r="B5883"/>
        </row>
        <row r="5884">
          <cell r="A5884"/>
          <cell r="B5884"/>
        </row>
        <row r="5885">
          <cell r="A5885"/>
          <cell r="B5885"/>
        </row>
        <row r="5886">
          <cell r="A5886"/>
          <cell r="B5886"/>
        </row>
        <row r="5887">
          <cell r="A5887"/>
          <cell r="B5887"/>
        </row>
        <row r="5888">
          <cell r="A5888"/>
          <cell r="B5888"/>
        </row>
        <row r="5889">
          <cell r="A5889"/>
          <cell r="B5889"/>
        </row>
        <row r="5890">
          <cell r="A5890"/>
          <cell r="B5890"/>
        </row>
        <row r="5891">
          <cell r="A5891"/>
          <cell r="B5891"/>
        </row>
        <row r="5892">
          <cell r="A5892"/>
          <cell r="B5892"/>
        </row>
        <row r="5893">
          <cell r="A5893"/>
          <cell r="B5893"/>
        </row>
        <row r="5894">
          <cell r="A5894"/>
          <cell r="B5894"/>
        </row>
        <row r="5895">
          <cell r="A5895"/>
          <cell r="B5895"/>
        </row>
        <row r="5896">
          <cell r="A5896"/>
          <cell r="B5896"/>
        </row>
        <row r="5897">
          <cell r="A5897"/>
          <cell r="B5897"/>
        </row>
        <row r="5898">
          <cell r="A5898"/>
          <cell r="B5898"/>
        </row>
        <row r="5899">
          <cell r="A5899"/>
          <cell r="B5899"/>
        </row>
        <row r="5900">
          <cell r="A5900"/>
          <cell r="B5900"/>
        </row>
        <row r="5901">
          <cell r="A5901"/>
          <cell r="B5901"/>
        </row>
        <row r="5902">
          <cell r="A5902"/>
          <cell r="B5902"/>
        </row>
        <row r="5903">
          <cell r="A5903"/>
          <cell r="B5903"/>
        </row>
        <row r="5904">
          <cell r="A5904"/>
          <cell r="B5904"/>
        </row>
        <row r="5905">
          <cell r="A5905"/>
          <cell r="B5905"/>
        </row>
        <row r="5906">
          <cell r="A5906"/>
          <cell r="B5906"/>
        </row>
        <row r="5907">
          <cell r="A5907"/>
          <cell r="B5907"/>
        </row>
        <row r="5908">
          <cell r="A5908"/>
          <cell r="B5908"/>
        </row>
        <row r="5909">
          <cell r="A5909"/>
          <cell r="B5909"/>
        </row>
        <row r="5910">
          <cell r="A5910"/>
          <cell r="B5910"/>
        </row>
        <row r="5911">
          <cell r="A5911"/>
          <cell r="B5911"/>
        </row>
        <row r="5912">
          <cell r="A5912"/>
          <cell r="B5912"/>
        </row>
        <row r="5913">
          <cell r="A5913"/>
          <cell r="B5913"/>
        </row>
        <row r="5914">
          <cell r="A5914"/>
          <cell r="B5914"/>
        </row>
        <row r="5915">
          <cell r="A5915"/>
          <cell r="B5915"/>
        </row>
        <row r="5916">
          <cell r="A5916"/>
          <cell r="B5916"/>
        </row>
        <row r="5917">
          <cell r="A5917"/>
          <cell r="B5917"/>
        </row>
        <row r="5918">
          <cell r="A5918"/>
          <cell r="B5918"/>
        </row>
        <row r="5919">
          <cell r="A5919"/>
          <cell r="B5919"/>
        </row>
        <row r="5920">
          <cell r="A5920"/>
          <cell r="B5920"/>
        </row>
        <row r="5921">
          <cell r="A5921"/>
          <cell r="B5921"/>
        </row>
        <row r="5922">
          <cell r="A5922"/>
          <cell r="B5922"/>
        </row>
        <row r="5923">
          <cell r="A5923"/>
          <cell r="B5923"/>
        </row>
        <row r="5924">
          <cell r="A5924"/>
          <cell r="B5924"/>
        </row>
        <row r="5925">
          <cell r="A5925"/>
          <cell r="B5925"/>
        </row>
        <row r="5926">
          <cell r="A5926"/>
          <cell r="B5926"/>
        </row>
        <row r="5927">
          <cell r="A5927"/>
          <cell r="B5927"/>
        </row>
        <row r="5928">
          <cell r="A5928"/>
          <cell r="B5928"/>
        </row>
        <row r="5929">
          <cell r="A5929"/>
          <cell r="B5929"/>
        </row>
        <row r="5930">
          <cell r="A5930"/>
          <cell r="B5930"/>
        </row>
        <row r="5931">
          <cell r="A5931"/>
          <cell r="B5931"/>
        </row>
        <row r="5932">
          <cell r="A5932"/>
          <cell r="B5932"/>
        </row>
        <row r="5933">
          <cell r="A5933"/>
          <cell r="B5933"/>
        </row>
        <row r="5934">
          <cell r="A5934"/>
          <cell r="B5934"/>
        </row>
        <row r="5935">
          <cell r="A5935"/>
          <cell r="B5935"/>
        </row>
        <row r="5936">
          <cell r="A5936"/>
          <cell r="B5936"/>
        </row>
        <row r="5937">
          <cell r="A5937"/>
          <cell r="B5937"/>
        </row>
        <row r="5938">
          <cell r="A5938"/>
          <cell r="B5938"/>
        </row>
        <row r="5939">
          <cell r="A5939"/>
          <cell r="B5939"/>
        </row>
        <row r="5940">
          <cell r="A5940"/>
          <cell r="B5940"/>
        </row>
        <row r="5941">
          <cell r="A5941"/>
          <cell r="B5941"/>
        </row>
        <row r="5942">
          <cell r="A5942"/>
          <cell r="B5942"/>
        </row>
        <row r="5943">
          <cell r="A5943"/>
          <cell r="B5943"/>
        </row>
        <row r="5944">
          <cell r="A5944"/>
          <cell r="B5944"/>
        </row>
        <row r="5945">
          <cell r="A5945"/>
          <cell r="B5945"/>
        </row>
        <row r="5946">
          <cell r="A5946"/>
          <cell r="B5946"/>
        </row>
        <row r="5947">
          <cell r="A5947"/>
          <cell r="B5947"/>
        </row>
        <row r="5948">
          <cell r="A5948"/>
          <cell r="B5948"/>
        </row>
        <row r="5949">
          <cell r="A5949"/>
          <cell r="B5949"/>
        </row>
        <row r="5950">
          <cell r="A5950"/>
          <cell r="B5950"/>
        </row>
        <row r="5951">
          <cell r="A5951"/>
          <cell r="B5951"/>
        </row>
        <row r="5952">
          <cell r="A5952"/>
          <cell r="B5952"/>
        </row>
        <row r="5953">
          <cell r="A5953"/>
          <cell r="B5953"/>
        </row>
        <row r="5954">
          <cell r="A5954"/>
          <cell r="B5954"/>
        </row>
        <row r="5955">
          <cell r="A5955"/>
          <cell r="B5955"/>
        </row>
        <row r="5956">
          <cell r="A5956"/>
          <cell r="B5956"/>
        </row>
        <row r="5957">
          <cell r="A5957"/>
          <cell r="B5957"/>
        </row>
        <row r="5958">
          <cell r="A5958"/>
          <cell r="B5958"/>
        </row>
        <row r="5959">
          <cell r="A5959"/>
          <cell r="B5959"/>
        </row>
        <row r="5960">
          <cell r="A5960"/>
          <cell r="B5960"/>
        </row>
        <row r="5961">
          <cell r="A5961"/>
          <cell r="B5961"/>
        </row>
        <row r="5962">
          <cell r="A5962"/>
          <cell r="B5962"/>
        </row>
        <row r="5963">
          <cell r="A5963"/>
          <cell r="B5963"/>
        </row>
        <row r="5964">
          <cell r="A5964"/>
          <cell r="B5964"/>
        </row>
        <row r="5965">
          <cell r="A5965"/>
          <cell r="B5965"/>
        </row>
        <row r="5966">
          <cell r="A5966"/>
          <cell r="B5966"/>
        </row>
        <row r="5967">
          <cell r="A5967"/>
          <cell r="B5967"/>
        </row>
        <row r="5968">
          <cell r="A5968"/>
          <cell r="B5968"/>
        </row>
        <row r="5969">
          <cell r="A5969"/>
          <cell r="B5969"/>
        </row>
        <row r="5970">
          <cell r="A5970"/>
          <cell r="B5970"/>
        </row>
        <row r="5971">
          <cell r="A5971"/>
          <cell r="B5971"/>
        </row>
        <row r="5972">
          <cell r="A5972"/>
          <cell r="B5972"/>
        </row>
        <row r="5973">
          <cell r="A5973"/>
          <cell r="B5973"/>
        </row>
        <row r="5974">
          <cell r="A5974"/>
          <cell r="B5974"/>
        </row>
        <row r="5975">
          <cell r="A5975"/>
          <cell r="B5975"/>
        </row>
        <row r="5976">
          <cell r="A5976"/>
          <cell r="B5976"/>
        </row>
        <row r="5977">
          <cell r="A5977"/>
          <cell r="B5977"/>
        </row>
        <row r="5978">
          <cell r="A5978"/>
          <cell r="B5978"/>
        </row>
        <row r="5979">
          <cell r="A5979"/>
          <cell r="B5979"/>
        </row>
        <row r="5980">
          <cell r="A5980"/>
          <cell r="B5980"/>
        </row>
        <row r="5981">
          <cell r="A5981"/>
          <cell r="B5981"/>
        </row>
        <row r="5982">
          <cell r="A5982"/>
          <cell r="B5982"/>
        </row>
        <row r="5983">
          <cell r="A5983"/>
          <cell r="B5983"/>
        </row>
        <row r="5984">
          <cell r="A5984"/>
          <cell r="B5984"/>
        </row>
        <row r="5985">
          <cell r="A5985"/>
          <cell r="B5985"/>
        </row>
        <row r="5986">
          <cell r="A5986"/>
          <cell r="B5986"/>
        </row>
        <row r="5987">
          <cell r="A5987"/>
          <cell r="B5987"/>
        </row>
        <row r="5988">
          <cell r="A5988"/>
          <cell r="B5988"/>
        </row>
        <row r="5989">
          <cell r="A5989"/>
          <cell r="B5989"/>
        </row>
        <row r="5990">
          <cell r="A5990"/>
          <cell r="B5990"/>
        </row>
        <row r="5991">
          <cell r="A5991"/>
          <cell r="B5991"/>
        </row>
        <row r="5992">
          <cell r="A5992"/>
          <cell r="B5992"/>
        </row>
        <row r="5993">
          <cell r="A5993"/>
          <cell r="B5993"/>
        </row>
        <row r="5994">
          <cell r="A5994"/>
          <cell r="B5994"/>
        </row>
        <row r="5995">
          <cell r="A5995"/>
          <cell r="B5995"/>
        </row>
        <row r="5996">
          <cell r="A5996"/>
          <cell r="B5996"/>
        </row>
        <row r="5997">
          <cell r="A5997"/>
          <cell r="B5997"/>
        </row>
        <row r="5998">
          <cell r="A5998"/>
          <cell r="B5998"/>
        </row>
        <row r="5999">
          <cell r="A5999"/>
          <cell r="B5999"/>
        </row>
        <row r="6000">
          <cell r="A6000"/>
          <cell r="B6000"/>
        </row>
        <row r="6001">
          <cell r="A6001"/>
          <cell r="B6001"/>
        </row>
        <row r="6002">
          <cell r="A6002"/>
          <cell r="B6002"/>
        </row>
        <row r="6003">
          <cell r="A6003"/>
          <cell r="B6003"/>
        </row>
        <row r="6004">
          <cell r="A6004"/>
          <cell r="B6004"/>
        </row>
        <row r="6005">
          <cell r="A6005"/>
          <cell r="B6005"/>
        </row>
        <row r="6006">
          <cell r="A6006"/>
          <cell r="B6006"/>
        </row>
        <row r="6007">
          <cell r="A6007"/>
          <cell r="B6007"/>
        </row>
        <row r="6008">
          <cell r="A6008"/>
          <cell r="B6008"/>
        </row>
        <row r="6009">
          <cell r="A6009"/>
          <cell r="B6009"/>
        </row>
        <row r="6010">
          <cell r="A6010"/>
          <cell r="B6010"/>
        </row>
        <row r="6011">
          <cell r="A6011"/>
          <cell r="B6011"/>
        </row>
        <row r="6012">
          <cell r="A6012"/>
          <cell r="B6012"/>
        </row>
        <row r="6013">
          <cell r="A6013"/>
          <cell r="B6013"/>
        </row>
        <row r="6014">
          <cell r="A6014"/>
          <cell r="B6014"/>
        </row>
        <row r="6015">
          <cell r="A6015"/>
          <cell r="B6015"/>
        </row>
        <row r="6016">
          <cell r="A6016"/>
          <cell r="B6016"/>
        </row>
        <row r="6017">
          <cell r="A6017"/>
          <cell r="B6017"/>
        </row>
        <row r="6018">
          <cell r="A6018"/>
          <cell r="B6018"/>
        </row>
        <row r="6019">
          <cell r="A6019"/>
          <cell r="B6019"/>
        </row>
        <row r="6020">
          <cell r="A6020"/>
          <cell r="B6020"/>
        </row>
        <row r="6021">
          <cell r="A6021"/>
          <cell r="B6021"/>
        </row>
        <row r="6022">
          <cell r="A6022"/>
          <cell r="B6022"/>
        </row>
        <row r="6023">
          <cell r="A6023"/>
          <cell r="B6023"/>
        </row>
        <row r="6024">
          <cell r="A6024"/>
          <cell r="B6024"/>
        </row>
        <row r="6025">
          <cell r="A6025"/>
          <cell r="B6025"/>
        </row>
        <row r="6026">
          <cell r="A6026"/>
          <cell r="B6026"/>
        </row>
        <row r="6027">
          <cell r="A6027"/>
          <cell r="B6027"/>
        </row>
        <row r="6028">
          <cell r="A6028"/>
          <cell r="B6028"/>
        </row>
        <row r="6029">
          <cell r="A6029"/>
          <cell r="B6029"/>
        </row>
        <row r="6030">
          <cell r="A6030"/>
          <cell r="B6030"/>
        </row>
        <row r="6031">
          <cell r="A6031"/>
          <cell r="B6031"/>
        </row>
        <row r="6032">
          <cell r="A6032"/>
          <cell r="B6032"/>
        </row>
        <row r="6033">
          <cell r="A6033"/>
          <cell r="B6033"/>
        </row>
        <row r="6034">
          <cell r="A6034"/>
          <cell r="B6034"/>
        </row>
        <row r="6035">
          <cell r="A6035"/>
          <cell r="B6035"/>
        </row>
        <row r="6036">
          <cell r="A6036"/>
          <cell r="B6036"/>
        </row>
        <row r="6037">
          <cell r="A6037"/>
          <cell r="B6037"/>
        </row>
        <row r="6038">
          <cell r="A6038"/>
          <cell r="B6038"/>
        </row>
        <row r="6039">
          <cell r="A6039"/>
          <cell r="B6039"/>
        </row>
        <row r="6040">
          <cell r="A6040"/>
          <cell r="B6040"/>
        </row>
        <row r="6041">
          <cell r="A6041"/>
          <cell r="B6041"/>
        </row>
        <row r="6042">
          <cell r="A6042"/>
          <cell r="B6042"/>
        </row>
        <row r="6043">
          <cell r="A6043"/>
          <cell r="B6043"/>
        </row>
        <row r="6044">
          <cell r="A6044"/>
          <cell r="B6044"/>
        </row>
        <row r="6045">
          <cell r="A6045"/>
          <cell r="B6045"/>
        </row>
        <row r="6046">
          <cell r="A6046"/>
          <cell r="B6046"/>
        </row>
        <row r="6047">
          <cell r="A6047"/>
          <cell r="B6047"/>
        </row>
        <row r="6048">
          <cell r="A6048"/>
          <cell r="B6048"/>
        </row>
        <row r="6049">
          <cell r="A6049"/>
          <cell r="B6049"/>
        </row>
        <row r="6050">
          <cell r="A6050"/>
          <cell r="B6050"/>
        </row>
        <row r="6051">
          <cell r="A6051"/>
          <cell r="B6051"/>
        </row>
        <row r="6052">
          <cell r="A6052"/>
          <cell r="B6052"/>
        </row>
        <row r="6053">
          <cell r="A6053"/>
          <cell r="B6053"/>
        </row>
        <row r="6054">
          <cell r="A6054"/>
          <cell r="B6054"/>
        </row>
        <row r="6055">
          <cell r="A6055"/>
          <cell r="B6055"/>
        </row>
        <row r="6056">
          <cell r="A6056"/>
          <cell r="B6056"/>
        </row>
        <row r="6057">
          <cell r="A6057"/>
          <cell r="B6057"/>
        </row>
        <row r="6058">
          <cell r="A6058"/>
          <cell r="B6058"/>
        </row>
        <row r="6059">
          <cell r="A6059"/>
          <cell r="B6059"/>
        </row>
        <row r="6060">
          <cell r="A6060"/>
          <cell r="B6060"/>
        </row>
        <row r="6061">
          <cell r="A6061"/>
          <cell r="B6061"/>
        </row>
        <row r="6062">
          <cell r="A6062"/>
          <cell r="B6062"/>
        </row>
        <row r="6063">
          <cell r="A6063"/>
          <cell r="B6063"/>
        </row>
        <row r="6064">
          <cell r="A6064"/>
          <cell r="B6064"/>
        </row>
        <row r="6065">
          <cell r="A6065"/>
          <cell r="B6065"/>
        </row>
        <row r="6066">
          <cell r="A6066"/>
          <cell r="B6066"/>
        </row>
        <row r="6067">
          <cell r="A6067"/>
          <cell r="B6067"/>
        </row>
        <row r="6068">
          <cell r="A6068"/>
          <cell r="B6068"/>
        </row>
        <row r="6069">
          <cell r="A6069"/>
          <cell r="B6069"/>
        </row>
        <row r="6070">
          <cell r="A6070"/>
          <cell r="B6070"/>
        </row>
        <row r="6071">
          <cell r="A6071"/>
          <cell r="B6071"/>
        </row>
        <row r="6072">
          <cell r="A6072"/>
          <cell r="B6072"/>
        </row>
        <row r="6073">
          <cell r="A6073"/>
          <cell r="B6073"/>
        </row>
        <row r="6074">
          <cell r="A6074"/>
          <cell r="B6074"/>
        </row>
        <row r="6075">
          <cell r="A6075"/>
          <cell r="B6075"/>
        </row>
        <row r="6076">
          <cell r="A6076"/>
          <cell r="B6076"/>
        </row>
        <row r="6077">
          <cell r="A6077"/>
          <cell r="B6077"/>
        </row>
        <row r="6078">
          <cell r="A6078"/>
          <cell r="B6078"/>
        </row>
        <row r="6079">
          <cell r="A6079"/>
          <cell r="B6079"/>
        </row>
        <row r="6080">
          <cell r="A6080"/>
          <cell r="B6080"/>
        </row>
        <row r="6081">
          <cell r="A6081"/>
          <cell r="B6081"/>
        </row>
        <row r="6082">
          <cell r="A6082"/>
          <cell r="B6082"/>
        </row>
        <row r="6083">
          <cell r="A6083"/>
          <cell r="B6083"/>
        </row>
        <row r="6084">
          <cell r="A6084"/>
          <cell r="B6084"/>
        </row>
        <row r="6085">
          <cell r="A6085"/>
          <cell r="B6085"/>
        </row>
        <row r="6086">
          <cell r="A6086"/>
          <cell r="B6086"/>
        </row>
        <row r="6087">
          <cell r="A6087"/>
          <cell r="B6087"/>
        </row>
        <row r="6088">
          <cell r="A6088"/>
          <cell r="B6088"/>
        </row>
        <row r="6089">
          <cell r="A6089"/>
          <cell r="B6089"/>
        </row>
        <row r="6090">
          <cell r="A6090"/>
          <cell r="B6090"/>
        </row>
        <row r="6091">
          <cell r="A6091"/>
          <cell r="B6091"/>
        </row>
        <row r="6092">
          <cell r="A6092"/>
          <cell r="B6092"/>
        </row>
        <row r="6093">
          <cell r="A6093"/>
          <cell r="B6093"/>
        </row>
        <row r="6094">
          <cell r="A6094"/>
          <cell r="B6094"/>
        </row>
        <row r="6095">
          <cell r="A6095"/>
          <cell r="B6095"/>
        </row>
        <row r="6096">
          <cell r="A6096"/>
          <cell r="B6096"/>
        </row>
        <row r="6097">
          <cell r="A6097"/>
          <cell r="B6097"/>
        </row>
        <row r="6098">
          <cell r="A6098"/>
          <cell r="B6098"/>
        </row>
        <row r="6099">
          <cell r="A6099"/>
          <cell r="B6099"/>
        </row>
        <row r="6100">
          <cell r="A6100"/>
          <cell r="B6100"/>
        </row>
        <row r="6101">
          <cell r="A6101"/>
          <cell r="B6101"/>
        </row>
        <row r="6102">
          <cell r="A6102"/>
          <cell r="B6102"/>
        </row>
        <row r="6103">
          <cell r="A6103"/>
          <cell r="B6103"/>
        </row>
        <row r="6104">
          <cell r="A6104"/>
          <cell r="B6104"/>
        </row>
        <row r="6105">
          <cell r="A6105"/>
          <cell r="B6105"/>
        </row>
        <row r="6106">
          <cell r="A6106"/>
          <cell r="B6106"/>
        </row>
        <row r="6107">
          <cell r="A6107"/>
          <cell r="B6107"/>
        </row>
        <row r="6108">
          <cell r="A6108"/>
          <cell r="B6108"/>
        </row>
        <row r="6109">
          <cell r="A6109"/>
          <cell r="B6109"/>
        </row>
        <row r="6110">
          <cell r="A6110"/>
          <cell r="B6110"/>
        </row>
        <row r="6111">
          <cell r="A6111"/>
          <cell r="B6111"/>
        </row>
        <row r="6112">
          <cell r="A6112"/>
          <cell r="B6112"/>
        </row>
        <row r="6113">
          <cell r="A6113"/>
          <cell r="B6113"/>
        </row>
        <row r="6114">
          <cell r="A6114"/>
          <cell r="B6114"/>
        </row>
        <row r="6115">
          <cell r="A6115"/>
          <cell r="B6115"/>
        </row>
        <row r="6116">
          <cell r="A6116"/>
          <cell r="B6116"/>
        </row>
        <row r="6117">
          <cell r="A6117"/>
          <cell r="B6117"/>
        </row>
        <row r="6118">
          <cell r="A6118"/>
          <cell r="B6118"/>
        </row>
        <row r="6119">
          <cell r="A6119"/>
          <cell r="B6119"/>
        </row>
        <row r="6120">
          <cell r="A6120"/>
          <cell r="B6120"/>
        </row>
        <row r="6121">
          <cell r="A6121"/>
          <cell r="B6121"/>
        </row>
        <row r="6122">
          <cell r="A6122"/>
          <cell r="B6122"/>
        </row>
        <row r="6123">
          <cell r="A6123"/>
          <cell r="B6123"/>
        </row>
        <row r="6124">
          <cell r="A6124"/>
          <cell r="B6124"/>
        </row>
        <row r="6125">
          <cell r="A6125"/>
          <cell r="B6125"/>
        </row>
        <row r="6126">
          <cell r="A6126"/>
          <cell r="B6126"/>
        </row>
        <row r="6127">
          <cell r="A6127"/>
          <cell r="B6127"/>
        </row>
        <row r="6128">
          <cell r="A6128"/>
          <cell r="B6128"/>
        </row>
        <row r="6129">
          <cell r="A6129"/>
          <cell r="B6129"/>
        </row>
        <row r="6130">
          <cell r="A6130"/>
          <cell r="B6130"/>
        </row>
        <row r="6131">
          <cell r="A6131"/>
          <cell r="B6131"/>
        </row>
        <row r="6132">
          <cell r="A6132"/>
          <cell r="B6132"/>
        </row>
        <row r="6133">
          <cell r="A6133"/>
          <cell r="B6133"/>
        </row>
        <row r="6134">
          <cell r="A6134"/>
          <cell r="B6134"/>
        </row>
        <row r="6135">
          <cell r="A6135"/>
          <cell r="B6135"/>
        </row>
        <row r="6136">
          <cell r="A6136"/>
          <cell r="B6136"/>
        </row>
        <row r="6137">
          <cell r="A6137"/>
          <cell r="B6137"/>
        </row>
        <row r="6138">
          <cell r="A6138"/>
          <cell r="B6138"/>
        </row>
        <row r="6139">
          <cell r="A6139"/>
          <cell r="B6139"/>
        </row>
        <row r="6140">
          <cell r="A6140"/>
          <cell r="B6140"/>
        </row>
        <row r="6141">
          <cell r="A6141"/>
          <cell r="B6141"/>
        </row>
        <row r="6142">
          <cell r="A6142"/>
          <cell r="B6142"/>
        </row>
        <row r="6143">
          <cell r="A6143"/>
          <cell r="B6143"/>
        </row>
        <row r="6144">
          <cell r="A6144"/>
          <cell r="B6144"/>
        </row>
        <row r="6145">
          <cell r="A6145"/>
          <cell r="B6145"/>
        </row>
        <row r="6146">
          <cell r="A6146"/>
          <cell r="B6146"/>
        </row>
        <row r="6147">
          <cell r="A6147"/>
          <cell r="B6147"/>
        </row>
        <row r="6148">
          <cell r="A6148"/>
          <cell r="B6148"/>
        </row>
        <row r="6149">
          <cell r="A6149"/>
          <cell r="B6149"/>
        </row>
        <row r="6150">
          <cell r="A6150"/>
          <cell r="B6150"/>
        </row>
        <row r="6151">
          <cell r="A6151"/>
          <cell r="B6151"/>
        </row>
        <row r="6152">
          <cell r="A6152"/>
          <cell r="B6152"/>
        </row>
        <row r="6153">
          <cell r="A6153"/>
          <cell r="B6153"/>
        </row>
        <row r="6154">
          <cell r="A6154"/>
          <cell r="B6154"/>
        </row>
        <row r="6155">
          <cell r="A6155"/>
          <cell r="B6155"/>
        </row>
        <row r="6156">
          <cell r="A6156"/>
          <cell r="B6156"/>
        </row>
        <row r="6157">
          <cell r="A6157"/>
          <cell r="B6157"/>
        </row>
        <row r="6158">
          <cell r="A6158"/>
          <cell r="B6158"/>
        </row>
        <row r="6159">
          <cell r="A6159"/>
          <cell r="B6159"/>
        </row>
        <row r="6160">
          <cell r="A6160"/>
          <cell r="B6160"/>
        </row>
        <row r="6161">
          <cell r="A6161"/>
          <cell r="B6161"/>
        </row>
        <row r="6162">
          <cell r="A6162"/>
          <cell r="B6162"/>
        </row>
        <row r="6163">
          <cell r="A6163"/>
          <cell r="B6163"/>
        </row>
        <row r="6164">
          <cell r="A6164"/>
          <cell r="B6164"/>
        </row>
        <row r="6165">
          <cell r="A6165"/>
          <cell r="B6165"/>
        </row>
        <row r="6166">
          <cell r="A6166"/>
          <cell r="B6166"/>
        </row>
        <row r="6167">
          <cell r="A6167"/>
          <cell r="B6167"/>
        </row>
        <row r="6168">
          <cell r="A6168"/>
          <cell r="B6168"/>
        </row>
        <row r="6169">
          <cell r="A6169"/>
          <cell r="B6169"/>
        </row>
        <row r="6170">
          <cell r="A6170"/>
          <cell r="B6170"/>
        </row>
        <row r="6171">
          <cell r="A6171"/>
          <cell r="B6171"/>
        </row>
        <row r="6172">
          <cell r="A6172"/>
          <cell r="B6172"/>
        </row>
        <row r="6173">
          <cell r="A6173"/>
          <cell r="B6173"/>
        </row>
        <row r="6174">
          <cell r="A6174"/>
          <cell r="B6174"/>
        </row>
        <row r="6175">
          <cell r="A6175"/>
          <cell r="B6175"/>
        </row>
        <row r="6176">
          <cell r="A6176"/>
          <cell r="B6176"/>
        </row>
        <row r="6177">
          <cell r="A6177"/>
          <cell r="B6177"/>
        </row>
        <row r="6178">
          <cell r="A6178"/>
          <cell r="B6178"/>
        </row>
        <row r="6179">
          <cell r="A6179"/>
          <cell r="B6179"/>
        </row>
        <row r="6180">
          <cell r="A6180"/>
          <cell r="B6180"/>
        </row>
        <row r="6181">
          <cell r="A6181"/>
          <cell r="B6181"/>
        </row>
        <row r="6182">
          <cell r="A6182"/>
          <cell r="B6182"/>
        </row>
        <row r="6183">
          <cell r="A6183"/>
          <cell r="B6183"/>
        </row>
        <row r="6184">
          <cell r="A6184"/>
          <cell r="B6184"/>
        </row>
        <row r="6185">
          <cell r="A6185"/>
          <cell r="B6185"/>
        </row>
        <row r="6186">
          <cell r="A6186"/>
          <cell r="B6186"/>
        </row>
        <row r="6187">
          <cell r="A6187"/>
          <cell r="B6187"/>
        </row>
        <row r="6188">
          <cell r="A6188"/>
          <cell r="B6188"/>
        </row>
        <row r="6189">
          <cell r="A6189"/>
          <cell r="B6189"/>
        </row>
        <row r="6190">
          <cell r="A6190"/>
          <cell r="B6190"/>
        </row>
        <row r="6191">
          <cell r="A6191"/>
          <cell r="B6191"/>
        </row>
        <row r="6192">
          <cell r="A6192"/>
          <cell r="B6192"/>
        </row>
        <row r="6193">
          <cell r="A6193"/>
          <cell r="B6193"/>
        </row>
        <row r="6194">
          <cell r="A6194"/>
          <cell r="B6194"/>
        </row>
        <row r="6195">
          <cell r="A6195"/>
          <cell r="B6195"/>
        </row>
        <row r="6196">
          <cell r="A6196"/>
          <cell r="B6196"/>
        </row>
        <row r="6197">
          <cell r="A6197"/>
          <cell r="B6197"/>
        </row>
        <row r="6198">
          <cell r="A6198"/>
          <cell r="B6198"/>
        </row>
        <row r="6199">
          <cell r="A6199"/>
          <cell r="B6199"/>
        </row>
        <row r="6200">
          <cell r="A6200"/>
          <cell r="B6200"/>
        </row>
        <row r="6201">
          <cell r="A6201"/>
          <cell r="B6201"/>
        </row>
        <row r="6202">
          <cell r="A6202"/>
          <cell r="B6202"/>
        </row>
        <row r="6203">
          <cell r="A6203"/>
          <cell r="B6203"/>
        </row>
        <row r="6204">
          <cell r="A6204"/>
          <cell r="B6204"/>
        </row>
        <row r="6205">
          <cell r="A6205"/>
          <cell r="B6205"/>
        </row>
        <row r="6206">
          <cell r="A6206"/>
          <cell r="B6206"/>
        </row>
        <row r="6207">
          <cell r="A6207"/>
          <cell r="B6207"/>
        </row>
        <row r="6208">
          <cell r="A6208"/>
          <cell r="B6208"/>
        </row>
        <row r="6209">
          <cell r="A6209"/>
          <cell r="B6209"/>
        </row>
        <row r="6210">
          <cell r="A6210"/>
          <cell r="B6210"/>
        </row>
        <row r="6211">
          <cell r="A6211"/>
          <cell r="B6211"/>
        </row>
        <row r="6212">
          <cell r="A6212"/>
          <cell r="B6212"/>
        </row>
        <row r="6213">
          <cell r="A6213"/>
          <cell r="B6213"/>
        </row>
        <row r="6214">
          <cell r="A6214"/>
          <cell r="B6214"/>
        </row>
        <row r="6215">
          <cell r="A6215"/>
          <cell r="B6215"/>
        </row>
        <row r="6216">
          <cell r="A6216"/>
          <cell r="B6216"/>
        </row>
        <row r="6217">
          <cell r="A6217"/>
          <cell r="B6217"/>
        </row>
        <row r="6218">
          <cell r="A6218"/>
          <cell r="B6218"/>
        </row>
        <row r="6219">
          <cell r="A6219"/>
          <cell r="B6219"/>
        </row>
        <row r="6220">
          <cell r="A6220"/>
          <cell r="B6220"/>
        </row>
        <row r="6221">
          <cell r="A6221"/>
          <cell r="B6221"/>
        </row>
        <row r="6222">
          <cell r="A6222"/>
          <cell r="B6222"/>
        </row>
        <row r="6223">
          <cell r="A6223"/>
          <cell r="B6223"/>
        </row>
        <row r="6224">
          <cell r="A6224"/>
          <cell r="B6224"/>
        </row>
        <row r="6225">
          <cell r="A6225"/>
          <cell r="B6225"/>
        </row>
        <row r="6226">
          <cell r="A6226"/>
          <cell r="B6226"/>
        </row>
        <row r="6227">
          <cell r="A6227"/>
          <cell r="B6227"/>
        </row>
        <row r="6228">
          <cell r="A6228"/>
          <cell r="B6228"/>
        </row>
        <row r="6229">
          <cell r="A6229"/>
          <cell r="B6229"/>
        </row>
        <row r="6230">
          <cell r="A6230"/>
          <cell r="B6230"/>
        </row>
        <row r="6231">
          <cell r="A6231"/>
          <cell r="B6231"/>
        </row>
        <row r="6232">
          <cell r="A6232"/>
          <cell r="B6232"/>
        </row>
        <row r="6233">
          <cell r="A6233"/>
          <cell r="B6233"/>
        </row>
        <row r="6234">
          <cell r="A6234"/>
          <cell r="B6234"/>
        </row>
        <row r="6235">
          <cell r="A6235"/>
          <cell r="B6235"/>
        </row>
        <row r="6236">
          <cell r="A6236"/>
          <cell r="B6236"/>
        </row>
        <row r="6237">
          <cell r="A6237"/>
          <cell r="B6237"/>
        </row>
        <row r="6238">
          <cell r="A6238"/>
          <cell r="B6238"/>
        </row>
        <row r="6239">
          <cell r="A6239"/>
          <cell r="B6239"/>
        </row>
        <row r="6240">
          <cell r="A6240"/>
          <cell r="B6240"/>
        </row>
        <row r="6241">
          <cell r="A6241"/>
          <cell r="B6241"/>
        </row>
        <row r="6242">
          <cell r="A6242"/>
          <cell r="B6242"/>
        </row>
        <row r="6243">
          <cell r="A6243"/>
          <cell r="B6243"/>
        </row>
        <row r="6244">
          <cell r="A6244"/>
          <cell r="B6244"/>
        </row>
        <row r="6245">
          <cell r="A6245"/>
          <cell r="B6245"/>
        </row>
        <row r="6246">
          <cell r="A6246"/>
          <cell r="B6246"/>
        </row>
        <row r="6247">
          <cell r="A6247"/>
          <cell r="B6247"/>
        </row>
        <row r="6248">
          <cell r="A6248"/>
          <cell r="B6248"/>
        </row>
        <row r="6249">
          <cell r="A6249"/>
          <cell r="B6249"/>
        </row>
        <row r="6250">
          <cell r="A6250"/>
          <cell r="B6250"/>
        </row>
        <row r="6251">
          <cell r="A6251"/>
          <cell r="B6251"/>
        </row>
        <row r="6252">
          <cell r="A6252"/>
          <cell r="B6252"/>
        </row>
        <row r="6253">
          <cell r="A6253"/>
          <cell r="B6253"/>
        </row>
        <row r="6254">
          <cell r="A6254"/>
          <cell r="B6254"/>
        </row>
        <row r="6255">
          <cell r="A6255"/>
          <cell r="B6255"/>
        </row>
        <row r="6256">
          <cell r="A6256"/>
          <cell r="B6256"/>
        </row>
        <row r="6257">
          <cell r="A6257"/>
          <cell r="B6257"/>
        </row>
        <row r="6258">
          <cell r="A6258"/>
          <cell r="B6258"/>
        </row>
        <row r="6259">
          <cell r="A6259"/>
          <cell r="B6259"/>
        </row>
        <row r="6260">
          <cell r="A6260"/>
          <cell r="B6260"/>
        </row>
        <row r="6261">
          <cell r="A6261"/>
          <cell r="B6261"/>
        </row>
        <row r="6262">
          <cell r="A6262"/>
          <cell r="B6262"/>
        </row>
        <row r="6263">
          <cell r="A6263"/>
          <cell r="B6263"/>
        </row>
        <row r="6264">
          <cell r="A6264"/>
          <cell r="B6264"/>
        </row>
        <row r="6265">
          <cell r="A6265"/>
          <cell r="B6265"/>
        </row>
        <row r="6266">
          <cell r="A6266"/>
          <cell r="B6266"/>
        </row>
        <row r="6267">
          <cell r="A6267"/>
          <cell r="B6267"/>
        </row>
        <row r="6268">
          <cell r="A6268"/>
          <cell r="B6268"/>
        </row>
        <row r="6269">
          <cell r="A6269"/>
          <cell r="B6269"/>
        </row>
        <row r="6270">
          <cell r="A6270"/>
          <cell r="B6270"/>
        </row>
        <row r="6271">
          <cell r="A6271"/>
          <cell r="B6271"/>
        </row>
        <row r="6272">
          <cell r="A6272"/>
          <cell r="B6272"/>
        </row>
        <row r="6273">
          <cell r="A6273"/>
          <cell r="B6273"/>
        </row>
        <row r="6274">
          <cell r="A6274"/>
          <cell r="B6274"/>
        </row>
        <row r="6275">
          <cell r="A6275"/>
          <cell r="B6275"/>
        </row>
        <row r="6276">
          <cell r="A6276"/>
          <cell r="B6276"/>
        </row>
        <row r="6277">
          <cell r="A6277"/>
          <cell r="B6277"/>
        </row>
        <row r="6278">
          <cell r="A6278"/>
          <cell r="B6278"/>
        </row>
        <row r="6279">
          <cell r="A6279"/>
          <cell r="B6279"/>
        </row>
        <row r="6280">
          <cell r="A6280"/>
          <cell r="B6280"/>
        </row>
        <row r="6281">
          <cell r="A6281"/>
          <cell r="B6281"/>
        </row>
        <row r="6282">
          <cell r="A6282"/>
          <cell r="B6282"/>
        </row>
        <row r="6283">
          <cell r="A6283"/>
          <cell r="B6283"/>
        </row>
        <row r="6284">
          <cell r="A6284"/>
          <cell r="B6284"/>
        </row>
        <row r="6285">
          <cell r="A6285"/>
          <cell r="B6285"/>
        </row>
        <row r="6286">
          <cell r="A6286"/>
          <cell r="B6286"/>
        </row>
        <row r="6287">
          <cell r="A6287"/>
          <cell r="B6287"/>
        </row>
        <row r="6288">
          <cell r="A6288"/>
          <cell r="B6288"/>
        </row>
        <row r="6289">
          <cell r="A6289"/>
          <cell r="B6289"/>
        </row>
        <row r="6290">
          <cell r="A6290"/>
          <cell r="B6290"/>
        </row>
        <row r="6291">
          <cell r="A6291"/>
          <cell r="B6291"/>
        </row>
        <row r="6292">
          <cell r="A6292"/>
          <cell r="B6292"/>
        </row>
        <row r="6293">
          <cell r="A6293"/>
          <cell r="B6293"/>
        </row>
        <row r="6294">
          <cell r="A6294"/>
          <cell r="B6294"/>
        </row>
        <row r="6295">
          <cell r="A6295"/>
          <cell r="B6295"/>
        </row>
        <row r="6296">
          <cell r="A6296"/>
          <cell r="B6296"/>
        </row>
        <row r="6297">
          <cell r="A6297"/>
          <cell r="B6297"/>
        </row>
        <row r="6298">
          <cell r="A6298"/>
          <cell r="B6298"/>
        </row>
        <row r="6299">
          <cell r="A6299"/>
          <cell r="B6299"/>
        </row>
        <row r="6300">
          <cell r="A6300"/>
          <cell r="B6300"/>
        </row>
        <row r="6301">
          <cell r="A6301"/>
          <cell r="B6301"/>
        </row>
        <row r="6302">
          <cell r="A6302"/>
          <cell r="B6302"/>
        </row>
        <row r="6303">
          <cell r="A6303"/>
          <cell r="B6303"/>
        </row>
        <row r="6304">
          <cell r="A6304"/>
          <cell r="B6304"/>
        </row>
        <row r="6305">
          <cell r="A6305"/>
          <cell r="B6305"/>
        </row>
        <row r="6306">
          <cell r="A6306"/>
          <cell r="B6306"/>
        </row>
        <row r="6307">
          <cell r="A6307"/>
          <cell r="B6307"/>
        </row>
        <row r="6308">
          <cell r="A6308"/>
          <cell r="B6308"/>
        </row>
        <row r="6309">
          <cell r="A6309"/>
          <cell r="B6309"/>
        </row>
        <row r="6310">
          <cell r="A6310"/>
          <cell r="B6310"/>
        </row>
        <row r="6311">
          <cell r="A6311"/>
          <cell r="B6311"/>
        </row>
        <row r="6312">
          <cell r="A6312"/>
          <cell r="B6312"/>
        </row>
        <row r="6313">
          <cell r="A6313"/>
          <cell r="B6313"/>
        </row>
        <row r="6314">
          <cell r="A6314"/>
          <cell r="B6314"/>
        </row>
        <row r="6315">
          <cell r="A6315"/>
          <cell r="B6315"/>
        </row>
        <row r="6316">
          <cell r="A6316"/>
          <cell r="B6316"/>
        </row>
        <row r="6317">
          <cell r="A6317"/>
          <cell r="B6317"/>
        </row>
        <row r="6318">
          <cell r="A6318"/>
          <cell r="B6318"/>
        </row>
        <row r="6319">
          <cell r="A6319"/>
          <cell r="B6319"/>
        </row>
        <row r="6320">
          <cell r="A6320"/>
          <cell r="B6320"/>
        </row>
        <row r="6321">
          <cell r="A6321"/>
          <cell r="B6321"/>
        </row>
        <row r="6322">
          <cell r="A6322"/>
          <cell r="B6322"/>
        </row>
        <row r="6323">
          <cell r="A6323"/>
          <cell r="B6323"/>
        </row>
        <row r="6324">
          <cell r="A6324"/>
          <cell r="B6324"/>
        </row>
        <row r="6325">
          <cell r="A6325"/>
          <cell r="B6325"/>
        </row>
        <row r="6326">
          <cell r="A6326"/>
          <cell r="B6326"/>
        </row>
        <row r="6327">
          <cell r="A6327"/>
          <cell r="B6327"/>
        </row>
        <row r="6328">
          <cell r="A6328"/>
          <cell r="B6328"/>
        </row>
        <row r="6329">
          <cell r="A6329"/>
          <cell r="B6329"/>
        </row>
        <row r="6330">
          <cell r="A6330"/>
          <cell r="B6330"/>
        </row>
        <row r="6331">
          <cell r="A6331"/>
          <cell r="B6331"/>
        </row>
        <row r="6332">
          <cell r="A6332"/>
          <cell r="B6332"/>
        </row>
        <row r="6333">
          <cell r="A6333"/>
          <cell r="B6333"/>
        </row>
        <row r="6334">
          <cell r="A6334"/>
          <cell r="B6334"/>
        </row>
        <row r="6335">
          <cell r="A6335"/>
          <cell r="B6335"/>
        </row>
        <row r="6336">
          <cell r="A6336"/>
          <cell r="B6336"/>
        </row>
        <row r="6337">
          <cell r="A6337"/>
          <cell r="B6337"/>
        </row>
        <row r="6338">
          <cell r="A6338"/>
          <cell r="B6338"/>
        </row>
        <row r="6339">
          <cell r="A6339"/>
          <cell r="B6339"/>
        </row>
        <row r="6340">
          <cell r="A6340"/>
          <cell r="B6340"/>
        </row>
        <row r="6341">
          <cell r="A6341"/>
          <cell r="B6341"/>
        </row>
        <row r="6342">
          <cell r="A6342"/>
          <cell r="B6342"/>
        </row>
        <row r="6343">
          <cell r="A6343"/>
          <cell r="B6343"/>
        </row>
        <row r="6344">
          <cell r="A6344"/>
          <cell r="B6344"/>
        </row>
        <row r="6345">
          <cell r="A6345"/>
          <cell r="B6345"/>
        </row>
        <row r="6346">
          <cell r="A6346"/>
          <cell r="B6346"/>
        </row>
        <row r="6347">
          <cell r="A6347"/>
          <cell r="B6347"/>
        </row>
        <row r="6348">
          <cell r="A6348"/>
          <cell r="B6348"/>
        </row>
        <row r="6349">
          <cell r="A6349"/>
          <cell r="B6349"/>
        </row>
        <row r="6350">
          <cell r="A6350"/>
          <cell r="B6350"/>
        </row>
        <row r="6351">
          <cell r="A6351"/>
          <cell r="B6351"/>
        </row>
        <row r="6352">
          <cell r="A6352"/>
          <cell r="B6352"/>
        </row>
        <row r="6353">
          <cell r="A6353"/>
          <cell r="B6353"/>
        </row>
        <row r="6354">
          <cell r="A6354"/>
          <cell r="B6354"/>
        </row>
        <row r="6355">
          <cell r="A6355"/>
          <cell r="B6355"/>
        </row>
        <row r="6356">
          <cell r="A6356"/>
          <cell r="B6356"/>
        </row>
        <row r="6357">
          <cell r="A6357"/>
          <cell r="B6357"/>
        </row>
        <row r="6358">
          <cell r="A6358"/>
          <cell r="B6358"/>
        </row>
        <row r="6359">
          <cell r="A6359"/>
          <cell r="B6359"/>
        </row>
        <row r="6360">
          <cell r="A6360"/>
          <cell r="B6360"/>
        </row>
        <row r="6361">
          <cell r="A6361"/>
          <cell r="B6361"/>
        </row>
        <row r="6362">
          <cell r="A6362"/>
          <cell r="B6362"/>
        </row>
        <row r="6363">
          <cell r="A6363"/>
          <cell r="B6363"/>
        </row>
        <row r="6364">
          <cell r="A6364"/>
          <cell r="B6364"/>
        </row>
        <row r="6365">
          <cell r="A6365"/>
          <cell r="B6365"/>
        </row>
        <row r="6366">
          <cell r="A6366"/>
          <cell r="B6366"/>
        </row>
        <row r="6367">
          <cell r="A6367"/>
          <cell r="B6367"/>
        </row>
        <row r="6368">
          <cell r="A6368"/>
          <cell r="B6368"/>
        </row>
        <row r="6369">
          <cell r="A6369"/>
          <cell r="B6369"/>
        </row>
        <row r="6370">
          <cell r="A6370"/>
          <cell r="B6370"/>
        </row>
        <row r="6371">
          <cell r="A6371"/>
          <cell r="B6371"/>
        </row>
        <row r="6372">
          <cell r="A6372"/>
          <cell r="B6372"/>
        </row>
        <row r="6373">
          <cell r="A6373"/>
          <cell r="B6373"/>
        </row>
        <row r="6374">
          <cell r="A6374"/>
          <cell r="B6374"/>
        </row>
        <row r="6375">
          <cell r="A6375"/>
          <cell r="B6375"/>
        </row>
        <row r="6376">
          <cell r="A6376"/>
          <cell r="B6376"/>
        </row>
        <row r="6377">
          <cell r="A6377"/>
          <cell r="B6377"/>
        </row>
        <row r="6378">
          <cell r="A6378"/>
          <cell r="B6378"/>
        </row>
        <row r="6379">
          <cell r="A6379"/>
          <cell r="B6379"/>
        </row>
        <row r="6380">
          <cell r="A6380"/>
          <cell r="B6380"/>
        </row>
        <row r="6381">
          <cell r="A6381"/>
          <cell r="B6381"/>
        </row>
        <row r="6382">
          <cell r="A6382"/>
          <cell r="B6382"/>
        </row>
        <row r="6383">
          <cell r="A6383"/>
          <cell r="B6383"/>
        </row>
        <row r="6384">
          <cell r="A6384"/>
          <cell r="B6384"/>
        </row>
        <row r="6385">
          <cell r="A6385"/>
          <cell r="B6385"/>
        </row>
        <row r="6386">
          <cell r="A6386"/>
          <cell r="B6386"/>
        </row>
        <row r="6387">
          <cell r="A6387"/>
          <cell r="B6387"/>
        </row>
        <row r="6388">
          <cell r="A6388"/>
          <cell r="B6388"/>
        </row>
        <row r="6389">
          <cell r="A6389"/>
          <cell r="B6389"/>
        </row>
        <row r="6390">
          <cell r="A6390"/>
          <cell r="B6390"/>
        </row>
        <row r="6391">
          <cell r="A6391"/>
          <cell r="B6391"/>
        </row>
        <row r="6392">
          <cell r="A6392"/>
          <cell r="B6392"/>
        </row>
        <row r="6393">
          <cell r="A6393"/>
          <cell r="B6393"/>
        </row>
        <row r="6394">
          <cell r="A6394"/>
          <cell r="B6394"/>
        </row>
        <row r="6395">
          <cell r="A6395"/>
          <cell r="B6395"/>
        </row>
        <row r="6396">
          <cell r="A6396"/>
          <cell r="B6396"/>
        </row>
        <row r="6397">
          <cell r="A6397"/>
          <cell r="B6397"/>
        </row>
        <row r="6398">
          <cell r="A6398"/>
          <cell r="B6398"/>
        </row>
        <row r="6399">
          <cell r="A6399"/>
          <cell r="B6399"/>
        </row>
        <row r="6400">
          <cell r="A6400"/>
          <cell r="B6400"/>
        </row>
        <row r="6401">
          <cell r="A6401"/>
          <cell r="B6401"/>
        </row>
        <row r="6402">
          <cell r="A6402"/>
          <cell r="B6402"/>
        </row>
        <row r="6403">
          <cell r="A6403"/>
          <cell r="B6403"/>
        </row>
        <row r="6404">
          <cell r="A6404"/>
          <cell r="B6404"/>
        </row>
        <row r="6405">
          <cell r="A6405"/>
          <cell r="B6405"/>
        </row>
        <row r="6406">
          <cell r="A6406"/>
          <cell r="B6406"/>
        </row>
        <row r="6407">
          <cell r="A6407"/>
          <cell r="B6407"/>
        </row>
        <row r="6408">
          <cell r="A6408"/>
          <cell r="B6408"/>
        </row>
        <row r="6409">
          <cell r="A6409"/>
          <cell r="B6409"/>
        </row>
        <row r="6410">
          <cell r="A6410"/>
          <cell r="B6410"/>
        </row>
        <row r="6411">
          <cell r="A6411"/>
          <cell r="B6411"/>
        </row>
        <row r="6412">
          <cell r="A6412"/>
          <cell r="B6412"/>
        </row>
        <row r="6413">
          <cell r="A6413"/>
          <cell r="B6413"/>
        </row>
        <row r="6414">
          <cell r="A6414"/>
          <cell r="B6414"/>
        </row>
        <row r="6415">
          <cell r="A6415"/>
          <cell r="B6415"/>
        </row>
        <row r="6416">
          <cell r="A6416"/>
          <cell r="B6416"/>
        </row>
        <row r="6417">
          <cell r="A6417"/>
          <cell r="B6417"/>
        </row>
        <row r="6418">
          <cell r="A6418"/>
          <cell r="B6418"/>
        </row>
        <row r="6419">
          <cell r="A6419"/>
          <cell r="B6419"/>
        </row>
        <row r="6420">
          <cell r="A6420"/>
          <cell r="B6420"/>
        </row>
        <row r="6421">
          <cell r="A6421"/>
          <cell r="B6421"/>
        </row>
        <row r="6422">
          <cell r="A6422"/>
          <cell r="B6422"/>
        </row>
        <row r="6423">
          <cell r="A6423"/>
          <cell r="B6423"/>
        </row>
        <row r="6424">
          <cell r="A6424"/>
          <cell r="B6424"/>
        </row>
        <row r="6425">
          <cell r="A6425"/>
          <cell r="B6425"/>
        </row>
        <row r="6426">
          <cell r="A6426"/>
          <cell r="B6426"/>
        </row>
        <row r="6427">
          <cell r="A6427"/>
          <cell r="B6427"/>
        </row>
        <row r="6428">
          <cell r="A6428"/>
          <cell r="B6428"/>
        </row>
        <row r="6429">
          <cell r="A6429"/>
          <cell r="B6429"/>
        </row>
        <row r="6430">
          <cell r="A6430"/>
          <cell r="B6430"/>
        </row>
        <row r="6431">
          <cell r="A6431"/>
          <cell r="B6431"/>
        </row>
        <row r="6432">
          <cell r="A6432"/>
          <cell r="B6432"/>
        </row>
        <row r="6433">
          <cell r="A6433"/>
          <cell r="B6433"/>
        </row>
        <row r="6434">
          <cell r="A6434"/>
          <cell r="B6434"/>
        </row>
        <row r="6435">
          <cell r="A6435"/>
          <cell r="B6435"/>
        </row>
        <row r="6436">
          <cell r="A6436"/>
          <cell r="B6436"/>
        </row>
        <row r="6437">
          <cell r="A6437"/>
          <cell r="B6437"/>
        </row>
        <row r="6438">
          <cell r="A6438"/>
          <cell r="B6438"/>
        </row>
        <row r="6439">
          <cell r="A6439"/>
          <cell r="B6439"/>
        </row>
        <row r="6440">
          <cell r="A6440"/>
          <cell r="B6440"/>
        </row>
        <row r="6441">
          <cell r="A6441"/>
          <cell r="B6441"/>
        </row>
        <row r="6442">
          <cell r="A6442"/>
          <cell r="B6442"/>
        </row>
        <row r="6443">
          <cell r="A6443"/>
          <cell r="B6443"/>
        </row>
        <row r="6444">
          <cell r="A6444"/>
          <cell r="B6444"/>
        </row>
        <row r="6445">
          <cell r="A6445"/>
          <cell r="B6445"/>
        </row>
        <row r="6446">
          <cell r="A6446"/>
          <cell r="B6446"/>
        </row>
        <row r="6447">
          <cell r="A6447"/>
          <cell r="B6447"/>
        </row>
        <row r="6448">
          <cell r="A6448"/>
          <cell r="B6448"/>
        </row>
        <row r="6449">
          <cell r="A6449"/>
          <cell r="B6449"/>
        </row>
        <row r="6450">
          <cell r="A6450"/>
          <cell r="B6450"/>
        </row>
        <row r="6451">
          <cell r="A6451"/>
          <cell r="B6451"/>
        </row>
        <row r="6452">
          <cell r="A6452"/>
          <cell r="B6452"/>
        </row>
        <row r="6453">
          <cell r="A6453"/>
          <cell r="B6453"/>
        </row>
        <row r="6454">
          <cell r="A6454"/>
          <cell r="B6454"/>
        </row>
        <row r="6455">
          <cell r="A6455"/>
          <cell r="B6455"/>
        </row>
        <row r="6456">
          <cell r="A6456"/>
          <cell r="B6456"/>
        </row>
        <row r="6457">
          <cell r="A6457"/>
          <cell r="B6457"/>
        </row>
        <row r="6458">
          <cell r="A6458"/>
          <cell r="B6458"/>
        </row>
        <row r="6459">
          <cell r="A6459"/>
          <cell r="B6459"/>
        </row>
        <row r="6460">
          <cell r="A6460"/>
          <cell r="B6460"/>
        </row>
        <row r="6461">
          <cell r="A6461"/>
          <cell r="B6461"/>
        </row>
        <row r="6462">
          <cell r="A6462"/>
          <cell r="B6462"/>
        </row>
        <row r="6463">
          <cell r="A6463"/>
          <cell r="B6463"/>
        </row>
        <row r="6464">
          <cell r="A6464"/>
          <cell r="B6464"/>
        </row>
        <row r="6465">
          <cell r="A6465"/>
          <cell r="B6465"/>
        </row>
        <row r="6466">
          <cell r="A6466"/>
          <cell r="B6466"/>
        </row>
        <row r="6467">
          <cell r="A6467"/>
          <cell r="B6467"/>
        </row>
        <row r="6468">
          <cell r="A6468"/>
          <cell r="B6468"/>
        </row>
        <row r="6469">
          <cell r="A6469"/>
          <cell r="B6469"/>
        </row>
        <row r="6470">
          <cell r="A6470"/>
          <cell r="B6470"/>
        </row>
        <row r="6471">
          <cell r="A6471"/>
          <cell r="B6471"/>
        </row>
        <row r="6472">
          <cell r="A6472"/>
          <cell r="B6472"/>
        </row>
        <row r="6473">
          <cell r="A6473"/>
          <cell r="B6473"/>
        </row>
        <row r="6474">
          <cell r="A6474"/>
          <cell r="B6474"/>
        </row>
        <row r="6475">
          <cell r="A6475"/>
          <cell r="B6475"/>
        </row>
        <row r="6476">
          <cell r="A6476"/>
          <cell r="B6476"/>
        </row>
        <row r="6477">
          <cell r="A6477"/>
          <cell r="B6477"/>
        </row>
        <row r="6478">
          <cell r="A6478"/>
          <cell r="B6478"/>
        </row>
        <row r="6479">
          <cell r="A6479"/>
          <cell r="B6479"/>
        </row>
        <row r="6480">
          <cell r="A6480"/>
          <cell r="B6480"/>
        </row>
        <row r="6481">
          <cell r="A6481"/>
          <cell r="B6481"/>
        </row>
        <row r="6482">
          <cell r="A6482"/>
          <cell r="B6482"/>
        </row>
        <row r="6483">
          <cell r="A6483"/>
          <cell r="B6483"/>
        </row>
        <row r="6484">
          <cell r="A6484"/>
          <cell r="B6484"/>
        </row>
        <row r="6485">
          <cell r="A6485"/>
          <cell r="B6485"/>
        </row>
        <row r="6486">
          <cell r="A6486"/>
          <cell r="B6486"/>
        </row>
        <row r="6487">
          <cell r="A6487"/>
          <cell r="B6487"/>
        </row>
        <row r="6488">
          <cell r="A6488"/>
          <cell r="B6488"/>
        </row>
        <row r="6489">
          <cell r="A6489"/>
          <cell r="B6489"/>
        </row>
        <row r="6490">
          <cell r="A6490"/>
          <cell r="B6490"/>
        </row>
        <row r="6491">
          <cell r="A6491"/>
          <cell r="B6491"/>
        </row>
        <row r="6492">
          <cell r="A6492"/>
          <cell r="B6492"/>
        </row>
        <row r="6493">
          <cell r="A6493"/>
          <cell r="B6493"/>
        </row>
        <row r="6494">
          <cell r="A6494"/>
          <cell r="B6494"/>
        </row>
        <row r="6495">
          <cell r="A6495"/>
          <cell r="B6495"/>
        </row>
        <row r="6496">
          <cell r="A6496"/>
          <cell r="B6496"/>
        </row>
        <row r="6497">
          <cell r="A6497"/>
          <cell r="B6497"/>
        </row>
        <row r="6498">
          <cell r="A6498"/>
          <cell r="B6498"/>
        </row>
        <row r="6499">
          <cell r="A6499"/>
          <cell r="B6499"/>
        </row>
        <row r="6500">
          <cell r="A6500"/>
          <cell r="B6500"/>
        </row>
        <row r="6501">
          <cell r="A6501"/>
          <cell r="B6501"/>
        </row>
        <row r="6502">
          <cell r="A6502"/>
          <cell r="B6502"/>
        </row>
        <row r="6503">
          <cell r="A6503"/>
          <cell r="B6503"/>
        </row>
        <row r="6504">
          <cell r="A6504"/>
          <cell r="B6504"/>
        </row>
        <row r="6505">
          <cell r="A6505"/>
          <cell r="B6505"/>
        </row>
        <row r="6506">
          <cell r="A6506"/>
          <cell r="B6506"/>
        </row>
        <row r="6507">
          <cell r="A6507"/>
          <cell r="B6507"/>
        </row>
        <row r="6508">
          <cell r="A6508"/>
          <cell r="B6508"/>
        </row>
        <row r="6509">
          <cell r="A6509"/>
          <cell r="B6509"/>
        </row>
        <row r="6510">
          <cell r="A6510"/>
          <cell r="B6510"/>
        </row>
        <row r="6511">
          <cell r="A6511"/>
          <cell r="B6511"/>
        </row>
        <row r="6512">
          <cell r="A6512"/>
          <cell r="B6512"/>
        </row>
        <row r="6513">
          <cell r="A6513"/>
          <cell r="B6513"/>
        </row>
        <row r="6514">
          <cell r="A6514"/>
          <cell r="B6514"/>
        </row>
        <row r="6515">
          <cell r="A6515"/>
          <cell r="B6515"/>
        </row>
        <row r="6516">
          <cell r="A6516"/>
          <cell r="B6516"/>
        </row>
        <row r="6517">
          <cell r="A6517"/>
          <cell r="B6517"/>
        </row>
        <row r="6518">
          <cell r="A6518"/>
          <cell r="B6518"/>
        </row>
        <row r="6519">
          <cell r="A6519"/>
          <cell r="B6519"/>
        </row>
        <row r="6520">
          <cell r="A6520"/>
          <cell r="B6520"/>
        </row>
        <row r="6521">
          <cell r="A6521"/>
          <cell r="B6521"/>
        </row>
        <row r="6522">
          <cell r="A6522"/>
          <cell r="B6522"/>
        </row>
        <row r="6523">
          <cell r="A6523"/>
          <cell r="B6523"/>
        </row>
        <row r="6524">
          <cell r="A6524"/>
          <cell r="B6524"/>
        </row>
        <row r="6525">
          <cell r="A6525"/>
          <cell r="B6525"/>
        </row>
        <row r="6526">
          <cell r="A6526"/>
          <cell r="B6526"/>
        </row>
        <row r="6527">
          <cell r="A6527"/>
          <cell r="B6527"/>
        </row>
        <row r="6528">
          <cell r="A6528"/>
          <cell r="B6528"/>
        </row>
        <row r="6529">
          <cell r="A6529"/>
          <cell r="B6529"/>
        </row>
        <row r="6530">
          <cell r="A6530"/>
          <cell r="B6530"/>
        </row>
        <row r="6531">
          <cell r="A6531"/>
          <cell r="B6531"/>
        </row>
        <row r="6532">
          <cell r="A6532"/>
          <cell r="B6532"/>
        </row>
        <row r="6533">
          <cell r="A6533"/>
          <cell r="B6533"/>
        </row>
        <row r="6534">
          <cell r="A6534"/>
          <cell r="B6534"/>
        </row>
        <row r="6535">
          <cell r="A6535"/>
          <cell r="B6535"/>
        </row>
        <row r="6536">
          <cell r="A6536"/>
          <cell r="B6536"/>
        </row>
        <row r="6537">
          <cell r="A6537"/>
          <cell r="B6537"/>
        </row>
        <row r="6538">
          <cell r="A6538"/>
          <cell r="B6538"/>
        </row>
        <row r="6539">
          <cell r="A6539"/>
          <cell r="B6539"/>
        </row>
        <row r="6540">
          <cell r="A6540"/>
          <cell r="B6540"/>
        </row>
        <row r="6541">
          <cell r="A6541"/>
          <cell r="B6541"/>
        </row>
        <row r="6542">
          <cell r="A6542"/>
          <cell r="B6542"/>
        </row>
        <row r="6543">
          <cell r="A6543"/>
          <cell r="B6543"/>
        </row>
        <row r="6544">
          <cell r="A6544"/>
          <cell r="B6544"/>
        </row>
        <row r="6545">
          <cell r="A6545"/>
          <cell r="B6545"/>
        </row>
        <row r="6546">
          <cell r="A6546"/>
          <cell r="B6546"/>
        </row>
        <row r="6547">
          <cell r="A6547"/>
          <cell r="B6547"/>
        </row>
        <row r="6548">
          <cell r="A6548"/>
          <cell r="B6548"/>
        </row>
        <row r="6549">
          <cell r="A6549"/>
          <cell r="B6549"/>
        </row>
        <row r="6550">
          <cell r="A6550"/>
          <cell r="B6550"/>
        </row>
        <row r="6551">
          <cell r="A6551"/>
          <cell r="B6551"/>
        </row>
        <row r="6552">
          <cell r="A6552"/>
          <cell r="B6552"/>
        </row>
        <row r="6553">
          <cell r="A6553"/>
          <cell r="B6553"/>
        </row>
        <row r="6554">
          <cell r="A6554"/>
          <cell r="B6554"/>
        </row>
        <row r="6555">
          <cell r="A6555"/>
          <cell r="B6555"/>
        </row>
        <row r="6556">
          <cell r="A6556"/>
          <cell r="B6556"/>
        </row>
        <row r="6557">
          <cell r="A6557"/>
          <cell r="B6557"/>
        </row>
        <row r="6558">
          <cell r="A6558"/>
          <cell r="B6558"/>
        </row>
        <row r="6559">
          <cell r="A6559"/>
          <cell r="B6559"/>
        </row>
        <row r="6560">
          <cell r="A6560"/>
          <cell r="B6560"/>
        </row>
        <row r="6561">
          <cell r="A6561"/>
          <cell r="B6561"/>
        </row>
        <row r="6562">
          <cell r="A6562"/>
          <cell r="B6562"/>
        </row>
        <row r="6563">
          <cell r="A6563"/>
          <cell r="B6563"/>
        </row>
        <row r="6564">
          <cell r="A6564"/>
          <cell r="B6564"/>
        </row>
        <row r="6565">
          <cell r="A6565"/>
          <cell r="B6565"/>
        </row>
        <row r="6566">
          <cell r="A6566"/>
          <cell r="B6566"/>
        </row>
        <row r="6567">
          <cell r="A6567"/>
          <cell r="B6567"/>
        </row>
        <row r="6568">
          <cell r="A6568"/>
          <cell r="B6568"/>
        </row>
        <row r="6569">
          <cell r="A6569"/>
          <cell r="B6569"/>
        </row>
        <row r="6570">
          <cell r="A6570"/>
          <cell r="B6570"/>
        </row>
        <row r="6571">
          <cell r="A6571"/>
          <cell r="B6571"/>
        </row>
        <row r="6572">
          <cell r="A6572"/>
          <cell r="B6572"/>
        </row>
        <row r="6573">
          <cell r="A6573"/>
          <cell r="B6573"/>
        </row>
        <row r="6574">
          <cell r="A6574"/>
          <cell r="B6574"/>
        </row>
        <row r="6575">
          <cell r="A6575"/>
          <cell r="B6575"/>
        </row>
        <row r="6576">
          <cell r="A6576"/>
          <cell r="B6576"/>
        </row>
        <row r="6577">
          <cell r="A6577"/>
          <cell r="B6577"/>
        </row>
        <row r="6578">
          <cell r="A6578"/>
          <cell r="B6578"/>
        </row>
        <row r="6579">
          <cell r="A6579"/>
          <cell r="B6579"/>
        </row>
        <row r="6580">
          <cell r="A6580"/>
          <cell r="B6580"/>
        </row>
        <row r="6581">
          <cell r="A6581"/>
          <cell r="B6581"/>
        </row>
        <row r="6582">
          <cell r="A6582"/>
          <cell r="B6582"/>
        </row>
        <row r="6583">
          <cell r="A6583"/>
          <cell r="B6583"/>
        </row>
        <row r="6584">
          <cell r="A6584"/>
          <cell r="B6584"/>
        </row>
        <row r="6585">
          <cell r="A6585"/>
          <cell r="B6585"/>
        </row>
        <row r="6586">
          <cell r="A6586"/>
          <cell r="B6586"/>
        </row>
        <row r="6587">
          <cell r="A6587"/>
          <cell r="B6587"/>
        </row>
        <row r="6588">
          <cell r="A6588"/>
          <cell r="B6588"/>
        </row>
        <row r="6589">
          <cell r="A6589"/>
          <cell r="B6589"/>
        </row>
        <row r="6590">
          <cell r="A6590"/>
          <cell r="B6590"/>
        </row>
        <row r="6591">
          <cell r="A6591"/>
          <cell r="B6591"/>
        </row>
        <row r="6592">
          <cell r="A6592"/>
          <cell r="B6592"/>
        </row>
        <row r="6593">
          <cell r="A6593"/>
          <cell r="B6593"/>
        </row>
        <row r="6594">
          <cell r="A6594"/>
          <cell r="B6594"/>
        </row>
        <row r="6595">
          <cell r="A6595"/>
          <cell r="B6595"/>
        </row>
        <row r="6596">
          <cell r="A6596"/>
          <cell r="B6596"/>
        </row>
        <row r="6597">
          <cell r="A6597"/>
          <cell r="B6597"/>
        </row>
        <row r="6598">
          <cell r="A6598"/>
          <cell r="B6598"/>
        </row>
        <row r="6599">
          <cell r="A6599"/>
          <cell r="B6599"/>
        </row>
        <row r="6600">
          <cell r="A6600"/>
          <cell r="B6600"/>
        </row>
        <row r="6601">
          <cell r="A6601"/>
          <cell r="B6601"/>
        </row>
        <row r="6602">
          <cell r="A6602"/>
          <cell r="B6602"/>
        </row>
        <row r="6603">
          <cell r="A6603"/>
          <cell r="B6603"/>
        </row>
        <row r="6604">
          <cell r="A6604"/>
          <cell r="B6604"/>
        </row>
        <row r="6605">
          <cell r="A6605"/>
          <cell r="B6605"/>
        </row>
        <row r="6606">
          <cell r="A6606"/>
          <cell r="B6606"/>
        </row>
        <row r="6607">
          <cell r="A6607"/>
          <cell r="B6607"/>
        </row>
        <row r="6608">
          <cell r="A6608"/>
          <cell r="B6608"/>
        </row>
        <row r="6609">
          <cell r="A6609"/>
          <cell r="B6609"/>
        </row>
        <row r="6610">
          <cell r="A6610"/>
          <cell r="B6610"/>
        </row>
        <row r="6611">
          <cell r="A6611"/>
          <cell r="B6611"/>
        </row>
        <row r="6612">
          <cell r="A6612"/>
          <cell r="B6612"/>
        </row>
        <row r="6613">
          <cell r="A6613"/>
          <cell r="B6613"/>
        </row>
        <row r="6614">
          <cell r="A6614"/>
          <cell r="B6614"/>
        </row>
        <row r="6615">
          <cell r="A6615"/>
          <cell r="B6615"/>
        </row>
        <row r="6616">
          <cell r="A6616"/>
          <cell r="B6616"/>
        </row>
        <row r="6617">
          <cell r="A6617"/>
          <cell r="B6617"/>
        </row>
        <row r="6618">
          <cell r="A6618"/>
          <cell r="B6618"/>
        </row>
        <row r="6619">
          <cell r="A6619"/>
          <cell r="B6619"/>
        </row>
        <row r="6620">
          <cell r="A6620"/>
          <cell r="B6620"/>
        </row>
        <row r="6621">
          <cell r="A6621"/>
          <cell r="B6621"/>
        </row>
        <row r="6622">
          <cell r="A6622"/>
          <cell r="B6622"/>
        </row>
        <row r="6623">
          <cell r="A6623"/>
          <cell r="B6623"/>
        </row>
        <row r="6624">
          <cell r="A6624"/>
          <cell r="B6624"/>
        </row>
        <row r="6625">
          <cell r="A6625"/>
          <cell r="B6625"/>
        </row>
        <row r="6626">
          <cell r="A6626"/>
          <cell r="B6626"/>
        </row>
        <row r="6627">
          <cell r="A6627"/>
          <cell r="B6627"/>
        </row>
        <row r="6628">
          <cell r="A6628"/>
          <cell r="B6628"/>
        </row>
        <row r="6629">
          <cell r="A6629"/>
          <cell r="B6629"/>
        </row>
        <row r="6630">
          <cell r="A6630"/>
          <cell r="B6630"/>
        </row>
        <row r="6631">
          <cell r="A6631"/>
          <cell r="B6631"/>
        </row>
        <row r="6632">
          <cell r="A6632"/>
          <cell r="B6632"/>
        </row>
        <row r="6633">
          <cell r="A6633"/>
          <cell r="B6633"/>
        </row>
        <row r="6634">
          <cell r="A6634"/>
          <cell r="B6634"/>
        </row>
        <row r="6635">
          <cell r="A6635"/>
          <cell r="B6635"/>
        </row>
        <row r="6636">
          <cell r="A6636"/>
          <cell r="B6636"/>
        </row>
        <row r="6637">
          <cell r="A6637"/>
          <cell r="B6637"/>
        </row>
        <row r="6638">
          <cell r="A6638"/>
          <cell r="B6638"/>
        </row>
        <row r="6639">
          <cell r="A6639"/>
          <cell r="B6639"/>
        </row>
        <row r="6640">
          <cell r="A6640"/>
          <cell r="B6640"/>
        </row>
        <row r="6641">
          <cell r="A6641"/>
          <cell r="B6641"/>
        </row>
        <row r="6642">
          <cell r="A6642"/>
          <cell r="B6642"/>
        </row>
        <row r="6643">
          <cell r="A6643"/>
          <cell r="B6643"/>
        </row>
        <row r="6644">
          <cell r="A6644"/>
          <cell r="B6644"/>
        </row>
        <row r="6645">
          <cell r="A6645"/>
          <cell r="B6645"/>
        </row>
        <row r="6646">
          <cell r="A6646"/>
          <cell r="B6646"/>
        </row>
        <row r="6647">
          <cell r="A6647"/>
          <cell r="B6647"/>
        </row>
        <row r="6648">
          <cell r="A6648"/>
          <cell r="B6648"/>
        </row>
        <row r="6649">
          <cell r="A6649"/>
          <cell r="B6649"/>
        </row>
        <row r="6650">
          <cell r="A6650"/>
          <cell r="B6650"/>
        </row>
        <row r="6651">
          <cell r="A6651"/>
          <cell r="B6651"/>
        </row>
        <row r="6652">
          <cell r="A6652"/>
          <cell r="B6652"/>
        </row>
        <row r="6653">
          <cell r="A6653"/>
          <cell r="B6653"/>
        </row>
        <row r="6654">
          <cell r="A6654"/>
          <cell r="B6654"/>
        </row>
        <row r="6655">
          <cell r="A6655"/>
          <cell r="B6655"/>
        </row>
        <row r="6656">
          <cell r="A6656"/>
          <cell r="B6656"/>
        </row>
        <row r="6657">
          <cell r="A6657"/>
          <cell r="B6657"/>
        </row>
        <row r="6658">
          <cell r="A6658"/>
          <cell r="B6658"/>
        </row>
        <row r="6659">
          <cell r="A6659"/>
          <cell r="B6659"/>
        </row>
        <row r="6660">
          <cell r="A6660"/>
          <cell r="B6660"/>
        </row>
        <row r="6661">
          <cell r="A6661"/>
          <cell r="B6661"/>
        </row>
        <row r="6662">
          <cell r="A6662"/>
          <cell r="B6662"/>
        </row>
        <row r="6663">
          <cell r="A6663"/>
          <cell r="B6663"/>
        </row>
        <row r="6664">
          <cell r="A6664"/>
          <cell r="B6664"/>
        </row>
        <row r="6665">
          <cell r="A6665"/>
          <cell r="B6665"/>
        </row>
        <row r="6666">
          <cell r="A6666"/>
          <cell r="B6666"/>
        </row>
        <row r="6667">
          <cell r="A6667"/>
          <cell r="B6667"/>
        </row>
        <row r="6668">
          <cell r="A6668"/>
          <cell r="B6668"/>
        </row>
        <row r="6669">
          <cell r="A6669"/>
          <cell r="B6669"/>
        </row>
        <row r="6670">
          <cell r="A6670"/>
          <cell r="B6670"/>
        </row>
        <row r="6671">
          <cell r="A6671"/>
          <cell r="B6671"/>
        </row>
        <row r="6672">
          <cell r="A6672"/>
          <cell r="B6672"/>
        </row>
        <row r="6673">
          <cell r="A6673"/>
          <cell r="B6673"/>
        </row>
        <row r="6674">
          <cell r="A6674"/>
          <cell r="B6674"/>
        </row>
        <row r="6675">
          <cell r="A6675"/>
          <cell r="B6675"/>
        </row>
        <row r="6676">
          <cell r="A6676"/>
          <cell r="B6676"/>
        </row>
        <row r="6677">
          <cell r="A6677"/>
          <cell r="B6677"/>
        </row>
        <row r="6678">
          <cell r="A6678"/>
          <cell r="B6678"/>
        </row>
        <row r="6679">
          <cell r="A6679"/>
          <cell r="B6679"/>
        </row>
        <row r="6680">
          <cell r="A6680"/>
          <cell r="B6680"/>
        </row>
        <row r="6681">
          <cell r="A6681"/>
          <cell r="B6681"/>
        </row>
        <row r="6682">
          <cell r="A6682"/>
          <cell r="B6682"/>
        </row>
        <row r="6683">
          <cell r="A6683"/>
          <cell r="B6683"/>
        </row>
        <row r="6684">
          <cell r="A6684"/>
          <cell r="B6684"/>
        </row>
        <row r="6685">
          <cell r="A6685"/>
          <cell r="B6685"/>
        </row>
        <row r="6686">
          <cell r="A6686"/>
          <cell r="B6686"/>
        </row>
        <row r="6687">
          <cell r="A6687"/>
          <cell r="B6687"/>
        </row>
        <row r="6688">
          <cell r="A6688"/>
          <cell r="B6688"/>
        </row>
        <row r="6689">
          <cell r="A6689"/>
          <cell r="B6689"/>
        </row>
        <row r="6690">
          <cell r="A6690"/>
          <cell r="B6690"/>
        </row>
        <row r="6691">
          <cell r="A6691"/>
          <cell r="B6691"/>
        </row>
        <row r="6692">
          <cell r="A6692"/>
          <cell r="B6692"/>
        </row>
        <row r="6693">
          <cell r="A6693"/>
          <cell r="B6693"/>
        </row>
        <row r="6694">
          <cell r="A6694"/>
          <cell r="B6694"/>
        </row>
        <row r="6695">
          <cell r="A6695"/>
          <cell r="B6695"/>
        </row>
        <row r="6696">
          <cell r="A6696"/>
          <cell r="B6696"/>
        </row>
        <row r="6697">
          <cell r="A6697"/>
          <cell r="B6697"/>
        </row>
        <row r="6698">
          <cell r="A6698"/>
          <cell r="B6698"/>
        </row>
        <row r="6699">
          <cell r="A6699"/>
          <cell r="B6699"/>
        </row>
        <row r="6700">
          <cell r="A6700"/>
          <cell r="B6700"/>
        </row>
        <row r="6701">
          <cell r="A6701"/>
          <cell r="B6701"/>
        </row>
        <row r="6702">
          <cell r="A6702"/>
          <cell r="B6702"/>
        </row>
        <row r="6703">
          <cell r="A6703"/>
          <cell r="B6703"/>
        </row>
        <row r="6704">
          <cell r="A6704"/>
          <cell r="B6704"/>
        </row>
        <row r="6705">
          <cell r="A6705"/>
          <cell r="B6705"/>
        </row>
        <row r="6706">
          <cell r="A6706"/>
          <cell r="B6706"/>
        </row>
        <row r="6707">
          <cell r="A6707"/>
          <cell r="B6707"/>
        </row>
        <row r="6708">
          <cell r="A6708"/>
          <cell r="B6708"/>
        </row>
        <row r="6709">
          <cell r="A6709"/>
          <cell r="B6709"/>
        </row>
        <row r="6710">
          <cell r="A6710"/>
          <cell r="B6710"/>
        </row>
        <row r="6711">
          <cell r="A6711"/>
          <cell r="B6711"/>
        </row>
        <row r="6712">
          <cell r="A6712"/>
          <cell r="B6712"/>
        </row>
        <row r="6713">
          <cell r="A6713"/>
          <cell r="B6713"/>
        </row>
        <row r="6714">
          <cell r="A6714"/>
          <cell r="B6714"/>
        </row>
        <row r="6715">
          <cell r="A6715"/>
          <cell r="B6715"/>
        </row>
        <row r="6716">
          <cell r="A6716"/>
          <cell r="B6716"/>
        </row>
        <row r="6717">
          <cell r="A6717"/>
          <cell r="B6717"/>
        </row>
        <row r="6718">
          <cell r="A6718"/>
          <cell r="B6718"/>
        </row>
        <row r="6719">
          <cell r="A6719"/>
          <cell r="B6719"/>
        </row>
        <row r="6720">
          <cell r="A6720"/>
          <cell r="B6720"/>
        </row>
        <row r="6721">
          <cell r="A6721"/>
          <cell r="B6721"/>
        </row>
        <row r="6722">
          <cell r="A6722"/>
          <cell r="B6722"/>
        </row>
        <row r="6723">
          <cell r="A6723"/>
          <cell r="B6723"/>
        </row>
        <row r="6724">
          <cell r="A6724"/>
          <cell r="B6724"/>
        </row>
        <row r="6725">
          <cell r="A6725"/>
          <cell r="B6725"/>
        </row>
        <row r="6726">
          <cell r="A6726"/>
          <cell r="B6726"/>
        </row>
        <row r="6727">
          <cell r="A6727"/>
          <cell r="B6727"/>
        </row>
        <row r="6728">
          <cell r="A6728"/>
          <cell r="B6728"/>
        </row>
        <row r="6729">
          <cell r="A6729"/>
          <cell r="B6729"/>
        </row>
        <row r="6730">
          <cell r="A6730"/>
          <cell r="B6730"/>
        </row>
        <row r="6731">
          <cell r="A6731"/>
          <cell r="B6731"/>
        </row>
        <row r="6732">
          <cell r="A6732"/>
          <cell r="B6732"/>
        </row>
        <row r="6733">
          <cell r="A6733"/>
          <cell r="B6733"/>
        </row>
        <row r="6734">
          <cell r="A6734"/>
          <cell r="B6734"/>
        </row>
        <row r="6735">
          <cell r="A6735"/>
          <cell r="B6735"/>
        </row>
        <row r="6736">
          <cell r="A6736"/>
          <cell r="B6736"/>
        </row>
        <row r="6737">
          <cell r="A6737"/>
          <cell r="B6737"/>
        </row>
        <row r="6738">
          <cell r="A6738"/>
          <cell r="B6738"/>
        </row>
        <row r="6739">
          <cell r="A6739"/>
          <cell r="B6739"/>
        </row>
        <row r="6740">
          <cell r="A6740"/>
          <cell r="B6740"/>
        </row>
        <row r="6741">
          <cell r="A6741"/>
          <cell r="B6741"/>
        </row>
        <row r="6742">
          <cell r="A6742"/>
          <cell r="B6742"/>
        </row>
        <row r="6743">
          <cell r="A6743"/>
          <cell r="B6743"/>
        </row>
        <row r="6744">
          <cell r="A6744"/>
          <cell r="B6744"/>
        </row>
        <row r="6745">
          <cell r="A6745"/>
          <cell r="B6745"/>
        </row>
        <row r="6746">
          <cell r="A6746"/>
          <cell r="B6746"/>
        </row>
        <row r="6747">
          <cell r="A6747"/>
          <cell r="B6747"/>
        </row>
        <row r="6748">
          <cell r="A6748"/>
          <cell r="B6748"/>
        </row>
        <row r="6749">
          <cell r="A6749"/>
          <cell r="B6749"/>
        </row>
        <row r="6750">
          <cell r="A6750"/>
          <cell r="B6750"/>
        </row>
        <row r="6751">
          <cell r="A6751"/>
          <cell r="B6751"/>
        </row>
        <row r="6752">
          <cell r="A6752"/>
          <cell r="B6752"/>
        </row>
        <row r="6753">
          <cell r="A6753"/>
          <cell r="B6753"/>
        </row>
        <row r="6754">
          <cell r="A6754"/>
          <cell r="B6754"/>
        </row>
        <row r="6755">
          <cell r="A6755"/>
          <cell r="B6755"/>
        </row>
        <row r="6756">
          <cell r="A6756"/>
          <cell r="B6756"/>
        </row>
        <row r="6757">
          <cell r="A6757"/>
          <cell r="B6757"/>
        </row>
        <row r="6758">
          <cell r="A6758"/>
          <cell r="B6758"/>
        </row>
        <row r="6759">
          <cell r="A6759"/>
          <cell r="B6759"/>
        </row>
        <row r="6760">
          <cell r="A6760"/>
          <cell r="B6760"/>
        </row>
        <row r="6761">
          <cell r="A6761"/>
          <cell r="B6761"/>
        </row>
        <row r="6762">
          <cell r="A6762"/>
          <cell r="B6762"/>
        </row>
        <row r="6763">
          <cell r="A6763"/>
          <cell r="B6763"/>
        </row>
        <row r="6764">
          <cell r="A6764"/>
          <cell r="B6764"/>
        </row>
        <row r="6765">
          <cell r="A6765"/>
          <cell r="B6765"/>
        </row>
        <row r="6766">
          <cell r="A6766"/>
          <cell r="B6766"/>
        </row>
        <row r="6767">
          <cell r="A6767"/>
          <cell r="B6767"/>
        </row>
        <row r="6768">
          <cell r="A6768"/>
          <cell r="B6768"/>
        </row>
        <row r="6769">
          <cell r="A6769"/>
          <cell r="B6769"/>
        </row>
        <row r="6770">
          <cell r="A6770"/>
          <cell r="B6770"/>
        </row>
        <row r="6771">
          <cell r="A6771"/>
          <cell r="B6771"/>
        </row>
        <row r="6772">
          <cell r="A6772"/>
          <cell r="B6772"/>
        </row>
        <row r="6773">
          <cell r="A6773"/>
          <cell r="B6773"/>
        </row>
        <row r="6774">
          <cell r="A6774"/>
          <cell r="B6774"/>
        </row>
        <row r="6775">
          <cell r="A6775"/>
          <cell r="B6775"/>
        </row>
        <row r="6776">
          <cell r="A6776"/>
          <cell r="B6776"/>
        </row>
        <row r="6777">
          <cell r="A6777"/>
          <cell r="B6777"/>
        </row>
        <row r="6778">
          <cell r="A6778"/>
          <cell r="B6778"/>
        </row>
        <row r="6779">
          <cell r="A6779"/>
          <cell r="B6779"/>
        </row>
        <row r="6780">
          <cell r="A6780"/>
          <cell r="B6780"/>
        </row>
        <row r="6781">
          <cell r="A6781"/>
          <cell r="B6781"/>
        </row>
        <row r="6782">
          <cell r="A6782"/>
          <cell r="B6782"/>
        </row>
        <row r="6783">
          <cell r="A6783"/>
          <cell r="B6783"/>
        </row>
        <row r="6784">
          <cell r="A6784"/>
          <cell r="B6784"/>
        </row>
        <row r="6785">
          <cell r="A6785"/>
          <cell r="B6785"/>
        </row>
        <row r="6786">
          <cell r="A6786"/>
          <cell r="B6786"/>
        </row>
        <row r="6787">
          <cell r="A6787"/>
          <cell r="B6787"/>
        </row>
        <row r="6788">
          <cell r="A6788"/>
          <cell r="B6788"/>
        </row>
        <row r="6789">
          <cell r="A6789"/>
          <cell r="B6789"/>
        </row>
        <row r="6790">
          <cell r="A6790"/>
          <cell r="B6790"/>
        </row>
        <row r="6791">
          <cell r="A6791"/>
          <cell r="B6791"/>
        </row>
        <row r="6792">
          <cell r="A6792"/>
          <cell r="B6792"/>
        </row>
        <row r="6793">
          <cell r="A6793"/>
          <cell r="B6793"/>
        </row>
        <row r="6794">
          <cell r="A6794"/>
          <cell r="B6794"/>
        </row>
        <row r="6795">
          <cell r="A6795"/>
          <cell r="B6795"/>
        </row>
        <row r="6796">
          <cell r="A6796"/>
          <cell r="B6796"/>
        </row>
        <row r="6797">
          <cell r="A6797"/>
          <cell r="B6797"/>
        </row>
        <row r="6798">
          <cell r="A6798"/>
          <cell r="B6798"/>
        </row>
        <row r="6799">
          <cell r="A6799"/>
          <cell r="B6799"/>
        </row>
        <row r="6800">
          <cell r="A6800"/>
          <cell r="B6800"/>
        </row>
        <row r="6801">
          <cell r="A6801"/>
          <cell r="B6801"/>
        </row>
        <row r="6802">
          <cell r="A6802"/>
          <cell r="B6802"/>
        </row>
        <row r="6803">
          <cell r="A6803"/>
          <cell r="B6803"/>
        </row>
        <row r="6804">
          <cell r="A6804"/>
          <cell r="B6804"/>
        </row>
        <row r="6805">
          <cell r="A6805"/>
          <cell r="B6805"/>
        </row>
        <row r="6806">
          <cell r="A6806"/>
          <cell r="B6806"/>
        </row>
        <row r="6807">
          <cell r="A6807"/>
          <cell r="B6807"/>
        </row>
        <row r="6808">
          <cell r="A6808"/>
          <cell r="B6808"/>
        </row>
        <row r="6809">
          <cell r="A6809"/>
          <cell r="B6809"/>
        </row>
        <row r="6810">
          <cell r="A6810"/>
          <cell r="B6810"/>
        </row>
        <row r="6811">
          <cell r="A6811"/>
          <cell r="B6811"/>
        </row>
        <row r="6812">
          <cell r="A6812"/>
          <cell r="B6812"/>
        </row>
        <row r="6813">
          <cell r="A6813"/>
          <cell r="B6813"/>
        </row>
        <row r="6814">
          <cell r="A6814"/>
          <cell r="B6814"/>
        </row>
        <row r="6815">
          <cell r="A6815"/>
          <cell r="B6815"/>
        </row>
        <row r="6816">
          <cell r="A6816"/>
          <cell r="B6816"/>
        </row>
        <row r="6817">
          <cell r="A6817"/>
          <cell r="B6817"/>
        </row>
        <row r="6818">
          <cell r="A6818"/>
          <cell r="B6818"/>
        </row>
        <row r="6819">
          <cell r="A6819"/>
          <cell r="B6819"/>
        </row>
        <row r="6820">
          <cell r="A6820"/>
          <cell r="B6820"/>
        </row>
        <row r="6821">
          <cell r="A6821"/>
          <cell r="B6821"/>
        </row>
        <row r="6822">
          <cell r="A6822"/>
          <cell r="B6822"/>
        </row>
        <row r="6823">
          <cell r="A6823"/>
          <cell r="B6823"/>
        </row>
        <row r="6824">
          <cell r="A6824"/>
          <cell r="B6824"/>
        </row>
        <row r="6825">
          <cell r="A6825"/>
          <cell r="B6825"/>
        </row>
        <row r="6826">
          <cell r="A6826"/>
          <cell r="B6826"/>
        </row>
        <row r="6827">
          <cell r="A6827"/>
          <cell r="B6827"/>
        </row>
        <row r="6828">
          <cell r="A6828"/>
          <cell r="B6828"/>
        </row>
        <row r="6829">
          <cell r="A6829"/>
          <cell r="B6829"/>
        </row>
        <row r="6830">
          <cell r="A6830"/>
          <cell r="B6830"/>
        </row>
        <row r="6831">
          <cell r="A6831"/>
          <cell r="B6831"/>
        </row>
        <row r="6832">
          <cell r="A6832"/>
          <cell r="B6832"/>
        </row>
        <row r="6833">
          <cell r="A6833"/>
          <cell r="B6833"/>
        </row>
        <row r="6834">
          <cell r="A6834"/>
          <cell r="B6834"/>
        </row>
        <row r="6835">
          <cell r="A6835"/>
          <cell r="B6835"/>
        </row>
        <row r="6836">
          <cell r="A6836"/>
          <cell r="B6836"/>
        </row>
        <row r="6837">
          <cell r="A6837"/>
          <cell r="B6837"/>
        </row>
        <row r="6838">
          <cell r="A6838"/>
          <cell r="B6838"/>
        </row>
        <row r="6839">
          <cell r="A6839"/>
          <cell r="B6839"/>
        </row>
        <row r="6840">
          <cell r="A6840"/>
          <cell r="B6840"/>
        </row>
        <row r="6841">
          <cell r="A6841"/>
          <cell r="B6841"/>
        </row>
        <row r="6842">
          <cell r="A6842"/>
          <cell r="B6842"/>
        </row>
        <row r="6843">
          <cell r="A6843"/>
          <cell r="B6843"/>
        </row>
        <row r="6844">
          <cell r="A6844"/>
          <cell r="B6844"/>
        </row>
        <row r="6845">
          <cell r="A6845"/>
          <cell r="B6845"/>
        </row>
        <row r="6846">
          <cell r="A6846"/>
          <cell r="B6846"/>
        </row>
        <row r="6847">
          <cell r="A6847"/>
          <cell r="B6847"/>
        </row>
        <row r="6848">
          <cell r="A6848"/>
          <cell r="B6848"/>
        </row>
        <row r="6849">
          <cell r="A6849"/>
          <cell r="B6849"/>
        </row>
        <row r="6850">
          <cell r="A6850"/>
          <cell r="B6850"/>
        </row>
        <row r="6851">
          <cell r="A6851"/>
          <cell r="B6851"/>
        </row>
        <row r="6852">
          <cell r="A6852"/>
          <cell r="B6852"/>
        </row>
        <row r="6853">
          <cell r="A6853"/>
          <cell r="B6853"/>
        </row>
        <row r="6854">
          <cell r="A6854"/>
          <cell r="B6854"/>
        </row>
        <row r="6855">
          <cell r="A6855"/>
          <cell r="B6855"/>
        </row>
        <row r="6856">
          <cell r="A6856"/>
          <cell r="B6856"/>
        </row>
        <row r="6857">
          <cell r="A6857"/>
          <cell r="B6857"/>
        </row>
        <row r="6858">
          <cell r="A6858"/>
          <cell r="B6858"/>
        </row>
        <row r="6859">
          <cell r="A6859"/>
          <cell r="B6859"/>
        </row>
        <row r="6860">
          <cell r="A6860"/>
          <cell r="B6860"/>
        </row>
        <row r="6861">
          <cell r="A6861"/>
          <cell r="B6861"/>
        </row>
        <row r="6862">
          <cell r="A6862"/>
          <cell r="B6862"/>
        </row>
        <row r="6863">
          <cell r="A6863"/>
          <cell r="B6863"/>
        </row>
        <row r="6864">
          <cell r="A6864"/>
          <cell r="B6864"/>
        </row>
        <row r="6865">
          <cell r="A6865"/>
          <cell r="B6865"/>
        </row>
        <row r="6866">
          <cell r="A6866"/>
          <cell r="B6866"/>
        </row>
        <row r="6867">
          <cell r="A6867"/>
          <cell r="B6867"/>
        </row>
        <row r="6868">
          <cell r="A6868"/>
          <cell r="B6868"/>
        </row>
        <row r="6869">
          <cell r="A6869"/>
          <cell r="B6869"/>
        </row>
        <row r="6870">
          <cell r="A6870"/>
          <cell r="B6870"/>
        </row>
        <row r="6871">
          <cell r="A6871"/>
          <cell r="B6871"/>
        </row>
        <row r="6872">
          <cell r="A6872"/>
          <cell r="B6872"/>
        </row>
        <row r="6873">
          <cell r="A6873"/>
          <cell r="B6873"/>
        </row>
        <row r="6874">
          <cell r="A6874"/>
          <cell r="B6874"/>
        </row>
        <row r="6875">
          <cell r="A6875"/>
          <cell r="B6875"/>
        </row>
        <row r="6876">
          <cell r="A6876"/>
          <cell r="B6876"/>
        </row>
        <row r="6877">
          <cell r="A6877"/>
          <cell r="B6877"/>
        </row>
        <row r="6878">
          <cell r="A6878"/>
          <cell r="B6878"/>
        </row>
        <row r="6879">
          <cell r="A6879"/>
          <cell r="B6879"/>
        </row>
        <row r="6880">
          <cell r="A6880"/>
          <cell r="B6880"/>
        </row>
        <row r="6881">
          <cell r="A6881"/>
          <cell r="B6881"/>
        </row>
        <row r="6882">
          <cell r="A6882"/>
          <cell r="B6882"/>
        </row>
        <row r="6883">
          <cell r="A6883"/>
          <cell r="B6883"/>
        </row>
        <row r="6884">
          <cell r="A6884"/>
          <cell r="B6884"/>
        </row>
        <row r="6885">
          <cell r="A6885"/>
          <cell r="B6885"/>
        </row>
        <row r="6886">
          <cell r="A6886"/>
          <cell r="B6886"/>
        </row>
        <row r="6887">
          <cell r="A6887"/>
          <cell r="B6887"/>
        </row>
        <row r="6888">
          <cell r="A6888"/>
          <cell r="B6888"/>
        </row>
        <row r="6889">
          <cell r="A6889"/>
          <cell r="B6889"/>
        </row>
        <row r="6890">
          <cell r="A6890"/>
          <cell r="B6890"/>
        </row>
        <row r="6891">
          <cell r="A6891"/>
          <cell r="B6891"/>
        </row>
        <row r="6892">
          <cell r="A6892"/>
          <cell r="B6892"/>
        </row>
        <row r="6893">
          <cell r="A6893"/>
          <cell r="B6893"/>
        </row>
        <row r="6894">
          <cell r="A6894"/>
          <cell r="B6894"/>
        </row>
        <row r="6895">
          <cell r="A6895"/>
          <cell r="B6895"/>
        </row>
        <row r="6896">
          <cell r="A6896"/>
          <cell r="B6896"/>
        </row>
        <row r="6897">
          <cell r="A6897"/>
          <cell r="B6897"/>
        </row>
        <row r="6898">
          <cell r="A6898"/>
          <cell r="B6898"/>
        </row>
        <row r="6899">
          <cell r="A6899"/>
          <cell r="B6899"/>
        </row>
        <row r="6900">
          <cell r="A6900"/>
          <cell r="B6900"/>
        </row>
        <row r="6901">
          <cell r="A6901"/>
          <cell r="B6901"/>
        </row>
        <row r="6902">
          <cell r="A6902"/>
          <cell r="B6902"/>
        </row>
        <row r="6903">
          <cell r="A6903"/>
          <cell r="B6903"/>
        </row>
        <row r="6904">
          <cell r="A6904"/>
          <cell r="B6904"/>
        </row>
        <row r="6905">
          <cell r="A6905"/>
          <cell r="B6905"/>
        </row>
        <row r="6906">
          <cell r="A6906"/>
          <cell r="B6906"/>
        </row>
        <row r="6907">
          <cell r="A6907"/>
          <cell r="B6907"/>
        </row>
        <row r="6908">
          <cell r="A6908"/>
          <cell r="B6908"/>
        </row>
        <row r="6909">
          <cell r="A6909"/>
          <cell r="B6909"/>
        </row>
        <row r="6910">
          <cell r="A6910"/>
          <cell r="B6910"/>
        </row>
        <row r="6911">
          <cell r="A6911"/>
          <cell r="B6911"/>
        </row>
        <row r="6912">
          <cell r="A6912"/>
          <cell r="B6912"/>
        </row>
        <row r="6913">
          <cell r="A6913"/>
          <cell r="B6913"/>
        </row>
        <row r="6914">
          <cell r="A6914"/>
          <cell r="B6914"/>
        </row>
        <row r="6915">
          <cell r="A6915"/>
          <cell r="B6915"/>
        </row>
        <row r="6916">
          <cell r="A6916"/>
          <cell r="B6916"/>
        </row>
        <row r="6917">
          <cell r="A6917"/>
          <cell r="B6917"/>
        </row>
        <row r="6918">
          <cell r="A6918"/>
          <cell r="B6918"/>
        </row>
        <row r="6919">
          <cell r="A6919"/>
          <cell r="B6919"/>
        </row>
        <row r="6920">
          <cell r="A6920"/>
          <cell r="B6920"/>
        </row>
        <row r="6921">
          <cell r="A6921"/>
          <cell r="B6921"/>
        </row>
        <row r="6922">
          <cell r="A6922"/>
          <cell r="B6922"/>
        </row>
        <row r="6923">
          <cell r="A6923"/>
          <cell r="B6923"/>
        </row>
        <row r="6924">
          <cell r="A6924"/>
          <cell r="B6924"/>
        </row>
        <row r="6925">
          <cell r="A6925"/>
          <cell r="B6925"/>
        </row>
        <row r="6926">
          <cell r="A6926"/>
          <cell r="B6926"/>
        </row>
        <row r="6927">
          <cell r="A6927"/>
          <cell r="B6927"/>
        </row>
        <row r="6928">
          <cell r="A6928"/>
          <cell r="B6928"/>
        </row>
        <row r="6929">
          <cell r="A6929"/>
          <cell r="B6929"/>
        </row>
        <row r="6930">
          <cell r="A6930"/>
          <cell r="B6930"/>
        </row>
        <row r="6931">
          <cell r="A6931"/>
          <cell r="B6931"/>
        </row>
        <row r="6932">
          <cell r="A6932"/>
          <cell r="B6932"/>
        </row>
        <row r="6933">
          <cell r="A6933"/>
          <cell r="B6933"/>
        </row>
        <row r="6934">
          <cell r="A6934"/>
          <cell r="B6934"/>
        </row>
        <row r="6935">
          <cell r="A6935"/>
          <cell r="B6935"/>
        </row>
        <row r="6936">
          <cell r="A6936"/>
          <cell r="B6936"/>
        </row>
        <row r="6937">
          <cell r="A6937"/>
          <cell r="B6937"/>
        </row>
        <row r="6938">
          <cell r="A6938"/>
          <cell r="B6938"/>
        </row>
        <row r="6939">
          <cell r="A6939"/>
          <cell r="B6939"/>
        </row>
        <row r="6940">
          <cell r="A6940"/>
          <cell r="B6940"/>
        </row>
        <row r="6941">
          <cell r="A6941"/>
          <cell r="B6941"/>
        </row>
        <row r="6942">
          <cell r="A6942"/>
          <cell r="B6942"/>
        </row>
        <row r="6943">
          <cell r="A6943"/>
          <cell r="B6943"/>
        </row>
        <row r="6944">
          <cell r="A6944"/>
          <cell r="B6944"/>
        </row>
        <row r="6945">
          <cell r="A6945"/>
          <cell r="B6945"/>
        </row>
        <row r="6946">
          <cell r="A6946"/>
          <cell r="B6946"/>
        </row>
        <row r="6947">
          <cell r="A6947"/>
          <cell r="B6947"/>
        </row>
        <row r="6948">
          <cell r="A6948"/>
          <cell r="B6948"/>
        </row>
        <row r="6949">
          <cell r="A6949"/>
          <cell r="B6949"/>
        </row>
        <row r="6950">
          <cell r="A6950"/>
          <cell r="B6950"/>
        </row>
        <row r="6951">
          <cell r="A6951"/>
          <cell r="B6951"/>
        </row>
        <row r="6952">
          <cell r="A6952"/>
          <cell r="B6952"/>
        </row>
        <row r="6953">
          <cell r="A6953"/>
          <cell r="B6953"/>
        </row>
        <row r="6954">
          <cell r="A6954"/>
          <cell r="B6954"/>
        </row>
        <row r="6955">
          <cell r="A6955"/>
          <cell r="B6955"/>
        </row>
        <row r="6956">
          <cell r="A6956"/>
          <cell r="B6956"/>
        </row>
        <row r="6957">
          <cell r="A6957"/>
          <cell r="B6957"/>
        </row>
        <row r="6958">
          <cell r="A6958"/>
          <cell r="B6958"/>
        </row>
        <row r="6959">
          <cell r="A6959"/>
          <cell r="B6959"/>
        </row>
        <row r="6960">
          <cell r="A6960"/>
          <cell r="B6960"/>
        </row>
        <row r="6961">
          <cell r="A6961"/>
          <cell r="B6961"/>
        </row>
        <row r="6962">
          <cell r="A6962"/>
          <cell r="B6962"/>
        </row>
        <row r="6963">
          <cell r="A6963"/>
          <cell r="B6963"/>
        </row>
        <row r="6964">
          <cell r="A6964"/>
          <cell r="B6964"/>
        </row>
        <row r="6965">
          <cell r="A6965"/>
          <cell r="B6965"/>
        </row>
        <row r="6966">
          <cell r="A6966"/>
          <cell r="B6966"/>
        </row>
        <row r="6967">
          <cell r="A6967"/>
          <cell r="B6967"/>
        </row>
        <row r="6968">
          <cell r="A6968"/>
          <cell r="B6968"/>
        </row>
        <row r="6969">
          <cell r="A6969"/>
          <cell r="B6969"/>
        </row>
        <row r="6970">
          <cell r="A6970"/>
          <cell r="B6970"/>
        </row>
        <row r="6971">
          <cell r="A6971"/>
          <cell r="B6971"/>
        </row>
        <row r="6972">
          <cell r="A6972"/>
          <cell r="B6972"/>
        </row>
        <row r="6973">
          <cell r="A6973"/>
          <cell r="B6973"/>
        </row>
        <row r="6974">
          <cell r="A6974"/>
          <cell r="B6974"/>
        </row>
        <row r="6975">
          <cell r="A6975"/>
          <cell r="B6975"/>
        </row>
        <row r="6976">
          <cell r="A6976"/>
          <cell r="B6976"/>
        </row>
        <row r="6977">
          <cell r="A6977"/>
          <cell r="B6977"/>
        </row>
        <row r="6978">
          <cell r="A6978"/>
          <cell r="B6978"/>
        </row>
        <row r="6979">
          <cell r="A6979"/>
          <cell r="B6979"/>
        </row>
        <row r="6980">
          <cell r="A6980"/>
          <cell r="B6980"/>
        </row>
        <row r="6981">
          <cell r="A6981"/>
          <cell r="B6981"/>
        </row>
        <row r="6982">
          <cell r="A6982"/>
          <cell r="B6982"/>
        </row>
        <row r="6983">
          <cell r="A6983"/>
          <cell r="B6983"/>
        </row>
        <row r="6984">
          <cell r="A6984"/>
          <cell r="B6984"/>
        </row>
        <row r="6985">
          <cell r="A6985"/>
          <cell r="B6985"/>
        </row>
        <row r="6986">
          <cell r="A6986"/>
          <cell r="B6986"/>
        </row>
        <row r="6987">
          <cell r="A6987"/>
          <cell r="B6987"/>
        </row>
        <row r="6988">
          <cell r="A6988"/>
          <cell r="B6988"/>
        </row>
        <row r="6989">
          <cell r="A6989"/>
          <cell r="B6989"/>
        </row>
        <row r="6990">
          <cell r="A6990"/>
          <cell r="B6990"/>
        </row>
        <row r="6991">
          <cell r="A6991"/>
          <cell r="B6991"/>
        </row>
        <row r="6992">
          <cell r="A6992"/>
          <cell r="B6992"/>
        </row>
        <row r="6993">
          <cell r="A6993"/>
          <cell r="B6993"/>
        </row>
        <row r="6994">
          <cell r="A6994"/>
          <cell r="B6994"/>
        </row>
        <row r="6995">
          <cell r="A6995"/>
          <cell r="B6995"/>
        </row>
        <row r="6996">
          <cell r="A6996"/>
          <cell r="B6996"/>
        </row>
        <row r="6997">
          <cell r="A6997"/>
          <cell r="B6997"/>
        </row>
        <row r="6998">
          <cell r="A6998"/>
          <cell r="B6998"/>
        </row>
        <row r="6999">
          <cell r="A6999"/>
          <cell r="B6999"/>
        </row>
        <row r="7000">
          <cell r="A7000"/>
          <cell r="B7000"/>
        </row>
        <row r="7001">
          <cell r="A7001"/>
          <cell r="B7001"/>
        </row>
        <row r="7002">
          <cell r="A7002"/>
          <cell r="B7002"/>
        </row>
        <row r="7003">
          <cell r="A7003"/>
          <cell r="B7003"/>
        </row>
        <row r="7004">
          <cell r="A7004"/>
          <cell r="B7004"/>
        </row>
        <row r="7005">
          <cell r="A7005"/>
          <cell r="B7005"/>
        </row>
        <row r="7006">
          <cell r="A7006"/>
          <cell r="B7006"/>
        </row>
        <row r="7007">
          <cell r="A7007"/>
          <cell r="B7007"/>
        </row>
        <row r="7008">
          <cell r="A7008"/>
          <cell r="B7008"/>
        </row>
        <row r="7009">
          <cell r="A7009"/>
          <cell r="B7009"/>
        </row>
        <row r="7010">
          <cell r="A7010"/>
          <cell r="B7010"/>
        </row>
        <row r="7011">
          <cell r="A7011"/>
          <cell r="B7011"/>
        </row>
        <row r="7012">
          <cell r="A7012"/>
          <cell r="B7012"/>
        </row>
        <row r="7013">
          <cell r="A7013"/>
          <cell r="B7013"/>
        </row>
        <row r="7014">
          <cell r="A7014"/>
          <cell r="B7014"/>
        </row>
        <row r="7015">
          <cell r="A7015"/>
          <cell r="B7015"/>
        </row>
        <row r="7016">
          <cell r="A7016"/>
          <cell r="B7016"/>
        </row>
        <row r="7017">
          <cell r="A7017"/>
          <cell r="B7017"/>
        </row>
        <row r="7018">
          <cell r="A7018"/>
          <cell r="B7018"/>
        </row>
        <row r="7019">
          <cell r="A7019"/>
          <cell r="B7019"/>
        </row>
        <row r="7020">
          <cell r="A7020"/>
          <cell r="B7020"/>
        </row>
        <row r="7021">
          <cell r="A7021"/>
          <cell r="B7021"/>
        </row>
        <row r="7022">
          <cell r="A7022"/>
          <cell r="B7022"/>
        </row>
        <row r="7023">
          <cell r="A7023"/>
          <cell r="B7023"/>
        </row>
        <row r="7024">
          <cell r="A7024"/>
          <cell r="B7024"/>
        </row>
        <row r="7025">
          <cell r="A7025"/>
          <cell r="B7025"/>
        </row>
        <row r="7026">
          <cell r="A7026"/>
          <cell r="B7026"/>
        </row>
        <row r="7027">
          <cell r="A7027"/>
          <cell r="B7027"/>
        </row>
        <row r="7028">
          <cell r="A7028"/>
          <cell r="B7028"/>
        </row>
        <row r="7029">
          <cell r="A7029"/>
          <cell r="B7029"/>
        </row>
        <row r="7030">
          <cell r="A7030"/>
          <cell r="B7030"/>
        </row>
        <row r="7031">
          <cell r="A7031"/>
          <cell r="B7031"/>
        </row>
        <row r="7032">
          <cell r="A7032"/>
          <cell r="B7032"/>
        </row>
        <row r="7033">
          <cell r="A7033"/>
          <cell r="B7033"/>
        </row>
        <row r="7034">
          <cell r="A7034"/>
          <cell r="B7034"/>
        </row>
        <row r="7035">
          <cell r="A7035"/>
          <cell r="B7035"/>
        </row>
        <row r="7036">
          <cell r="A7036"/>
          <cell r="B7036"/>
        </row>
        <row r="7037">
          <cell r="A7037"/>
          <cell r="B7037"/>
        </row>
        <row r="7038">
          <cell r="A7038"/>
          <cell r="B7038"/>
        </row>
        <row r="7039">
          <cell r="A7039"/>
          <cell r="B7039"/>
        </row>
        <row r="7040">
          <cell r="A7040"/>
          <cell r="B7040"/>
        </row>
        <row r="7041">
          <cell r="A7041"/>
          <cell r="B7041"/>
        </row>
        <row r="7042">
          <cell r="A7042"/>
          <cell r="B7042"/>
        </row>
        <row r="7043">
          <cell r="A7043"/>
          <cell r="B7043"/>
        </row>
        <row r="7044">
          <cell r="A7044"/>
          <cell r="B7044"/>
        </row>
        <row r="7045">
          <cell r="A7045"/>
          <cell r="B7045"/>
        </row>
        <row r="7046">
          <cell r="A7046"/>
          <cell r="B7046"/>
        </row>
        <row r="7047">
          <cell r="A7047"/>
          <cell r="B7047"/>
        </row>
        <row r="7048">
          <cell r="A7048"/>
          <cell r="B7048"/>
        </row>
        <row r="7049">
          <cell r="A7049"/>
          <cell r="B7049"/>
        </row>
        <row r="7050">
          <cell r="A7050"/>
          <cell r="B7050"/>
        </row>
        <row r="7051">
          <cell r="A7051"/>
          <cell r="B7051"/>
        </row>
        <row r="7052">
          <cell r="A7052"/>
          <cell r="B7052"/>
        </row>
        <row r="7053">
          <cell r="A7053"/>
          <cell r="B7053"/>
        </row>
        <row r="7054">
          <cell r="A7054"/>
          <cell r="B7054"/>
        </row>
        <row r="7055">
          <cell r="A7055"/>
          <cell r="B7055"/>
        </row>
        <row r="7056">
          <cell r="A7056"/>
          <cell r="B7056"/>
        </row>
        <row r="7057">
          <cell r="A7057"/>
          <cell r="B7057"/>
        </row>
        <row r="7058">
          <cell r="A7058"/>
          <cell r="B7058"/>
        </row>
        <row r="7059">
          <cell r="A7059"/>
          <cell r="B7059"/>
        </row>
        <row r="7060">
          <cell r="A7060"/>
          <cell r="B7060"/>
        </row>
        <row r="7061">
          <cell r="A7061"/>
          <cell r="B7061"/>
        </row>
        <row r="7062">
          <cell r="A7062"/>
          <cell r="B7062"/>
        </row>
        <row r="7063">
          <cell r="A7063"/>
          <cell r="B7063"/>
        </row>
        <row r="7064">
          <cell r="A7064"/>
          <cell r="B7064"/>
        </row>
        <row r="7065">
          <cell r="A7065"/>
          <cell r="B7065"/>
        </row>
        <row r="7066">
          <cell r="A7066"/>
          <cell r="B7066"/>
        </row>
        <row r="7067">
          <cell r="A7067"/>
          <cell r="B7067"/>
        </row>
        <row r="7068">
          <cell r="A7068"/>
          <cell r="B7068"/>
        </row>
        <row r="7069">
          <cell r="A7069"/>
          <cell r="B7069"/>
        </row>
        <row r="7070">
          <cell r="A7070"/>
          <cell r="B7070"/>
        </row>
        <row r="7071">
          <cell r="A7071"/>
          <cell r="B7071"/>
        </row>
        <row r="7072">
          <cell r="A7072"/>
          <cell r="B7072"/>
        </row>
        <row r="7073">
          <cell r="A7073"/>
          <cell r="B7073"/>
        </row>
        <row r="7074">
          <cell r="A7074"/>
          <cell r="B7074"/>
        </row>
        <row r="7075">
          <cell r="A7075"/>
          <cell r="B7075"/>
        </row>
        <row r="7076">
          <cell r="A7076"/>
          <cell r="B7076"/>
        </row>
        <row r="7077">
          <cell r="A7077"/>
          <cell r="B7077"/>
        </row>
        <row r="7078">
          <cell r="A7078"/>
          <cell r="B7078"/>
        </row>
        <row r="7079">
          <cell r="A7079"/>
          <cell r="B7079"/>
        </row>
        <row r="7080">
          <cell r="A7080"/>
          <cell r="B7080"/>
        </row>
        <row r="7081">
          <cell r="A7081"/>
          <cell r="B7081"/>
        </row>
        <row r="7082">
          <cell r="A7082"/>
          <cell r="B7082"/>
        </row>
        <row r="7083">
          <cell r="A7083"/>
          <cell r="B7083"/>
        </row>
        <row r="7084">
          <cell r="A7084"/>
          <cell r="B7084"/>
        </row>
        <row r="7085">
          <cell r="A7085"/>
          <cell r="B7085"/>
        </row>
        <row r="7086">
          <cell r="A7086"/>
          <cell r="B7086"/>
        </row>
        <row r="7087">
          <cell r="A7087"/>
          <cell r="B7087"/>
        </row>
        <row r="7088">
          <cell r="A7088"/>
          <cell r="B7088"/>
        </row>
        <row r="7089">
          <cell r="A7089"/>
          <cell r="B7089"/>
        </row>
        <row r="7090">
          <cell r="A7090"/>
          <cell r="B7090"/>
        </row>
        <row r="7091">
          <cell r="A7091"/>
          <cell r="B7091"/>
        </row>
        <row r="7092">
          <cell r="A7092"/>
          <cell r="B7092"/>
        </row>
        <row r="7093">
          <cell r="A7093"/>
          <cell r="B7093"/>
        </row>
        <row r="7094">
          <cell r="A7094"/>
          <cell r="B7094"/>
        </row>
        <row r="7095">
          <cell r="A7095"/>
          <cell r="B7095"/>
        </row>
        <row r="7096">
          <cell r="A7096"/>
          <cell r="B7096"/>
        </row>
        <row r="7097">
          <cell r="A7097"/>
          <cell r="B7097"/>
        </row>
        <row r="7098">
          <cell r="A7098"/>
          <cell r="B7098"/>
        </row>
        <row r="7099">
          <cell r="A7099"/>
          <cell r="B7099"/>
        </row>
        <row r="7100">
          <cell r="A7100"/>
          <cell r="B7100"/>
        </row>
        <row r="7101">
          <cell r="A7101"/>
          <cell r="B7101"/>
        </row>
        <row r="7102">
          <cell r="A7102"/>
          <cell r="B7102"/>
        </row>
        <row r="7103">
          <cell r="A7103"/>
          <cell r="B7103"/>
        </row>
        <row r="7104">
          <cell r="A7104"/>
          <cell r="B7104"/>
        </row>
        <row r="7105">
          <cell r="A7105"/>
          <cell r="B7105"/>
        </row>
        <row r="7106">
          <cell r="A7106"/>
          <cell r="B7106"/>
        </row>
        <row r="7107">
          <cell r="A7107"/>
          <cell r="B7107"/>
        </row>
        <row r="7108">
          <cell r="A7108"/>
          <cell r="B7108"/>
        </row>
        <row r="7109">
          <cell r="A7109"/>
          <cell r="B7109"/>
        </row>
        <row r="7110">
          <cell r="A7110"/>
          <cell r="B7110"/>
        </row>
        <row r="7111">
          <cell r="A7111"/>
          <cell r="B7111"/>
        </row>
        <row r="7112">
          <cell r="A7112"/>
          <cell r="B7112"/>
        </row>
        <row r="7113">
          <cell r="A7113"/>
          <cell r="B7113"/>
        </row>
        <row r="7114">
          <cell r="A7114"/>
          <cell r="B7114"/>
        </row>
        <row r="7115">
          <cell r="A7115"/>
          <cell r="B7115"/>
        </row>
        <row r="7116">
          <cell r="A7116"/>
          <cell r="B7116"/>
        </row>
        <row r="7117">
          <cell r="A7117"/>
          <cell r="B7117"/>
        </row>
        <row r="7118">
          <cell r="A7118"/>
          <cell r="B7118"/>
        </row>
        <row r="7119">
          <cell r="A7119"/>
          <cell r="B7119"/>
        </row>
        <row r="7120">
          <cell r="A7120"/>
          <cell r="B7120"/>
        </row>
        <row r="7121">
          <cell r="A7121"/>
          <cell r="B7121"/>
        </row>
        <row r="7122">
          <cell r="A7122"/>
          <cell r="B7122"/>
        </row>
        <row r="7123">
          <cell r="A7123"/>
          <cell r="B7123"/>
        </row>
        <row r="7124">
          <cell r="A7124"/>
          <cell r="B7124"/>
        </row>
        <row r="7125">
          <cell r="A7125"/>
          <cell r="B7125"/>
        </row>
        <row r="7126">
          <cell r="A7126"/>
          <cell r="B7126"/>
        </row>
        <row r="7127">
          <cell r="A7127"/>
          <cell r="B7127"/>
        </row>
        <row r="7128">
          <cell r="A7128"/>
          <cell r="B7128"/>
        </row>
        <row r="7129">
          <cell r="A7129"/>
          <cell r="B7129"/>
        </row>
        <row r="7130">
          <cell r="A7130"/>
          <cell r="B7130"/>
        </row>
        <row r="7131">
          <cell r="A7131"/>
          <cell r="B7131"/>
        </row>
        <row r="7132">
          <cell r="A7132"/>
          <cell r="B7132"/>
        </row>
        <row r="7133">
          <cell r="A7133"/>
          <cell r="B7133"/>
        </row>
        <row r="7134">
          <cell r="A7134"/>
          <cell r="B7134"/>
        </row>
        <row r="7135">
          <cell r="A7135"/>
          <cell r="B7135"/>
        </row>
        <row r="7136">
          <cell r="A7136"/>
          <cell r="B7136"/>
        </row>
        <row r="7137">
          <cell r="A7137"/>
          <cell r="B7137"/>
        </row>
        <row r="7138">
          <cell r="A7138"/>
          <cell r="B7138"/>
        </row>
        <row r="7139">
          <cell r="A7139"/>
          <cell r="B7139"/>
        </row>
        <row r="7140">
          <cell r="A7140"/>
          <cell r="B7140"/>
        </row>
        <row r="7141">
          <cell r="A7141"/>
          <cell r="B7141"/>
        </row>
        <row r="7142">
          <cell r="A7142"/>
          <cell r="B7142"/>
        </row>
        <row r="7143">
          <cell r="A7143"/>
          <cell r="B7143"/>
        </row>
        <row r="7144">
          <cell r="A7144"/>
          <cell r="B7144"/>
        </row>
        <row r="7145">
          <cell r="A7145"/>
          <cell r="B7145"/>
        </row>
        <row r="7146">
          <cell r="A7146"/>
          <cell r="B7146"/>
        </row>
        <row r="7147">
          <cell r="A7147"/>
          <cell r="B7147"/>
        </row>
        <row r="7148">
          <cell r="A7148"/>
          <cell r="B7148"/>
        </row>
        <row r="7149">
          <cell r="A7149"/>
          <cell r="B7149"/>
        </row>
        <row r="7150">
          <cell r="A7150"/>
          <cell r="B7150"/>
        </row>
        <row r="7151">
          <cell r="A7151"/>
          <cell r="B7151"/>
        </row>
        <row r="7152">
          <cell r="A7152"/>
          <cell r="B7152"/>
        </row>
        <row r="7153">
          <cell r="A7153"/>
          <cell r="B7153"/>
        </row>
        <row r="7154">
          <cell r="A7154"/>
          <cell r="B7154"/>
        </row>
        <row r="7155">
          <cell r="A7155"/>
          <cell r="B7155"/>
        </row>
        <row r="7156">
          <cell r="A7156"/>
          <cell r="B7156"/>
        </row>
        <row r="7157">
          <cell r="A7157"/>
          <cell r="B7157"/>
        </row>
        <row r="7158">
          <cell r="A7158"/>
          <cell r="B7158"/>
        </row>
        <row r="7159">
          <cell r="A7159"/>
          <cell r="B7159"/>
        </row>
        <row r="7160">
          <cell r="A7160"/>
          <cell r="B7160"/>
        </row>
        <row r="7161">
          <cell r="A7161"/>
          <cell r="B7161"/>
        </row>
        <row r="7162">
          <cell r="A7162"/>
          <cell r="B7162"/>
        </row>
        <row r="7163">
          <cell r="A7163"/>
          <cell r="B7163"/>
        </row>
        <row r="7164">
          <cell r="A7164"/>
          <cell r="B7164"/>
        </row>
        <row r="7165">
          <cell r="A7165"/>
          <cell r="B7165"/>
        </row>
        <row r="7166">
          <cell r="A7166"/>
          <cell r="B7166"/>
        </row>
        <row r="7167">
          <cell r="A7167"/>
          <cell r="B7167"/>
        </row>
        <row r="7168">
          <cell r="A7168"/>
          <cell r="B7168"/>
        </row>
        <row r="7169">
          <cell r="A7169"/>
          <cell r="B7169"/>
        </row>
        <row r="7170">
          <cell r="A7170"/>
          <cell r="B7170"/>
        </row>
        <row r="7171">
          <cell r="A7171"/>
          <cell r="B7171"/>
        </row>
        <row r="7172">
          <cell r="A7172"/>
          <cell r="B7172"/>
        </row>
        <row r="7173">
          <cell r="A7173"/>
          <cell r="B7173"/>
        </row>
        <row r="7174">
          <cell r="A7174"/>
          <cell r="B7174"/>
        </row>
        <row r="7175">
          <cell r="A7175"/>
          <cell r="B7175"/>
        </row>
        <row r="7176">
          <cell r="A7176"/>
          <cell r="B7176"/>
        </row>
        <row r="7177">
          <cell r="A7177"/>
          <cell r="B7177"/>
        </row>
        <row r="7178">
          <cell r="A7178"/>
          <cell r="B7178"/>
        </row>
        <row r="7179">
          <cell r="A7179"/>
          <cell r="B7179"/>
        </row>
        <row r="7180">
          <cell r="A7180"/>
          <cell r="B7180"/>
        </row>
        <row r="7181">
          <cell r="A7181"/>
          <cell r="B7181"/>
        </row>
        <row r="7182">
          <cell r="A7182"/>
          <cell r="B7182"/>
        </row>
        <row r="7183">
          <cell r="A7183"/>
          <cell r="B7183"/>
        </row>
        <row r="7184">
          <cell r="A7184"/>
          <cell r="B7184"/>
        </row>
        <row r="7185">
          <cell r="A7185"/>
          <cell r="B7185"/>
        </row>
        <row r="7186">
          <cell r="A7186"/>
          <cell r="B7186"/>
        </row>
        <row r="7187">
          <cell r="A7187"/>
          <cell r="B7187"/>
        </row>
        <row r="7188">
          <cell r="A7188"/>
          <cell r="B7188"/>
        </row>
        <row r="7189">
          <cell r="A7189"/>
          <cell r="B7189"/>
        </row>
        <row r="7190">
          <cell r="A7190"/>
          <cell r="B7190"/>
        </row>
        <row r="7191">
          <cell r="A7191"/>
          <cell r="B7191"/>
        </row>
        <row r="7192">
          <cell r="A7192"/>
          <cell r="B7192"/>
        </row>
        <row r="7193">
          <cell r="A7193"/>
          <cell r="B7193"/>
        </row>
        <row r="7194">
          <cell r="A7194"/>
          <cell r="B7194"/>
        </row>
        <row r="7195">
          <cell r="A7195"/>
          <cell r="B7195"/>
        </row>
        <row r="7196">
          <cell r="A7196"/>
          <cell r="B7196"/>
        </row>
        <row r="7197">
          <cell r="A7197"/>
          <cell r="B7197"/>
        </row>
        <row r="7198">
          <cell r="A7198"/>
          <cell r="B7198"/>
        </row>
        <row r="7199">
          <cell r="A7199"/>
          <cell r="B7199"/>
        </row>
        <row r="7200">
          <cell r="A7200"/>
          <cell r="B7200"/>
        </row>
        <row r="7201">
          <cell r="A7201"/>
          <cell r="B7201"/>
        </row>
        <row r="7202">
          <cell r="A7202"/>
          <cell r="B7202"/>
        </row>
        <row r="7203">
          <cell r="A7203"/>
          <cell r="B7203"/>
        </row>
        <row r="7204">
          <cell r="A7204"/>
          <cell r="B7204"/>
        </row>
        <row r="7205">
          <cell r="A7205"/>
          <cell r="B7205"/>
        </row>
        <row r="7206">
          <cell r="A7206"/>
          <cell r="B7206"/>
        </row>
        <row r="7207">
          <cell r="A7207"/>
          <cell r="B7207"/>
        </row>
        <row r="7208">
          <cell r="A7208"/>
          <cell r="B7208"/>
        </row>
        <row r="7209">
          <cell r="A7209"/>
          <cell r="B7209"/>
        </row>
        <row r="7210">
          <cell r="A7210"/>
          <cell r="B7210"/>
        </row>
        <row r="7211">
          <cell r="A7211"/>
          <cell r="B7211"/>
        </row>
        <row r="7212">
          <cell r="A7212"/>
          <cell r="B7212"/>
        </row>
        <row r="7213">
          <cell r="A7213"/>
          <cell r="B7213"/>
        </row>
        <row r="7214">
          <cell r="A7214"/>
          <cell r="B7214"/>
        </row>
        <row r="7215">
          <cell r="A7215"/>
          <cell r="B7215"/>
        </row>
        <row r="7216">
          <cell r="A7216"/>
          <cell r="B7216"/>
        </row>
        <row r="7217">
          <cell r="A7217"/>
          <cell r="B7217"/>
        </row>
        <row r="7218">
          <cell r="A7218"/>
          <cell r="B7218"/>
        </row>
        <row r="7219">
          <cell r="A7219"/>
          <cell r="B7219"/>
        </row>
        <row r="7220">
          <cell r="A7220"/>
          <cell r="B7220"/>
        </row>
        <row r="7221">
          <cell r="A7221"/>
          <cell r="B7221"/>
        </row>
        <row r="7222">
          <cell r="A7222"/>
          <cell r="B7222"/>
        </row>
        <row r="7223">
          <cell r="A7223"/>
          <cell r="B7223"/>
        </row>
        <row r="7224">
          <cell r="A7224"/>
          <cell r="B7224"/>
        </row>
        <row r="7225">
          <cell r="A7225"/>
          <cell r="B7225"/>
        </row>
        <row r="7226">
          <cell r="A7226"/>
          <cell r="B7226"/>
        </row>
        <row r="7227">
          <cell r="A7227"/>
          <cell r="B7227"/>
        </row>
        <row r="7228">
          <cell r="A7228"/>
          <cell r="B7228"/>
        </row>
        <row r="7229">
          <cell r="A7229"/>
          <cell r="B7229"/>
        </row>
        <row r="7230">
          <cell r="A7230"/>
          <cell r="B7230"/>
        </row>
        <row r="7231">
          <cell r="A7231"/>
          <cell r="B7231"/>
        </row>
        <row r="7232">
          <cell r="A7232"/>
          <cell r="B7232"/>
        </row>
        <row r="7233">
          <cell r="A7233"/>
          <cell r="B7233"/>
        </row>
        <row r="7234">
          <cell r="A7234"/>
          <cell r="B7234"/>
        </row>
        <row r="7235">
          <cell r="A7235"/>
          <cell r="B7235"/>
        </row>
        <row r="7236">
          <cell r="A7236"/>
          <cell r="B7236"/>
        </row>
        <row r="7237">
          <cell r="A7237"/>
          <cell r="B7237"/>
        </row>
        <row r="7238">
          <cell r="A7238"/>
          <cell r="B7238"/>
        </row>
        <row r="7239">
          <cell r="A7239"/>
          <cell r="B7239"/>
        </row>
        <row r="7240">
          <cell r="A7240"/>
          <cell r="B7240"/>
        </row>
        <row r="7241">
          <cell r="A7241"/>
          <cell r="B7241"/>
        </row>
        <row r="7242">
          <cell r="A7242"/>
          <cell r="B7242"/>
        </row>
        <row r="7243">
          <cell r="A7243"/>
          <cell r="B7243"/>
        </row>
        <row r="7244">
          <cell r="A7244"/>
          <cell r="B7244"/>
        </row>
        <row r="7245">
          <cell r="A7245"/>
          <cell r="B7245"/>
        </row>
        <row r="7246">
          <cell r="A7246"/>
          <cell r="B7246"/>
        </row>
        <row r="7247">
          <cell r="A7247"/>
          <cell r="B7247"/>
        </row>
        <row r="7248">
          <cell r="A7248"/>
          <cell r="B7248"/>
        </row>
        <row r="7249">
          <cell r="A7249"/>
          <cell r="B7249"/>
        </row>
        <row r="7250">
          <cell r="A7250"/>
          <cell r="B7250"/>
        </row>
        <row r="7251">
          <cell r="A7251"/>
          <cell r="B7251"/>
        </row>
        <row r="7252">
          <cell r="A7252"/>
          <cell r="B7252"/>
        </row>
        <row r="7253">
          <cell r="A7253"/>
          <cell r="B7253"/>
        </row>
        <row r="7254">
          <cell r="A7254"/>
          <cell r="B7254"/>
        </row>
        <row r="7255">
          <cell r="A7255"/>
          <cell r="B7255"/>
        </row>
        <row r="7256">
          <cell r="A7256"/>
          <cell r="B7256"/>
        </row>
        <row r="7257">
          <cell r="A7257"/>
          <cell r="B7257"/>
        </row>
        <row r="7258">
          <cell r="A7258"/>
          <cell r="B7258"/>
        </row>
        <row r="7259">
          <cell r="A7259"/>
          <cell r="B7259"/>
        </row>
        <row r="7260">
          <cell r="A7260"/>
          <cell r="B7260"/>
        </row>
        <row r="7261">
          <cell r="A7261"/>
          <cell r="B7261"/>
        </row>
        <row r="7262">
          <cell r="A7262"/>
          <cell r="B7262"/>
        </row>
        <row r="7263">
          <cell r="A7263"/>
          <cell r="B7263"/>
        </row>
        <row r="7264">
          <cell r="A7264"/>
          <cell r="B7264"/>
        </row>
        <row r="7265">
          <cell r="A7265"/>
          <cell r="B7265"/>
        </row>
        <row r="7266">
          <cell r="A7266"/>
          <cell r="B7266"/>
        </row>
        <row r="7267">
          <cell r="A7267"/>
          <cell r="B7267"/>
        </row>
        <row r="7268">
          <cell r="A7268"/>
          <cell r="B7268"/>
        </row>
        <row r="7269">
          <cell r="A7269"/>
          <cell r="B7269"/>
        </row>
        <row r="7270">
          <cell r="A7270"/>
          <cell r="B7270"/>
        </row>
        <row r="7271">
          <cell r="A7271"/>
          <cell r="B7271"/>
        </row>
        <row r="7272">
          <cell r="A7272"/>
          <cell r="B7272"/>
        </row>
        <row r="7273">
          <cell r="A7273"/>
          <cell r="B7273"/>
        </row>
        <row r="7274">
          <cell r="A7274"/>
          <cell r="B7274"/>
        </row>
        <row r="7275">
          <cell r="A7275"/>
          <cell r="B7275"/>
        </row>
        <row r="7276">
          <cell r="A7276"/>
          <cell r="B7276"/>
        </row>
        <row r="7277">
          <cell r="A7277"/>
          <cell r="B7277"/>
        </row>
        <row r="7278">
          <cell r="A7278"/>
          <cell r="B7278"/>
        </row>
        <row r="7279">
          <cell r="A7279"/>
          <cell r="B7279"/>
        </row>
        <row r="7280">
          <cell r="A7280"/>
          <cell r="B7280"/>
        </row>
        <row r="7281">
          <cell r="A7281"/>
          <cell r="B7281"/>
        </row>
        <row r="7282">
          <cell r="A7282"/>
          <cell r="B7282"/>
        </row>
        <row r="7283">
          <cell r="A7283"/>
          <cell r="B7283"/>
        </row>
        <row r="7284">
          <cell r="A7284"/>
          <cell r="B7284"/>
        </row>
        <row r="7285">
          <cell r="A7285"/>
          <cell r="B7285"/>
        </row>
        <row r="7286">
          <cell r="A7286"/>
          <cell r="B7286"/>
        </row>
        <row r="7287">
          <cell r="A7287"/>
          <cell r="B7287"/>
        </row>
        <row r="7288">
          <cell r="A7288"/>
          <cell r="B7288"/>
        </row>
        <row r="7289">
          <cell r="A7289"/>
          <cell r="B7289"/>
        </row>
        <row r="7290">
          <cell r="A7290"/>
          <cell r="B7290"/>
        </row>
        <row r="7291">
          <cell r="A7291"/>
          <cell r="B7291"/>
        </row>
        <row r="7292">
          <cell r="A7292"/>
          <cell r="B7292"/>
        </row>
        <row r="7293">
          <cell r="A7293"/>
          <cell r="B7293"/>
        </row>
        <row r="7294">
          <cell r="A7294"/>
          <cell r="B7294"/>
        </row>
        <row r="7295">
          <cell r="A7295"/>
          <cell r="B7295"/>
        </row>
        <row r="7296">
          <cell r="A7296"/>
          <cell r="B7296"/>
        </row>
        <row r="7297">
          <cell r="A7297"/>
          <cell r="B7297"/>
        </row>
        <row r="7298">
          <cell r="A7298"/>
          <cell r="B7298"/>
        </row>
        <row r="7299">
          <cell r="A7299"/>
          <cell r="B7299"/>
        </row>
        <row r="7300">
          <cell r="A7300"/>
          <cell r="B7300"/>
        </row>
        <row r="7301">
          <cell r="A7301"/>
          <cell r="B7301"/>
        </row>
        <row r="7302">
          <cell r="A7302"/>
          <cell r="B7302"/>
        </row>
        <row r="7303">
          <cell r="A7303"/>
          <cell r="B7303"/>
        </row>
        <row r="7304">
          <cell r="A7304"/>
          <cell r="B7304"/>
        </row>
        <row r="7305">
          <cell r="A7305"/>
          <cell r="B7305"/>
        </row>
        <row r="7306">
          <cell r="A7306"/>
          <cell r="B7306"/>
        </row>
        <row r="7307">
          <cell r="A7307"/>
          <cell r="B7307"/>
        </row>
        <row r="7308">
          <cell r="A7308"/>
          <cell r="B7308"/>
        </row>
        <row r="7309">
          <cell r="A7309"/>
          <cell r="B7309"/>
        </row>
        <row r="7310">
          <cell r="A7310"/>
          <cell r="B7310"/>
        </row>
        <row r="7311">
          <cell r="A7311"/>
          <cell r="B7311"/>
        </row>
        <row r="7312">
          <cell r="A7312"/>
          <cell r="B7312"/>
        </row>
        <row r="7313">
          <cell r="A7313"/>
          <cell r="B7313"/>
        </row>
        <row r="7314">
          <cell r="A7314"/>
          <cell r="B7314"/>
        </row>
        <row r="7315">
          <cell r="A7315"/>
          <cell r="B7315"/>
        </row>
        <row r="7316">
          <cell r="A7316"/>
          <cell r="B7316"/>
        </row>
        <row r="7317">
          <cell r="A7317"/>
          <cell r="B7317"/>
        </row>
        <row r="7318">
          <cell r="A7318"/>
          <cell r="B7318"/>
        </row>
        <row r="7319">
          <cell r="A7319"/>
          <cell r="B7319"/>
        </row>
        <row r="7320">
          <cell r="A7320"/>
          <cell r="B7320"/>
        </row>
        <row r="7321">
          <cell r="A7321"/>
          <cell r="B7321"/>
        </row>
        <row r="7322">
          <cell r="A7322"/>
          <cell r="B7322"/>
        </row>
        <row r="7323">
          <cell r="A7323"/>
          <cell r="B7323"/>
        </row>
        <row r="7324">
          <cell r="A7324"/>
          <cell r="B7324"/>
        </row>
        <row r="7325">
          <cell r="A7325"/>
          <cell r="B7325"/>
        </row>
        <row r="7326">
          <cell r="A7326"/>
          <cell r="B7326"/>
        </row>
        <row r="7327">
          <cell r="A7327"/>
          <cell r="B7327"/>
        </row>
        <row r="7328">
          <cell r="A7328"/>
          <cell r="B7328"/>
        </row>
        <row r="7329">
          <cell r="A7329"/>
          <cell r="B7329"/>
        </row>
        <row r="7330">
          <cell r="A7330"/>
          <cell r="B7330"/>
        </row>
        <row r="7331">
          <cell r="A7331"/>
          <cell r="B7331"/>
        </row>
        <row r="7332">
          <cell r="A7332"/>
          <cell r="B7332"/>
        </row>
        <row r="7333">
          <cell r="A7333"/>
          <cell r="B7333"/>
        </row>
        <row r="7334">
          <cell r="A7334"/>
          <cell r="B7334"/>
        </row>
        <row r="7335">
          <cell r="A7335"/>
          <cell r="B7335"/>
        </row>
        <row r="7336">
          <cell r="A7336"/>
          <cell r="B7336"/>
        </row>
        <row r="7337">
          <cell r="A7337"/>
          <cell r="B7337"/>
        </row>
        <row r="7338">
          <cell r="A7338"/>
          <cell r="B7338"/>
        </row>
        <row r="7339">
          <cell r="A7339"/>
          <cell r="B7339"/>
        </row>
        <row r="7340">
          <cell r="A7340"/>
          <cell r="B7340"/>
        </row>
        <row r="7341">
          <cell r="A7341"/>
          <cell r="B7341"/>
        </row>
        <row r="7342">
          <cell r="A7342"/>
          <cell r="B7342"/>
        </row>
        <row r="7343">
          <cell r="A7343"/>
          <cell r="B7343"/>
        </row>
        <row r="7344">
          <cell r="A7344"/>
          <cell r="B7344"/>
        </row>
        <row r="7345">
          <cell r="A7345"/>
          <cell r="B7345"/>
        </row>
        <row r="7346">
          <cell r="A7346"/>
          <cell r="B7346"/>
        </row>
        <row r="7347">
          <cell r="A7347"/>
          <cell r="B7347"/>
        </row>
        <row r="7348">
          <cell r="A7348"/>
          <cell r="B7348"/>
        </row>
        <row r="7349">
          <cell r="A7349"/>
          <cell r="B7349"/>
        </row>
        <row r="7350">
          <cell r="A7350"/>
          <cell r="B7350"/>
        </row>
        <row r="7351">
          <cell r="A7351"/>
          <cell r="B7351"/>
        </row>
        <row r="7352">
          <cell r="A7352"/>
          <cell r="B7352"/>
        </row>
        <row r="7353">
          <cell r="A7353"/>
          <cell r="B7353"/>
        </row>
        <row r="7354">
          <cell r="A7354"/>
          <cell r="B7354"/>
        </row>
        <row r="7355">
          <cell r="A7355"/>
          <cell r="B7355"/>
        </row>
        <row r="7356">
          <cell r="A7356"/>
          <cell r="B7356"/>
        </row>
        <row r="7357">
          <cell r="A7357"/>
          <cell r="B7357"/>
        </row>
        <row r="7358">
          <cell r="A7358"/>
          <cell r="B7358"/>
        </row>
        <row r="7359">
          <cell r="A7359"/>
          <cell r="B7359"/>
        </row>
        <row r="7360">
          <cell r="A7360"/>
          <cell r="B7360"/>
        </row>
        <row r="7361">
          <cell r="A7361"/>
          <cell r="B7361"/>
        </row>
        <row r="7362">
          <cell r="A7362"/>
          <cell r="B7362"/>
        </row>
        <row r="7363">
          <cell r="A7363"/>
          <cell r="B7363"/>
        </row>
        <row r="7364">
          <cell r="A7364"/>
          <cell r="B7364"/>
        </row>
        <row r="7365">
          <cell r="A7365"/>
          <cell r="B7365"/>
        </row>
        <row r="7366">
          <cell r="A7366"/>
          <cell r="B7366"/>
        </row>
        <row r="7367">
          <cell r="A7367"/>
          <cell r="B7367"/>
        </row>
        <row r="7368">
          <cell r="A7368"/>
          <cell r="B7368"/>
        </row>
        <row r="7369">
          <cell r="A7369"/>
          <cell r="B7369"/>
        </row>
        <row r="7370">
          <cell r="A7370"/>
          <cell r="B7370"/>
        </row>
        <row r="7371">
          <cell r="A7371"/>
          <cell r="B7371"/>
        </row>
        <row r="7372">
          <cell r="A7372"/>
          <cell r="B7372"/>
        </row>
        <row r="7373">
          <cell r="A7373"/>
          <cell r="B7373"/>
        </row>
        <row r="7374">
          <cell r="A7374"/>
          <cell r="B7374"/>
        </row>
        <row r="7375">
          <cell r="A7375"/>
          <cell r="B7375"/>
        </row>
        <row r="7376">
          <cell r="A7376"/>
          <cell r="B7376"/>
        </row>
        <row r="7377">
          <cell r="A7377"/>
          <cell r="B7377"/>
        </row>
        <row r="7378">
          <cell r="A7378"/>
          <cell r="B7378"/>
        </row>
        <row r="7379">
          <cell r="A7379"/>
          <cell r="B7379"/>
        </row>
        <row r="7380">
          <cell r="A7380"/>
          <cell r="B7380"/>
        </row>
        <row r="7381">
          <cell r="A7381"/>
          <cell r="B7381"/>
        </row>
        <row r="7382">
          <cell r="A7382"/>
          <cell r="B7382"/>
        </row>
        <row r="7383">
          <cell r="A7383"/>
          <cell r="B7383"/>
        </row>
        <row r="7384">
          <cell r="A7384"/>
          <cell r="B7384"/>
        </row>
        <row r="7385">
          <cell r="A7385"/>
          <cell r="B7385"/>
        </row>
        <row r="7386">
          <cell r="A7386"/>
          <cell r="B7386"/>
        </row>
        <row r="7387">
          <cell r="A7387"/>
          <cell r="B7387"/>
        </row>
        <row r="7388">
          <cell r="A7388"/>
          <cell r="B7388"/>
        </row>
        <row r="7389">
          <cell r="A7389"/>
          <cell r="B7389"/>
        </row>
        <row r="7390">
          <cell r="A7390"/>
          <cell r="B7390"/>
        </row>
        <row r="7391">
          <cell r="A7391"/>
          <cell r="B7391"/>
        </row>
        <row r="7392">
          <cell r="A7392"/>
          <cell r="B7392"/>
        </row>
        <row r="7393">
          <cell r="A7393"/>
          <cell r="B7393"/>
        </row>
        <row r="7394">
          <cell r="A7394"/>
          <cell r="B7394"/>
        </row>
        <row r="7395">
          <cell r="A7395"/>
          <cell r="B7395"/>
        </row>
        <row r="7396">
          <cell r="A7396"/>
          <cell r="B7396"/>
        </row>
        <row r="7397">
          <cell r="A7397"/>
          <cell r="B7397"/>
        </row>
        <row r="7398">
          <cell r="A7398"/>
          <cell r="B7398"/>
        </row>
        <row r="7399">
          <cell r="A7399"/>
          <cell r="B7399"/>
        </row>
        <row r="7400">
          <cell r="A7400"/>
          <cell r="B7400"/>
        </row>
        <row r="7401">
          <cell r="A7401"/>
          <cell r="B7401"/>
        </row>
        <row r="7402">
          <cell r="A7402"/>
          <cell r="B7402"/>
        </row>
        <row r="7403">
          <cell r="A7403"/>
          <cell r="B7403"/>
        </row>
        <row r="7404">
          <cell r="A7404"/>
          <cell r="B7404"/>
        </row>
        <row r="7405">
          <cell r="A7405"/>
          <cell r="B7405"/>
        </row>
        <row r="7406">
          <cell r="A7406"/>
          <cell r="B7406"/>
        </row>
        <row r="7407">
          <cell r="A7407"/>
          <cell r="B7407"/>
        </row>
        <row r="7408">
          <cell r="A7408"/>
          <cell r="B7408"/>
        </row>
        <row r="7409">
          <cell r="A7409"/>
          <cell r="B7409"/>
        </row>
        <row r="7410">
          <cell r="A7410"/>
          <cell r="B7410"/>
        </row>
        <row r="7411">
          <cell r="A7411"/>
          <cell r="B7411"/>
        </row>
        <row r="7412">
          <cell r="A7412"/>
          <cell r="B7412"/>
        </row>
        <row r="7413">
          <cell r="A7413"/>
          <cell r="B7413"/>
        </row>
        <row r="7414">
          <cell r="A7414"/>
          <cell r="B7414"/>
        </row>
        <row r="7415">
          <cell r="A7415"/>
          <cell r="B7415"/>
        </row>
        <row r="7416">
          <cell r="A7416"/>
          <cell r="B7416"/>
        </row>
        <row r="7417">
          <cell r="A7417"/>
          <cell r="B7417"/>
        </row>
        <row r="7418">
          <cell r="A7418"/>
          <cell r="B7418"/>
        </row>
        <row r="7419">
          <cell r="A7419"/>
          <cell r="B7419"/>
        </row>
        <row r="7420">
          <cell r="A7420"/>
          <cell r="B7420"/>
        </row>
        <row r="7421">
          <cell r="A7421"/>
          <cell r="B7421"/>
        </row>
        <row r="7422">
          <cell r="A7422"/>
          <cell r="B7422"/>
        </row>
        <row r="7423">
          <cell r="A7423"/>
          <cell r="B7423"/>
        </row>
        <row r="7424">
          <cell r="A7424"/>
          <cell r="B7424"/>
        </row>
        <row r="7425">
          <cell r="A7425"/>
          <cell r="B7425"/>
        </row>
        <row r="7426">
          <cell r="A7426"/>
          <cell r="B7426"/>
        </row>
        <row r="7427">
          <cell r="A7427"/>
          <cell r="B7427"/>
        </row>
        <row r="7428">
          <cell r="A7428"/>
          <cell r="B7428"/>
        </row>
        <row r="7429">
          <cell r="A7429"/>
          <cell r="B7429"/>
        </row>
        <row r="7430">
          <cell r="A7430"/>
          <cell r="B7430"/>
        </row>
        <row r="7431">
          <cell r="A7431"/>
          <cell r="B7431"/>
        </row>
        <row r="7432">
          <cell r="A7432"/>
          <cell r="B7432"/>
        </row>
        <row r="7433">
          <cell r="A7433"/>
          <cell r="B7433"/>
        </row>
        <row r="7434">
          <cell r="A7434"/>
          <cell r="B7434"/>
        </row>
        <row r="7435">
          <cell r="A7435"/>
          <cell r="B7435"/>
        </row>
        <row r="7436">
          <cell r="A7436"/>
          <cell r="B7436"/>
        </row>
        <row r="7437">
          <cell r="A7437"/>
          <cell r="B7437"/>
        </row>
        <row r="7438">
          <cell r="A7438"/>
          <cell r="B7438"/>
        </row>
        <row r="7439">
          <cell r="A7439"/>
          <cell r="B7439"/>
        </row>
        <row r="7440">
          <cell r="A7440"/>
          <cell r="B7440"/>
        </row>
        <row r="7441">
          <cell r="A7441"/>
          <cell r="B7441"/>
        </row>
        <row r="7442">
          <cell r="A7442"/>
          <cell r="B7442"/>
        </row>
        <row r="7443">
          <cell r="A7443"/>
          <cell r="B7443"/>
        </row>
        <row r="7444">
          <cell r="A7444"/>
          <cell r="B7444"/>
        </row>
        <row r="7445">
          <cell r="A7445"/>
          <cell r="B7445"/>
        </row>
        <row r="7446">
          <cell r="A7446"/>
          <cell r="B7446"/>
        </row>
        <row r="7447">
          <cell r="A7447"/>
          <cell r="B7447"/>
        </row>
        <row r="7448">
          <cell r="A7448"/>
          <cell r="B7448"/>
        </row>
        <row r="7449">
          <cell r="A7449"/>
          <cell r="B7449"/>
        </row>
        <row r="7450">
          <cell r="A7450"/>
          <cell r="B7450"/>
        </row>
        <row r="7451">
          <cell r="A7451"/>
          <cell r="B7451"/>
        </row>
        <row r="7452">
          <cell r="A7452"/>
          <cell r="B7452"/>
        </row>
        <row r="7453">
          <cell r="A7453"/>
          <cell r="B7453"/>
        </row>
        <row r="7454">
          <cell r="A7454"/>
          <cell r="B7454"/>
        </row>
        <row r="7455">
          <cell r="A7455"/>
          <cell r="B7455"/>
        </row>
        <row r="7456">
          <cell r="A7456"/>
          <cell r="B7456"/>
        </row>
        <row r="7457">
          <cell r="A7457"/>
          <cell r="B7457"/>
        </row>
        <row r="7458">
          <cell r="A7458"/>
          <cell r="B7458"/>
        </row>
        <row r="7459">
          <cell r="A7459"/>
          <cell r="B7459"/>
        </row>
        <row r="7460">
          <cell r="A7460"/>
          <cell r="B7460"/>
        </row>
        <row r="7461">
          <cell r="A7461"/>
          <cell r="B7461"/>
        </row>
        <row r="7462">
          <cell r="A7462"/>
          <cell r="B7462"/>
        </row>
        <row r="7463">
          <cell r="A7463"/>
          <cell r="B7463"/>
        </row>
        <row r="7464">
          <cell r="A7464"/>
          <cell r="B7464"/>
        </row>
        <row r="7465">
          <cell r="A7465"/>
          <cell r="B7465"/>
        </row>
        <row r="7466">
          <cell r="A7466"/>
          <cell r="B7466"/>
        </row>
        <row r="7467">
          <cell r="A7467"/>
          <cell r="B7467"/>
        </row>
        <row r="7468">
          <cell r="A7468"/>
          <cell r="B7468"/>
        </row>
        <row r="7469">
          <cell r="A7469"/>
          <cell r="B7469"/>
        </row>
        <row r="7470">
          <cell r="A7470"/>
          <cell r="B7470"/>
        </row>
        <row r="7471">
          <cell r="A7471"/>
          <cell r="B7471"/>
        </row>
        <row r="7472">
          <cell r="A7472"/>
          <cell r="B7472"/>
        </row>
        <row r="7473">
          <cell r="A7473"/>
          <cell r="B7473"/>
        </row>
        <row r="7474">
          <cell r="A7474"/>
          <cell r="B7474"/>
        </row>
        <row r="7475">
          <cell r="A7475"/>
          <cell r="B7475"/>
        </row>
        <row r="7476">
          <cell r="A7476"/>
          <cell r="B7476"/>
        </row>
        <row r="7477">
          <cell r="A7477"/>
          <cell r="B7477"/>
        </row>
        <row r="7478">
          <cell r="A7478"/>
          <cell r="B7478"/>
        </row>
        <row r="7479">
          <cell r="A7479"/>
          <cell r="B7479"/>
        </row>
        <row r="7480">
          <cell r="A7480"/>
          <cell r="B7480"/>
        </row>
        <row r="7481">
          <cell r="A7481"/>
          <cell r="B7481"/>
        </row>
        <row r="7482">
          <cell r="A7482"/>
          <cell r="B7482"/>
        </row>
        <row r="7483">
          <cell r="A7483"/>
          <cell r="B7483"/>
        </row>
        <row r="7484">
          <cell r="A7484"/>
          <cell r="B7484"/>
        </row>
        <row r="7485">
          <cell r="A7485"/>
          <cell r="B7485"/>
        </row>
        <row r="7486">
          <cell r="A7486"/>
          <cell r="B7486"/>
        </row>
        <row r="7487">
          <cell r="A7487"/>
          <cell r="B7487"/>
        </row>
        <row r="7488">
          <cell r="A7488"/>
          <cell r="B7488"/>
        </row>
        <row r="7489">
          <cell r="A7489"/>
          <cell r="B7489"/>
        </row>
        <row r="7490">
          <cell r="A7490"/>
          <cell r="B7490"/>
        </row>
        <row r="7491">
          <cell r="A7491"/>
          <cell r="B7491"/>
        </row>
        <row r="7492">
          <cell r="A7492"/>
          <cell r="B7492"/>
        </row>
        <row r="7493">
          <cell r="A7493"/>
          <cell r="B7493"/>
        </row>
        <row r="7494">
          <cell r="A7494"/>
          <cell r="B7494"/>
        </row>
        <row r="7495">
          <cell r="A7495"/>
          <cell r="B7495"/>
        </row>
        <row r="7496">
          <cell r="A7496"/>
          <cell r="B7496"/>
        </row>
        <row r="7497">
          <cell r="A7497"/>
          <cell r="B7497"/>
        </row>
        <row r="7498">
          <cell r="A7498"/>
          <cell r="B7498"/>
        </row>
        <row r="7499">
          <cell r="A7499"/>
          <cell r="B7499"/>
        </row>
        <row r="7500">
          <cell r="A7500"/>
          <cell r="B7500"/>
        </row>
        <row r="7501">
          <cell r="A7501"/>
          <cell r="B7501"/>
        </row>
        <row r="7502">
          <cell r="A7502"/>
          <cell r="B7502"/>
        </row>
        <row r="7503">
          <cell r="A7503"/>
          <cell r="B7503"/>
        </row>
        <row r="7504">
          <cell r="A7504"/>
          <cell r="B7504"/>
        </row>
        <row r="7505">
          <cell r="A7505"/>
          <cell r="B7505"/>
        </row>
        <row r="7506">
          <cell r="A7506"/>
          <cell r="B7506"/>
        </row>
        <row r="7507">
          <cell r="A7507"/>
          <cell r="B7507"/>
        </row>
        <row r="7508">
          <cell r="A7508"/>
          <cell r="B7508"/>
        </row>
        <row r="7509">
          <cell r="A7509"/>
          <cell r="B7509"/>
        </row>
        <row r="7510">
          <cell r="A7510"/>
          <cell r="B7510"/>
        </row>
        <row r="7511">
          <cell r="A7511"/>
          <cell r="B7511"/>
        </row>
        <row r="7512">
          <cell r="A7512"/>
          <cell r="B7512"/>
        </row>
        <row r="7513">
          <cell r="A7513"/>
          <cell r="B7513"/>
        </row>
        <row r="7514">
          <cell r="A7514"/>
          <cell r="B7514"/>
        </row>
        <row r="7515">
          <cell r="A7515"/>
          <cell r="B7515"/>
        </row>
        <row r="7516">
          <cell r="A7516"/>
          <cell r="B7516"/>
        </row>
        <row r="7517">
          <cell r="A7517"/>
          <cell r="B7517"/>
        </row>
        <row r="7518">
          <cell r="A7518"/>
          <cell r="B7518"/>
        </row>
        <row r="7519">
          <cell r="A7519"/>
          <cell r="B7519"/>
        </row>
        <row r="7520">
          <cell r="A7520"/>
          <cell r="B7520"/>
        </row>
        <row r="7521">
          <cell r="A7521"/>
          <cell r="B7521"/>
        </row>
        <row r="7522">
          <cell r="A7522"/>
          <cell r="B7522"/>
        </row>
        <row r="7523">
          <cell r="A7523"/>
          <cell r="B7523"/>
        </row>
        <row r="7524">
          <cell r="A7524"/>
          <cell r="B7524"/>
        </row>
        <row r="7525">
          <cell r="A7525"/>
          <cell r="B7525"/>
        </row>
        <row r="7526">
          <cell r="A7526"/>
          <cell r="B7526"/>
        </row>
        <row r="7527">
          <cell r="A7527"/>
          <cell r="B7527"/>
        </row>
        <row r="7528">
          <cell r="A7528"/>
          <cell r="B7528"/>
        </row>
        <row r="7529">
          <cell r="A7529"/>
          <cell r="B7529"/>
        </row>
        <row r="7530">
          <cell r="A7530"/>
          <cell r="B7530"/>
        </row>
        <row r="7531">
          <cell r="A7531"/>
          <cell r="B7531"/>
        </row>
        <row r="7532">
          <cell r="A7532"/>
          <cell r="B7532"/>
        </row>
        <row r="7533">
          <cell r="A7533"/>
          <cell r="B7533"/>
        </row>
        <row r="7534">
          <cell r="A7534"/>
          <cell r="B7534"/>
        </row>
        <row r="7535">
          <cell r="A7535"/>
          <cell r="B7535"/>
        </row>
        <row r="7536">
          <cell r="A7536"/>
          <cell r="B7536"/>
        </row>
        <row r="7537">
          <cell r="A7537"/>
          <cell r="B7537"/>
        </row>
        <row r="7538">
          <cell r="A7538"/>
          <cell r="B7538"/>
        </row>
        <row r="7539">
          <cell r="A7539"/>
          <cell r="B7539"/>
        </row>
        <row r="7540">
          <cell r="A7540"/>
          <cell r="B7540"/>
        </row>
        <row r="7541">
          <cell r="A7541"/>
          <cell r="B7541"/>
        </row>
        <row r="7542">
          <cell r="A7542"/>
          <cell r="B7542"/>
        </row>
        <row r="7543">
          <cell r="A7543"/>
          <cell r="B7543"/>
        </row>
        <row r="7544">
          <cell r="A7544"/>
          <cell r="B7544"/>
        </row>
        <row r="7545">
          <cell r="A7545"/>
          <cell r="B7545"/>
        </row>
        <row r="7546">
          <cell r="A7546"/>
          <cell r="B7546"/>
        </row>
        <row r="7547">
          <cell r="A7547"/>
          <cell r="B7547"/>
        </row>
        <row r="7548">
          <cell r="A7548"/>
          <cell r="B7548"/>
        </row>
        <row r="7549">
          <cell r="A7549"/>
          <cell r="B7549"/>
        </row>
        <row r="7550">
          <cell r="A7550"/>
          <cell r="B7550"/>
        </row>
        <row r="7551">
          <cell r="A7551"/>
          <cell r="B7551"/>
        </row>
        <row r="7552">
          <cell r="A7552"/>
          <cell r="B7552"/>
        </row>
        <row r="7553">
          <cell r="A7553"/>
          <cell r="B7553"/>
        </row>
        <row r="7554">
          <cell r="A7554"/>
          <cell r="B7554"/>
        </row>
        <row r="7555">
          <cell r="A7555"/>
          <cell r="B7555"/>
        </row>
        <row r="7556">
          <cell r="A7556"/>
          <cell r="B7556"/>
        </row>
        <row r="7557">
          <cell r="A7557"/>
          <cell r="B7557"/>
        </row>
        <row r="7558">
          <cell r="A7558"/>
          <cell r="B7558"/>
        </row>
        <row r="7559">
          <cell r="A7559"/>
          <cell r="B7559"/>
        </row>
        <row r="7560">
          <cell r="A7560"/>
          <cell r="B7560"/>
        </row>
        <row r="7561">
          <cell r="A7561"/>
          <cell r="B7561"/>
        </row>
        <row r="7562">
          <cell r="A7562"/>
          <cell r="B7562"/>
        </row>
        <row r="7563">
          <cell r="A7563"/>
          <cell r="B7563"/>
        </row>
        <row r="7564">
          <cell r="A7564"/>
          <cell r="B7564"/>
        </row>
        <row r="7565">
          <cell r="A7565"/>
          <cell r="B7565"/>
        </row>
        <row r="7566">
          <cell r="A7566"/>
          <cell r="B7566"/>
        </row>
        <row r="7567">
          <cell r="A7567"/>
          <cell r="B7567"/>
        </row>
        <row r="7568">
          <cell r="A7568"/>
          <cell r="B7568"/>
        </row>
        <row r="7569">
          <cell r="A7569"/>
          <cell r="B7569"/>
        </row>
        <row r="7570">
          <cell r="A7570"/>
          <cell r="B7570"/>
        </row>
        <row r="7571">
          <cell r="A7571"/>
          <cell r="B7571"/>
        </row>
        <row r="7572">
          <cell r="A7572"/>
          <cell r="B7572"/>
        </row>
        <row r="7573">
          <cell r="A7573"/>
          <cell r="B7573"/>
        </row>
        <row r="7574">
          <cell r="A7574"/>
          <cell r="B7574"/>
        </row>
        <row r="7575">
          <cell r="A7575"/>
          <cell r="B7575"/>
        </row>
        <row r="7576">
          <cell r="A7576"/>
          <cell r="B7576"/>
        </row>
        <row r="7577">
          <cell r="A7577"/>
          <cell r="B7577"/>
        </row>
        <row r="7578">
          <cell r="A7578"/>
          <cell r="B7578"/>
        </row>
        <row r="7579">
          <cell r="A7579"/>
          <cell r="B7579"/>
        </row>
        <row r="7580">
          <cell r="A7580"/>
          <cell r="B7580"/>
        </row>
        <row r="7581">
          <cell r="A7581"/>
          <cell r="B7581"/>
        </row>
        <row r="7582">
          <cell r="A7582"/>
          <cell r="B7582"/>
        </row>
        <row r="7583">
          <cell r="A7583"/>
          <cell r="B7583"/>
        </row>
        <row r="7584">
          <cell r="A7584"/>
          <cell r="B7584"/>
        </row>
        <row r="7585">
          <cell r="A7585"/>
          <cell r="B7585"/>
        </row>
        <row r="7586">
          <cell r="A7586"/>
          <cell r="B7586"/>
        </row>
        <row r="7587">
          <cell r="A7587"/>
          <cell r="B7587"/>
        </row>
        <row r="7588">
          <cell r="A7588"/>
          <cell r="B7588"/>
        </row>
        <row r="7589">
          <cell r="A7589"/>
          <cell r="B7589"/>
        </row>
        <row r="7590">
          <cell r="A7590"/>
          <cell r="B7590"/>
        </row>
        <row r="7591">
          <cell r="A7591"/>
          <cell r="B7591"/>
        </row>
        <row r="7592">
          <cell r="A7592"/>
          <cell r="B7592"/>
        </row>
        <row r="7593">
          <cell r="A7593"/>
          <cell r="B7593"/>
        </row>
        <row r="7594">
          <cell r="A7594"/>
          <cell r="B7594"/>
        </row>
        <row r="7595">
          <cell r="A7595"/>
          <cell r="B7595"/>
        </row>
        <row r="7596">
          <cell r="A7596"/>
          <cell r="B7596"/>
        </row>
        <row r="7597">
          <cell r="A7597"/>
          <cell r="B7597"/>
        </row>
        <row r="7598">
          <cell r="A7598"/>
          <cell r="B7598"/>
        </row>
        <row r="7599">
          <cell r="A7599"/>
          <cell r="B7599"/>
        </row>
        <row r="7600">
          <cell r="A7600"/>
          <cell r="B7600"/>
        </row>
        <row r="7601">
          <cell r="A7601"/>
          <cell r="B7601"/>
        </row>
        <row r="7602">
          <cell r="A7602"/>
          <cell r="B7602"/>
        </row>
        <row r="7603">
          <cell r="A7603"/>
          <cell r="B7603"/>
        </row>
        <row r="7604">
          <cell r="A7604"/>
          <cell r="B7604"/>
        </row>
        <row r="7605">
          <cell r="A7605"/>
          <cell r="B7605"/>
        </row>
        <row r="7606">
          <cell r="A7606"/>
          <cell r="B7606"/>
        </row>
        <row r="7607">
          <cell r="A7607"/>
          <cell r="B7607"/>
        </row>
        <row r="7608">
          <cell r="A7608"/>
          <cell r="B7608"/>
        </row>
        <row r="7609">
          <cell r="A7609"/>
          <cell r="B7609"/>
        </row>
        <row r="7610">
          <cell r="A7610"/>
          <cell r="B7610"/>
        </row>
        <row r="7611">
          <cell r="A7611"/>
          <cell r="B7611"/>
        </row>
        <row r="7612">
          <cell r="A7612"/>
          <cell r="B7612"/>
        </row>
        <row r="7613">
          <cell r="A7613"/>
          <cell r="B7613"/>
        </row>
        <row r="7614">
          <cell r="A7614"/>
          <cell r="B7614"/>
        </row>
        <row r="7615">
          <cell r="A7615"/>
          <cell r="B7615"/>
        </row>
        <row r="7616">
          <cell r="A7616"/>
          <cell r="B7616"/>
        </row>
        <row r="7617">
          <cell r="A7617"/>
          <cell r="B7617"/>
        </row>
        <row r="7618">
          <cell r="A7618"/>
          <cell r="B7618"/>
        </row>
        <row r="7619">
          <cell r="A7619"/>
          <cell r="B7619"/>
        </row>
        <row r="7620">
          <cell r="A7620"/>
          <cell r="B7620"/>
        </row>
        <row r="7621">
          <cell r="A7621"/>
          <cell r="B7621"/>
        </row>
        <row r="7622">
          <cell r="A7622"/>
          <cell r="B7622"/>
        </row>
        <row r="7623">
          <cell r="A7623"/>
          <cell r="B7623"/>
        </row>
        <row r="7624">
          <cell r="A7624"/>
          <cell r="B7624"/>
        </row>
        <row r="7625">
          <cell r="A7625"/>
          <cell r="B7625"/>
        </row>
        <row r="7626">
          <cell r="A7626"/>
          <cell r="B7626"/>
        </row>
        <row r="7627">
          <cell r="A7627"/>
          <cell r="B7627"/>
        </row>
        <row r="7628">
          <cell r="A7628"/>
          <cell r="B7628"/>
        </row>
        <row r="7629">
          <cell r="A7629"/>
          <cell r="B7629"/>
        </row>
        <row r="7630">
          <cell r="A7630"/>
          <cell r="B7630"/>
        </row>
        <row r="7631">
          <cell r="A7631"/>
          <cell r="B7631"/>
        </row>
        <row r="7632">
          <cell r="A7632"/>
          <cell r="B7632"/>
        </row>
        <row r="7633">
          <cell r="A7633"/>
          <cell r="B7633"/>
        </row>
        <row r="7634">
          <cell r="A7634"/>
          <cell r="B7634"/>
        </row>
        <row r="7635">
          <cell r="A7635"/>
          <cell r="B7635"/>
        </row>
        <row r="7636">
          <cell r="A7636"/>
          <cell r="B7636"/>
        </row>
        <row r="7637">
          <cell r="A7637"/>
          <cell r="B7637"/>
        </row>
        <row r="7638">
          <cell r="A7638"/>
          <cell r="B7638"/>
        </row>
        <row r="7639">
          <cell r="A7639"/>
          <cell r="B7639"/>
        </row>
        <row r="7640">
          <cell r="A7640"/>
          <cell r="B7640"/>
        </row>
        <row r="7641">
          <cell r="A7641"/>
          <cell r="B7641"/>
        </row>
        <row r="7642">
          <cell r="A7642"/>
          <cell r="B7642"/>
        </row>
        <row r="7643">
          <cell r="A7643"/>
          <cell r="B7643"/>
        </row>
        <row r="7644">
          <cell r="A7644"/>
          <cell r="B7644"/>
        </row>
        <row r="7645">
          <cell r="A7645"/>
          <cell r="B7645"/>
        </row>
        <row r="7646">
          <cell r="A7646"/>
          <cell r="B7646"/>
        </row>
        <row r="7647">
          <cell r="A7647"/>
          <cell r="B7647"/>
        </row>
        <row r="7648">
          <cell r="A7648"/>
          <cell r="B7648"/>
        </row>
        <row r="7649">
          <cell r="A7649"/>
          <cell r="B7649"/>
        </row>
        <row r="7650">
          <cell r="A7650"/>
          <cell r="B7650"/>
        </row>
        <row r="7651">
          <cell r="A7651"/>
          <cell r="B7651"/>
        </row>
        <row r="7652">
          <cell r="A7652"/>
          <cell r="B7652"/>
        </row>
        <row r="7653">
          <cell r="A7653"/>
          <cell r="B7653"/>
        </row>
        <row r="7654">
          <cell r="A7654"/>
          <cell r="B7654"/>
        </row>
        <row r="7655">
          <cell r="A7655"/>
          <cell r="B7655"/>
        </row>
        <row r="7656">
          <cell r="A7656"/>
          <cell r="B7656"/>
        </row>
        <row r="7657">
          <cell r="A7657"/>
          <cell r="B7657"/>
        </row>
        <row r="7658">
          <cell r="A7658"/>
          <cell r="B7658"/>
        </row>
        <row r="7659">
          <cell r="A7659"/>
          <cell r="B7659"/>
        </row>
        <row r="7660">
          <cell r="A7660"/>
          <cell r="B7660"/>
        </row>
        <row r="7661">
          <cell r="A7661"/>
          <cell r="B7661"/>
        </row>
        <row r="7662">
          <cell r="A7662"/>
          <cell r="B7662"/>
        </row>
        <row r="7663">
          <cell r="A7663"/>
          <cell r="B7663"/>
        </row>
        <row r="7664">
          <cell r="A7664"/>
          <cell r="B7664"/>
        </row>
        <row r="7665">
          <cell r="A7665"/>
          <cell r="B7665"/>
        </row>
        <row r="7666">
          <cell r="A7666"/>
          <cell r="B7666"/>
        </row>
        <row r="7667">
          <cell r="A7667"/>
          <cell r="B7667"/>
        </row>
        <row r="7668">
          <cell r="A7668"/>
          <cell r="B7668"/>
        </row>
        <row r="7669">
          <cell r="A7669"/>
          <cell r="B7669"/>
        </row>
        <row r="7670">
          <cell r="A7670"/>
          <cell r="B7670"/>
        </row>
        <row r="7671">
          <cell r="A7671"/>
          <cell r="B7671"/>
        </row>
        <row r="7672">
          <cell r="A7672"/>
          <cell r="B7672"/>
        </row>
        <row r="7673">
          <cell r="A7673"/>
          <cell r="B7673"/>
        </row>
        <row r="7674">
          <cell r="A7674"/>
          <cell r="B7674"/>
        </row>
        <row r="7675">
          <cell r="A7675"/>
          <cell r="B7675"/>
        </row>
        <row r="7676">
          <cell r="A7676"/>
          <cell r="B7676"/>
        </row>
        <row r="7677">
          <cell r="A7677"/>
          <cell r="B7677"/>
        </row>
        <row r="7678">
          <cell r="A7678"/>
          <cell r="B7678"/>
        </row>
        <row r="7679">
          <cell r="A7679"/>
          <cell r="B7679"/>
        </row>
        <row r="7680">
          <cell r="A7680"/>
          <cell r="B7680"/>
        </row>
        <row r="7681">
          <cell r="A7681"/>
          <cell r="B7681"/>
        </row>
        <row r="7682">
          <cell r="A7682"/>
          <cell r="B7682"/>
        </row>
        <row r="7683">
          <cell r="A7683"/>
          <cell r="B7683"/>
        </row>
        <row r="7684">
          <cell r="A7684"/>
          <cell r="B7684"/>
        </row>
        <row r="7685">
          <cell r="A7685"/>
          <cell r="B7685"/>
        </row>
        <row r="7686">
          <cell r="A7686"/>
          <cell r="B7686"/>
        </row>
        <row r="7687">
          <cell r="A7687"/>
          <cell r="B7687"/>
        </row>
        <row r="7688">
          <cell r="A7688"/>
          <cell r="B7688"/>
        </row>
        <row r="7689">
          <cell r="A7689"/>
          <cell r="B7689"/>
        </row>
        <row r="7690">
          <cell r="A7690"/>
          <cell r="B7690"/>
        </row>
        <row r="7691">
          <cell r="A7691"/>
          <cell r="B7691"/>
        </row>
        <row r="7692">
          <cell r="A7692"/>
          <cell r="B7692"/>
        </row>
        <row r="7693">
          <cell r="A7693"/>
          <cell r="B7693"/>
        </row>
        <row r="7694">
          <cell r="A7694"/>
          <cell r="B7694"/>
        </row>
        <row r="7695">
          <cell r="A7695"/>
          <cell r="B7695"/>
        </row>
        <row r="7696">
          <cell r="A7696"/>
          <cell r="B7696"/>
        </row>
        <row r="7697">
          <cell r="A7697"/>
          <cell r="B7697"/>
        </row>
        <row r="7698">
          <cell r="A7698"/>
          <cell r="B7698"/>
        </row>
        <row r="7699">
          <cell r="A7699"/>
          <cell r="B7699"/>
        </row>
        <row r="7700">
          <cell r="A7700"/>
          <cell r="B7700"/>
        </row>
        <row r="7701">
          <cell r="A7701"/>
          <cell r="B7701"/>
        </row>
        <row r="7702">
          <cell r="A7702"/>
          <cell r="B7702"/>
        </row>
        <row r="7703">
          <cell r="A7703"/>
          <cell r="B7703"/>
        </row>
        <row r="7704">
          <cell r="A7704"/>
          <cell r="B7704"/>
        </row>
        <row r="7705">
          <cell r="A7705"/>
          <cell r="B7705"/>
        </row>
        <row r="7706">
          <cell r="A7706"/>
          <cell r="B7706"/>
        </row>
        <row r="7707">
          <cell r="A7707"/>
          <cell r="B7707"/>
        </row>
        <row r="7708">
          <cell r="A7708"/>
          <cell r="B7708"/>
        </row>
        <row r="7709">
          <cell r="A7709"/>
          <cell r="B7709"/>
        </row>
        <row r="7710">
          <cell r="A7710"/>
          <cell r="B7710"/>
        </row>
        <row r="7711">
          <cell r="A7711"/>
          <cell r="B7711"/>
        </row>
        <row r="7712">
          <cell r="A7712"/>
          <cell r="B7712"/>
        </row>
        <row r="7713">
          <cell r="A7713"/>
          <cell r="B7713"/>
        </row>
        <row r="7714">
          <cell r="A7714"/>
          <cell r="B7714"/>
        </row>
        <row r="7715">
          <cell r="A7715"/>
          <cell r="B7715"/>
        </row>
        <row r="7716">
          <cell r="A7716"/>
          <cell r="B7716"/>
        </row>
        <row r="7717">
          <cell r="A7717"/>
          <cell r="B7717"/>
        </row>
        <row r="7718">
          <cell r="A7718"/>
          <cell r="B7718"/>
        </row>
        <row r="7719">
          <cell r="A7719"/>
          <cell r="B7719"/>
        </row>
        <row r="7720">
          <cell r="A7720"/>
          <cell r="B7720"/>
        </row>
        <row r="7721">
          <cell r="A7721"/>
          <cell r="B7721"/>
        </row>
        <row r="7722">
          <cell r="A7722"/>
          <cell r="B7722"/>
        </row>
        <row r="7723">
          <cell r="A7723"/>
          <cell r="B7723"/>
        </row>
        <row r="7724">
          <cell r="A7724"/>
          <cell r="B7724"/>
        </row>
        <row r="7725">
          <cell r="A7725"/>
          <cell r="B7725"/>
        </row>
        <row r="7726">
          <cell r="A7726"/>
          <cell r="B7726"/>
        </row>
        <row r="7727">
          <cell r="A7727"/>
          <cell r="B7727"/>
        </row>
        <row r="7728">
          <cell r="A7728"/>
          <cell r="B7728"/>
        </row>
        <row r="7729">
          <cell r="A7729"/>
          <cell r="B7729"/>
        </row>
        <row r="7730">
          <cell r="A7730"/>
          <cell r="B7730"/>
        </row>
        <row r="7731">
          <cell r="A7731"/>
          <cell r="B7731"/>
        </row>
        <row r="7732">
          <cell r="A7732"/>
          <cell r="B7732"/>
        </row>
        <row r="7733">
          <cell r="A7733"/>
          <cell r="B7733"/>
        </row>
        <row r="7734">
          <cell r="A7734"/>
          <cell r="B7734"/>
        </row>
        <row r="7735">
          <cell r="A7735"/>
          <cell r="B7735"/>
        </row>
        <row r="7736">
          <cell r="A7736"/>
          <cell r="B7736"/>
        </row>
        <row r="7737">
          <cell r="A7737"/>
          <cell r="B7737"/>
        </row>
        <row r="7738">
          <cell r="A7738"/>
          <cell r="B7738"/>
        </row>
        <row r="7739">
          <cell r="A7739"/>
          <cell r="B7739"/>
        </row>
        <row r="7740">
          <cell r="A7740"/>
          <cell r="B7740"/>
        </row>
        <row r="7741">
          <cell r="A7741"/>
          <cell r="B7741"/>
        </row>
        <row r="7742">
          <cell r="A7742"/>
          <cell r="B7742"/>
        </row>
        <row r="7743">
          <cell r="A7743"/>
          <cell r="B7743"/>
        </row>
        <row r="7744">
          <cell r="A7744"/>
          <cell r="B7744"/>
        </row>
        <row r="7745">
          <cell r="A7745"/>
          <cell r="B7745"/>
        </row>
        <row r="7746">
          <cell r="A7746"/>
          <cell r="B7746"/>
        </row>
        <row r="7747">
          <cell r="A7747"/>
          <cell r="B7747"/>
        </row>
        <row r="7748">
          <cell r="A7748"/>
          <cell r="B7748"/>
        </row>
        <row r="7749">
          <cell r="A7749"/>
          <cell r="B7749"/>
        </row>
        <row r="7750">
          <cell r="A7750"/>
          <cell r="B7750"/>
        </row>
        <row r="7751">
          <cell r="A7751"/>
          <cell r="B7751"/>
        </row>
        <row r="7752">
          <cell r="A7752"/>
          <cell r="B7752"/>
        </row>
        <row r="7753">
          <cell r="A7753"/>
          <cell r="B7753"/>
        </row>
        <row r="7754">
          <cell r="A7754"/>
          <cell r="B7754"/>
        </row>
        <row r="7755">
          <cell r="A7755"/>
          <cell r="B7755"/>
        </row>
        <row r="7756">
          <cell r="A7756"/>
          <cell r="B7756"/>
        </row>
        <row r="7757">
          <cell r="A7757"/>
          <cell r="B7757"/>
        </row>
        <row r="7758">
          <cell r="A7758"/>
          <cell r="B7758"/>
        </row>
        <row r="7759">
          <cell r="A7759"/>
          <cell r="B7759"/>
        </row>
        <row r="7760">
          <cell r="A7760"/>
          <cell r="B7760"/>
        </row>
        <row r="7761">
          <cell r="A7761"/>
          <cell r="B7761"/>
        </row>
        <row r="7762">
          <cell r="A7762"/>
          <cell r="B7762"/>
        </row>
        <row r="7763">
          <cell r="A7763"/>
          <cell r="B7763"/>
        </row>
        <row r="7764">
          <cell r="A7764"/>
          <cell r="B7764"/>
        </row>
        <row r="7765">
          <cell r="A7765"/>
          <cell r="B7765"/>
        </row>
        <row r="7766">
          <cell r="A7766"/>
          <cell r="B7766"/>
        </row>
        <row r="7767">
          <cell r="A7767"/>
          <cell r="B7767"/>
        </row>
        <row r="7768">
          <cell r="A7768"/>
          <cell r="B7768"/>
        </row>
        <row r="7769">
          <cell r="A7769"/>
          <cell r="B7769"/>
        </row>
        <row r="7770">
          <cell r="A7770"/>
          <cell r="B7770"/>
        </row>
        <row r="7771">
          <cell r="A7771"/>
          <cell r="B7771"/>
        </row>
        <row r="7772">
          <cell r="A7772"/>
          <cell r="B7772"/>
        </row>
        <row r="7773">
          <cell r="A7773"/>
          <cell r="B7773"/>
        </row>
        <row r="7774">
          <cell r="A7774"/>
          <cell r="B7774"/>
        </row>
        <row r="7775">
          <cell r="A7775"/>
          <cell r="B7775"/>
        </row>
        <row r="7776">
          <cell r="A7776"/>
          <cell r="B7776"/>
        </row>
        <row r="7777">
          <cell r="A7777"/>
          <cell r="B7777"/>
        </row>
        <row r="7778">
          <cell r="A7778"/>
          <cell r="B7778"/>
        </row>
        <row r="7779">
          <cell r="A7779"/>
          <cell r="B7779"/>
        </row>
        <row r="7780">
          <cell r="A7780"/>
          <cell r="B7780"/>
        </row>
        <row r="7781">
          <cell r="A7781"/>
          <cell r="B7781"/>
        </row>
        <row r="7782">
          <cell r="A7782"/>
          <cell r="B7782"/>
        </row>
        <row r="7783">
          <cell r="A7783"/>
          <cell r="B7783"/>
        </row>
        <row r="7784">
          <cell r="A7784"/>
          <cell r="B7784"/>
        </row>
        <row r="7785">
          <cell r="A7785"/>
          <cell r="B7785"/>
        </row>
        <row r="7786">
          <cell r="A7786"/>
          <cell r="B7786"/>
        </row>
        <row r="7787">
          <cell r="A7787"/>
          <cell r="B7787"/>
        </row>
        <row r="7788">
          <cell r="A7788"/>
          <cell r="B7788"/>
        </row>
        <row r="7789">
          <cell r="A7789"/>
          <cell r="B7789"/>
        </row>
        <row r="7790">
          <cell r="A7790"/>
          <cell r="B7790"/>
        </row>
        <row r="7791">
          <cell r="A7791"/>
          <cell r="B7791"/>
        </row>
        <row r="7792">
          <cell r="A7792"/>
          <cell r="B7792"/>
        </row>
        <row r="7793">
          <cell r="A7793"/>
          <cell r="B7793"/>
        </row>
        <row r="7794">
          <cell r="A7794"/>
          <cell r="B7794"/>
        </row>
        <row r="7795">
          <cell r="A7795"/>
          <cell r="B7795"/>
        </row>
        <row r="7796">
          <cell r="A7796"/>
          <cell r="B7796"/>
        </row>
        <row r="7797">
          <cell r="A7797"/>
          <cell r="B7797"/>
        </row>
        <row r="7798">
          <cell r="A7798"/>
          <cell r="B7798"/>
        </row>
        <row r="7799">
          <cell r="A7799"/>
          <cell r="B7799"/>
        </row>
        <row r="7800">
          <cell r="A7800"/>
          <cell r="B7800"/>
        </row>
        <row r="7801">
          <cell r="A7801"/>
          <cell r="B7801"/>
        </row>
        <row r="7802">
          <cell r="A7802"/>
          <cell r="B7802"/>
        </row>
        <row r="7803">
          <cell r="A7803"/>
          <cell r="B7803"/>
        </row>
        <row r="7804">
          <cell r="A7804"/>
          <cell r="B7804"/>
        </row>
        <row r="7805">
          <cell r="A7805"/>
          <cell r="B7805"/>
        </row>
        <row r="7806">
          <cell r="A7806"/>
          <cell r="B7806"/>
        </row>
        <row r="7807">
          <cell r="A7807"/>
          <cell r="B7807"/>
        </row>
        <row r="7808">
          <cell r="A7808"/>
          <cell r="B7808"/>
        </row>
        <row r="7809">
          <cell r="A7809"/>
          <cell r="B7809"/>
        </row>
        <row r="7810">
          <cell r="A7810"/>
          <cell r="B7810"/>
        </row>
        <row r="7811">
          <cell r="A7811"/>
          <cell r="B7811"/>
        </row>
        <row r="7812">
          <cell r="A7812"/>
          <cell r="B7812"/>
        </row>
        <row r="7813">
          <cell r="A7813"/>
          <cell r="B7813"/>
        </row>
        <row r="7814">
          <cell r="A7814"/>
          <cell r="B7814"/>
        </row>
        <row r="7815">
          <cell r="A7815"/>
          <cell r="B7815"/>
        </row>
        <row r="7816">
          <cell r="A7816"/>
          <cell r="B7816"/>
        </row>
        <row r="7817">
          <cell r="A7817"/>
          <cell r="B7817"/>
        </row>
        <row r="7818">
          <cell r="A7818"/>
          <cell r="B7818"/>
        </row>
        <row r="7819">
          <cell r="A7819"/>
          <cell r="B7819"/>
        </row>
        <row r="7820">
          <cell r="A7820"/>
          <cell r="B7820"/>
        </row>
        <row r="7821">
          <cell r="A7821"/>
          <cell r="B7821"/>
        </row>
        <row r="7822">
          <cell r="A7822"/>
          <cell r="B7822"/>
        </row>
        <row r="7823">
          <cell r="A7823"/>
          <cell r="B7823"/>
        </row>
        <row r="7824">
          <cell r="A7824"/>
          <cell r="B7824"/>
        </row>
        <row r="7825">
          <cell r="A7825"/>
          <cell r="B7825"/>
        </row>
        <row r="7826">
          <cell r="A7826"/>
          <cell r="B7826"/>
        </row>
        <row r="7827">
          <cell r="A7827"/>
          <cell r="B7827"/>
        </row>
        <row r="7828">
          <cell r="A7828"/>
          <cell r="B7828"/>
        </row>
        <row r="7829">
          <cell r="A7829"/>
          <cell r="B7829"/>
        </row>
        <row r="7830">
          <cell r="A7830"/>
          <cell r="B7830"/>
        </row>
        <row r="7831">
          <cell r="A7831"/>
          <cell r="B7831"/>
        </row>
        <row r="7832">
          <cell r="A7832"/>
          <cell r="B7832"/>
        </row>
        <row r="7833">
          <cell r="A7833"/>
          <cell r="B7833"/>
        </row>
        <row r="7834">
          <cell r="A7834"/>
          <cell r="B7834"/>
        </row>
        <row r="7835">
          <cell r="A7835"/>
          <cell r="B7835"/>
        </row>
        <row r="7836">
          <cell r="A7836"/>
          <cell r="B7836"/>
        </row>
        <row r="7837">
          <cell r="A7837"/>
          <cell r="B7837"/>
        </row>
        <row r="7838">
          <cell r="A7838"/>
          <cell r="B7838"/>
        </row>
        <row r="7839">
          <cell r="A7839"/>
          <cell r="B7839"/>
        </row>
        <row r="7840">
          <cell r="A7840"/>
          <cell r="B7840"/>
        </row>
        <row r="7841">
          <cell r="A7841"/>
          <cell r="B7841"/>
        </row>
        <row r="7842">
          <cell r="A7842"/>
          <cell r="B7842"/>
        </row>
        <row r="7843">
          <cell r="A7843"/>
          <cell r="B7843"/>
        </row>
        <row r="7844">
          <cell r="A7844"/>
          <cell r="B7844"/>
        </row>
        <row r="7845">
          <cell r="A7845"/>
          <cell r="B7845"/>
        </row>
        <row r="7846">
          <cell r="A7846"/>
          <cell r="B7846"/>
        </row>
        <row r="7847">
          <cell r="A7847"/>
          <cell r="B7847"/>
        </row>
        <row r="7848">
          <cell r="A7848"/>
          <cell r="B7848"/>
        </row>
        <row r="7849">
          <cell r="A7849"/>
          <cell r="B7849"/>
        </row>
        <row r="7850">
          <cell r="A7850"/>
          <cell r="B7850"/>
        </row>
        <row r="7851">
          <cell r="A7851"/>
          <cell r="B7851"/>
        </row>
        <row r="7852">
          <cell r="A7852"/>
          <cell r="B7852"/>
        </row>
        <row r="7853">
          <cell r="A7853"/>
          <cell r="B7853"/>
        </row>
        <row r="7854">
          <cell r="A7854"/>
          <cell r="B7854"/>
        </row>
        <row r="7855">
          <cell r="A7855"/>
          <cell r="B7855"/>
        </row>
        <row r="7856">
          <cell r="A7856"/>
          <cell r="B7856"/>
        </row>
        <row r="7857">
          <cell r="A7857"/>
          <cell r="B7857"/>
        </row>
        <row r="7858">
          <cell r="A7858"/>
          <cell r="B7858"/>
        </row>
        <row r="7859">
          <cell r="A7859"/>
          <cell r="B7859"/>
        </row>
        <row r="7860">
          <cell r="A7860"/>
          <cell r="B7860"/>
        </row>
        <row r="7861">
          <cell r="A7861"/>
          <cell r="B7861"/>
        </row>
        <row r="7862">
          <cell r="A7862"/>
          <cell r="B7862"/>
        </row>
        <row r="7863">
          <cell r="A7863"/>
          <cell r="B7863"/>
        </row>
        <row r="7864">
          <cell r="A7864"/>
          <cell r="B7864"/>
        </row>
        <row r="7865">
          <cell r="A7865"/>
          <cell r="B7865"/>
        </row>
        <row r="7866">
          <cell r="A7866"/>
          <cell r="B7866"/>
        </row>
        <row r="7867">
          <cell r="A7867"/>
          <cell r="B7867"/>
        </row>
        <row r="7868">
          <cell r="A7868"/>
          <cell r="B7868"/>
        </row>
        <row r="7869">
          <cell r="A7869"/>
          <cell r="B7869"/>
        </row>
        <row r="7870">
          <cell r="A7870"/>
          <cell r="B7870"/>
        </row>
        <row r="7871">
          <cell r="A7871"/>
          <cell r="B7871"/>
        </row>
        <row r="7872">
          <cell r="A7872"/>
          <cell r="B7872"/>
        </row>
        <row r="7873">
          <cell r="A7873"/>
          <cell r="B7873"/>
        </row>
        <row r="7874">
          <cell r="A7874"/>
          <cell r="B7874"/>
        </row>
        <row r="7875">
          <cell r="A7875"/>
          <cell r="B7875"/>
        </row>
        <row r="7876">
          <cell r="A7876"/>
          <cell r="B7876"/>
        </row>
        <row r="7877">
          <cell r="A7877"/>
          <cell r="B7877"/>
        </row>
        <row r="7878">
          <cell r="A7878"/>
          <cell r="B7878"/>
        </row>
        <row r="7879">
          <cell r="A7879"/>
          <cell r="B7879"/>
        </row>
        <row r="7880">
          <cell r="A7880"/>
          <cell r="B7880"/>
        </row>
        <row r="7881">
          <cell r="A7881"/>
          <cell r="B7881"/>
        </row>
        <row r="7882">
          <cell r="A7882"/>
          <cell r="B7882"/>
        </row>
        <row r="7883">
          <cell r="A7883"/>
          <cell r="B7883"/>
        </row>
        <row r="7884">
          <cell r="A7884"/>
          <cell r="B7884"/>
        </row>
        <row r="7885">
          <cell r="A7885"/>
          <cell r="B7885"/>
        </row>
        <row r="7886">
          <cell r="A7886"/>
          <cell r="B7886"/>
        </row>
        <row r="7887">
          <cell r="A7887"/>
          <cell r="B7887"/>
        </row>
        <row r="7888">
          <cell r="A7888"/>
          <cell r="B7888"/>
        </row>
        <row r="7889">
          <cell r="A7889"/>
          <cell r="B7889"/>
        </row>
        <row r="7890">
          <cell r="A7890"/>
          <cell r="B7890"/>
        </row>
        <row r="7891">
          <cell r="A7891"/>
          <cell r="B7891"/>
        </row>
        <row r="7892">
          <cell r="A7892"/>
          <cell r="B7892"/>
        </row>
        <row r="7893">
          <cell r="A7893"/>
          <cell r="B7893"/>
        </row>
        <row r="7894">
          <cell r="A7894"/>
          <cell r="B7894"/>
        </row>
        <row r="7895">
          <cell r="A7895"/>
          <cell r="B7895"/>
        </row>
        <row r="7896">
          <cell r="A7896"/>
          <cell r="B7896"/>
        </row>
        <row r="7897">
          <cell r="A7897"/>
          <cell r="B7897"/>
        </row>
        <row r="7898">
          <cell r="A7898"/>
          <cell r="B7898"/>
        </row>
        <row r="7899">
          <cell r="A7899"/>
          <cell r="B7899"/>
        </row>
        <row r="7900">
          <cell r="A7900"/>
          <cell r="B7900"/>
        </row>
        <row r="7901">
          <cell r="A7901"/>
          <cell r="B7901"/>
        </row>
        <row r="7902">
          <cell r="A7902"/>
          <cell r="B7902"/>
        </row>
        <row r="7903">
          <cell r="A7903"/>
          <cell r="B7903"/>
        </row>
        <row r="7904">
          <cell r="A7904"/>
          <cell r="B7904"/>
        </row>
        <row r="7905">
          <cell r="A7905"/>
          <cell r="B7905"/>
        </row>
        <row r="7906">
          <cell r="A7906"/>
          <cell r="B7906"/>
        </row>
        <row r="7907">
          <cell r="A7907"/>
          <cell r="B7907"/>
        </row>
        <row r="7908">
          <cell r="A7908"/>
          <cell r="B7908"/>
        </row>
        <row r="7909">
          <cell r="A7909"/>
          <cell r="B7909"/>
        </row>
        <row r="7910">
          <cell r="A7910"/>
          <cell r="B7910"/>
        </row>
        <row r="7911">
          <cell r="A7911"/>
          <cell r="B7911"/>
        </row>
        <row r="7912">
          <cell r="A7912"/>
          <cell r="B7912"/>
        </row>
        <row r="7913">
          <cell r="A7913"/>
          <cell r="B7913"/>
        </row>
        <row r="7914">
          <cell r="A7914"/>
          <cell r="B7914"/>
        </row>
        <row r="7915">
          <cell r="A7915"/>
          <cell r="B7915"/>
        </row>
        <row r="7916">
          <cell r="A7916"/>
          <cell r="B7916"/>
        </row>
        <row r="7917">
          <cell r="A7917"/>
          <cell r="B7917"/>
        </row>
        <row r="7918">
          <cell r="A7918"/>
          <cell r="B7918"/>
        </row>
        <row r="7919">
          <cell r="A7919"/>
          <cell r="B7919"/>
        </row>
        <row r="7920">
          <cell r="A7920"/>
          <cell r="B7920"/>
        </row>
        <row r="7921">
          <cell r="A7921"/>
          <cell r="B7921"/>
        </row>
        <row r="7922">
          <cell r="A7922"/>
          <cell r="B7922"/>
        </row>
        <row r="7923">
          <cell r="A7923"/>
          <cell r="B7923"/>
        </row>
        <row r="7924">
          <cell r="A7924"/>
          <cell r="B7924"/>
        </row>
        <row r="7925">
          <cell r="A7925"/>
          <cell r="B7925"/>
        </row>
        <row r="7926">
          <cell r="A7926"/>
          <cell r="B7926"/>
        </row>
        <row r="7927">
          <cell r="A7927"/>
          <cell r="B7927"/>
        </row>
        <row r="7928">
          <cell r="A7928"/>
          <cell r="B7928"/>
        </row>
        <row r="7929">
          <cell r="A7929"/>
          <cell r="B7929"/>
        </row>
        <row r="7930">
          <cell r="A7930"/>
          <cell r="B7930"/>
        </row>
        <row r="7931">
          <cell r="A7931"/>
          <cell r="B7931"/>
        </row>
        <row r="7932">
          <cell r="A7932"/>
          <cell r="B7932"/>
        </row>
        <row r="7933">
          <cell r="A7933"/>
          <cell r="B7933"/>
        </row>
        <row r="7934">
          <cell r="A7934"/>
          <cell r="B7934"/>
        </row>
        <row r="7935">
          <cell r="A7935"/>
          <cell r="B7935"/>
        </row>
        <row r="7936">
          <cell r="A7936"/>
          <cell r="B7936"/>
        </row>
        <row r="7937">
          <cell r="A7937"/>
          <cell r="B7937"/>
        </row>
        <row r="7938">
          <cell r="A7938"/>
          <cell r="B7938"/>
        </row>
        <row r="7939">
          <cell r="A7939"/>
          <cell r="B7939"/>
        </row>
        <row r="7940">
          <cell r="A7940"/>
          <cell r="B7940"/>
        </row>
        <row r="7941">
          <cell r="A7941"/>
          <cell r="B7941"/>
        </row>
        <row r="7942">
          <cell r="A7942"/>
          <cell r="B7942"/>
        </row>
        <row r="7943">
          <cell r="A7943"/>
          <cell r="B7943"/>
        </row>
        <row r="7944">
          <cell r="A7944"/>
          <cell r="B7944"/>
        </row>
        <row r="7945">
          <cell r="A7945"/>
          <cell r="B7945"/>
        </row>
        <row r="7946">
          <cell r="A7946"/>
          <cell r="B7946"/>
        </row>
        <row r="7947">
          <cell r="A7947"/>
          <cell r="B7947"/>
        </row>
        <row r="7948">
          <cell r="A7948"/>
          <cell r="B7948"/>
        </row>
        <row r="7949">
          <cell r="A7949"/>
          <cell r="B7949"/>
        </row>
        <row r="7950">
          <cell r="A7950"/>
          <cell r="B7950"/>
        </row>
        <row r="7951">
          <cell r="A7951"/>
          <cell r="B7951"/>
        </row>
        <row r="7952">
          <cell r="A7952"/>
          <cell r="B7952"/>
        </row>
        <row r="7953">
          <cell r="A7953"/>
          <cell r="B7953"/>
        </row>
        <row r="7954">
          <cell r="A7954"/>
          <cell r="B7954"/>
        </row>
        <row r="7955">
          <cell r="A7955"/>
          <cell r="B7955"/>
        </row>
        <row r="7956">
          <cell r="A7956"/>
          <cell r="B7956"/>
        </row>
        <row r="7957">
          <cell r="A7957"/>
          <cell r="B7957"/>
        </row>
        <row r="7958">
          <cell r="A7958"/>
          <cell r="B7958"/>
        </row>
        <row r="7959">
          <cell r="A7959"/>
          <cell r="B7959"/>
        </row>
        <row r="7960">
          <cell r="A7960"/>
          <cell r="B7960"/>
        </row>
        <row r="7961">
          <cell r="A7961"/>
          <cell r="B7961"/>
        </row>
        <row r="7962">
          <cell r="A7962"/>
          <cell r="B7962"/>
        </row>
        <row r="7963">
          <cell r="A7963"/>
          <cell r="B7963"/>
        </row>
        <row r="7964">
          <cell r="A7964"/>
          <cell r="B7964"/>
        </row>
        <row r="7965">
          <cell r="A7965"/>
          <cell r="B7965"/>
        </row>
        <row r="7966">
          <cell r="A7966"/>
          <cell r="B7966"/>
        </row>
        <row r="7967">
          <cell r="A7967"/>
          <cell r="B7967"/>
        </row>
        <row r="7968">
          <cell r="A7968"/>
          <cell r="B7968"/>
        </row>
        <row r="7969">
          <cell r="A7969"/>
          <cell r="B7969"/>
        </row>
        <row r="7970">
          <cell r="A7970"/>
          <cell r="B7970"/>
        </row>
        <row r="7971">
          <cell r="A7971"/>
          <cell r="B7971"/>
        </row>
        <row r="7972">
          <cell r="A7972"/>
          <cell r="B7972"/>
        </row>
        <row r="7973">
          <cell r="A7973"/>
          <cell r="B7973"/>
        </row>
        <row r="7974">
          <cell r="A7974"/>
          <cell r="B7974"/>
        </row>
        <row r="7975">
          <cell r="A7975"/>
          <cell r="B7975"/>
        </row>
        <row r="7976">
          <cell r="A7976"/>
          <cell r="B7976"/>
        </row>
        <row r="7977">
          <cell r="A7977"/>
          <cell r="B7977"/>
        </row>
        <row r="7978">
          <cell r="A7978"/>
          <cell r="B7978"/>
        </row>
        <row r="7979">
          <cell r="A7979"/>
          <cell r="B7979"/>
        </row>
        <row r="7980">
          <cell r="A7980"/>
          <cell r="B7980"/>
        </row>
        <row r="7981">
          <cell r="A7981"/>
          <cell r="B7981"/>
        </row>
        <row r="7982">
          <cell r="A7982"/>
          <cell r="B7982"/>
        </row>
        <row r="7983">
          <cell r="A7983"/>
          <cell r="B7983"/>
        </row>
        <row r="7984">
          <cell r="A7984"/>
          <cell r="B7984"/>
        </row>
        <row r="7985">
          <cell r="A7985"/>
          <cell r="B7985"/>
        </row>
        <row r="7986">
          <cell r="A7986"/>
          <cell r="B7986"/>
        </row>
        <row r="7987">
          <cell r="A7987"/>
          <cell r="B7987"/>
        </row>
        <row r="7988">
          <cell r="A7988"/>
          <cell r="B7988"/>
        </row>
        <row r="7989">
          <cell r="A7989"/>
          <cell r="B7989"/>
        </row>
        <row r="7990">
          <cell r="A7990"/>
          <cell r="B7990"/>
        </row>
        <row r="7991">
          <cell r="A7991"/>
          <cell r="B7991"/>
        </row>
        <row r="7992">
          <cell r="A7992"/>
          <cell r="B7992"/>
        </row>
        <row r="7993">
          <cell r="A7993"/>
          <cell r="B7993"/>
        </row>
        <row r="7994">
          <cell r="A7994"/>
          <cell r="B7994"/>
        </row>
        <row r="7995">
          <cell r="A7995"/>
          <cell r="B7995"/>
        </row>
        <row r="7996">
          <cell r="A7996"/>
          <cell r="B7996"/>
        </row>
        <row r="7997">
          <cell r="A7997"/>
          <cell r="B7997"/>
        </row>
        <row r="7998">
          <cell r="A7998"/>
          <cell r="B7998"/>
        </row>
        <row r="7999">
          <cell r="A7999"/>
          <cell r="B7999"/>
        </row>
        <row r="8000">
          <cell r="A8000"/>
          <cell r="B8000"/>
        </row>
        <row r="8001">
          <cell r="A8001"/>
          <cell r="B8001"/>
        </row>
        <row r="8002">
          <cell r="A8002"/>
          <cell r="B8002"/>
        </row>
        <row r="8003">
          <cell r="A8003"/>
          <cell r="B8003"/>
        </row>
        <row r="8004">
          <cell r="A8004"/>
          <cell r="B8004"/>
        </row>
        <row r="8005">
          <cell r="A8005"/>
          <cell r="B8005"/>
        </row>
        <row r="8006">
          <cell r="A8006"/>
          <cell r="B8006"/>
        </row>
        <row r="8007">
          <cell r="A8007"/>
          <cell r="B8007"/>
        </row>
        <row r="8008">
          <cell r="A8008"/>
          <cell r="B8008"/>
        </row>
        <row r="8009">
          <cell r="A8009"/>
          <cell r="B8009"/>
        </row>
        <row r="8010">
          <cell r="A8010"/>
          <cell r="B8010"/>
        </row>
        <row r="8011">
          <cell r="A8011"/>
          <cell r="B8011"/>
        </row>
        <row r="8012">
          <cell r="A8012"/>
          <cell r="B8012"/>
        </row>
        <row r="8013">
          <cell r="A8013"/>
          <cell r="B8013"/>
        </row>
        <row r="8014">
          <cell r="A8014"/>
          <cell r="B8014"/>
        </row>
        <row r="8015">
          <cell r="A8015"/>
          <cell r="B8015"/>
        </row>
        <row r="8016">
          <cell r="A8016"/>
          <cell r="B8016"/>
        </row>
        <row r="8017">
          <cell r="A8017"/>
          <cell r="B8017"/>
        </row>
        <row r="8018">
          <cell r="A8018"/>
          <cell r="B8018"/>
        </row>
        <row r="8019">
          <cell r="A8019"/>
          <cell r="B8019"/>
        </row>
        <row r="8020">
          <cell r="A8020"/>
          <cell r="B8020"/>
        </row>
        <row r="8021">
          <cell r="A8021"/>
          <cell r="B8021"/>
        </row>
        <row r="8022">
          <cell r="A8022"/>
          <cell r="B8022"/>
        </row>
        <row r="8023">
          <cell r="A8023"/>
          <cell r="B8023"/>
        </row>
        <row r="8024">
          <cell r="A8024"/>
          <cell r="B8024"/>
        </row>
        <row r="8025">
          <cell r="A8025"/>
          <cell r="B8025"/>
        </row>
        <row r="8026">
          <cell r="A8026"/>
          <cell r="B8026"/>
        </row>
        <row r="8027">
          <cell r="A8027"/>
          <cell r="B8027"/>
        </row>
        <row r="8028">
          <cell r="A8028"/>
          <cell r="B8028"/>
        </row>
        <row r="8029">
          <cell r="A8029"/>
          <cell r="B8029"/>
        </row>
        <row r="8030">
          <cell r="A8030"/>
          <cell r="B8030"/>
        </row>
        <row r="8031">
          <cell r="A8031"/>
          <cell r="B8031"/>
        </row>
        <row r="8032">
          <cell r="A8032"/>
          <cell r="B8032"/>
        </row>
        <row r="8033">
          <cell r="A8033"/>
          <cell r="B8033"/>
        </row>
        <row r="8034">
          <cell r="A8034"/>
          <cell r="B8034"/>
        </row>
        <row r="8035">
          <cell r="A8035"/>
          <cell r="B8035"/>
        </row>
        <row r="8036">
          <cell r="A8036"/>
          <cell r="B8036"/>
        </row>
        <row r="8037">
          <cell r="A8037"/>
          <cell r="B8037"/>
        </row>
        <row r="8038">
          <cell r="A8038"/>
          <cell r="B8038"/>
        </row>
        <row r="8039">
          <cell r="A8039"/>
          <cell r="B8039"/>
        </row>
        <row r="8040">
          <cell r="A8040"/>
          <cell r="B8040"/>
        </row>
        <row r="8041">
          <cell r="A8041"/>
          <cell r="B8041"/>
        </row>
        <row r="8042">
          <cell r="A8042"/>
          <cell r="B8042"/>
        </row>
        <row r="8043">
          <cell r="A8043"/>
          <cell r="B8043"/>
        </row>
        <row r="8044">
          <cell r="A8044"/>
          <cell r="B8044"/>
        </row>
        <row r="8045">
          <cell r="A8045"/>
          <cell r="B8045"/>
        </row>
        <row r="8046">
          <cell r="A8046"/>
          <cell r="B8046"/>
        </row>
        <row r="8047">
          <cell r="A8047"/>
          <cell r="B8047"/>
        </row>
        <row r="8048">
          <cell r="A8048"/>
          <cell r="B8048"/>
        </row>
        <row r="8049">
          <cell r="A8049"/>
          <cell r="B8049"/>
        </row>
        <row r="8050">
          <cell r="A8050"/>
          <cell r="B8050"/>
        </row>
        <row r="8051">
          <cell r="A8051"/>
          <cell r="B8051"/>
        </row>
        <row r="8052">
          <cell r="A8052"/>
          <cell r="B8052"/>
        </row>
        <row r="8053">
          <cell r="A8053"/>
          <cell r="B8053"/>
        </row>
        <row r="8054">
          <cell r="A8054"/>
          <cell r="B8054"/>
        </row>
        <row r="8055">
          <cell r="A8055"/>
          <cell r="B8055"/>
        </row>
        <row r="8056">
          <cell r="A8056"/>
          <cell r="B8056"/>
        </row>
        <row r="8057">
          <cell r="A8057"/>
          <cell r="B8057"/>
        </row>
        <row r="8058">
          <cell r="A8058"/>
          <cell r="B8058"/>
        </row>
        <row r="8059">
          <cell r="A8059"/>
          <cell r="B8059"/>
        </row>
        <row r="8060">
          <cell r="A8060"/>
          <cell r="B8060"/>
        </row>
        <row r="8061">
          <cell r="A8061"/>
          <cell r="B8061"/>
        </row>
        <row r="8062">
          <cell r="A8062"/>
          <cell r="B8062"/>
        </row>
        <row r="8063">
          <cell r="A8063"/>
          <cell r="B8063"/>
        </row>
        <row r="8064">
          <cell r="A8064"/>
          <cell r="B8064"/>
        </row>
        <row r="8065">
          <cell r="A8065"/>
          <cell r="B8065"/>
        </row>
        <row r="8066">
          <cell r="A8066"/>
          <cell r="B8066"/>
        </row>
        <row r="8067">
          <cell r="A8067"/>
          <cell r="B8067"/>
        </row>
        <row r="8068">
          <cell r="A8068"/>
          <cell r="B8068"/>
        </row>
        <row r="8069">
          <cell r="A8069"/>
          <cell r="B8069"/>
        </row>
        <row r="8070">
          <cell r="A8070"/>
          <cell r="B8070"/>
        </row>
        <row r="8071">
          <cell r="A8071"/>
          <cell r="B8071"/>
        </row>
        <row r="8072">
          <cell r="A8072"/>
          <cell r="B8072"/>
        </row>
        <row r="8073">
          <cell r="A8073"/>
          <cell r="B8073"/>
        </row>
        <row r="8074">
          <cell r="A8074"/>
          <cell r="B8074"/>
        </row>
        <row r="8075">
          <cell r="A8075"/>
          <cell r="B8075"/>
        </row>
        <row r="8076">
          <cell r="A8076"/>
          <cell r="B8076"/>
        </row>
        <row r="8077">
          <cell r="A8077"/>
          <cell r="B8077"/>
        </row>
        <row r="8078">
          <cell r="A8078"/>
          <cell r="B8078"/>
        </row>
        <row r="8079">
          <cell r="A8079"/>
          <cell r="B8079"/>
        </row>
        <row r="8080">
          <cell r="A8080"/>
          <cell r="B8080"/>
        </row>
        <row r="8081">
          <cell r="A8081"/>
          <cell r="B8081"/>
        </row>
        <row r="8082">
          <cell r="A8082"/>
          <cell r="B8082"/>
        </row>
        <row r="8083">
          <cell r="A8083"/>
          <cell r="B8083"/>
        </row>
        <row r="8084">
          <cell r="A8084"/>
          <cell r="B8084"/>
        </row>
        <row r="8085">
          <cell r="A8085"/>
          <cell r="B8085"/>
        </row>
        <row r="8086">
          <cell r="A8086"/>
          <cell r="B8086"/>
        </row>
        <row r="8087">
          <cell r="A8087"/>
          <cell r="B8087"/>
        </row>
        <row r="8088">
          <cell r="A8088"/>
          <cell r="B8088"/>
        </row>
        <row r="8089">
          <cell r="A8089"/>
          <cell r="B8089"/>
        </row>
        <row r="8090">
          <cell r="A8090"/>
          <cell r="B8090"/>
        </row>
        <row r="8091">
          <cell r="A8091"/>
          <cell r="B8091"/>
        </row>
        <row r="8092">
          <cell r="A8092"/>
          <cell r="B8092"/>
        </row>
        <row r="8093">
          <cell r="A8093"/>
          <cell r="B8093"/>
        </row>
        <row r="8094">
          <cell r="A8094"/>
          <cell r="B8094"/>
        </row>
        <row r="8095">
          <cell r="A8095"/>
          <cell r="B8095"/>
        </row>
        <row r="8096">
          <cell r="A8096"/>
          <cell r="B8096"/>
        </row>
        <row r="8097">
          <cell r="A8097"/>
          <cell r="B8097"/>
        </row>
        <row r="8098">
          <cell r="A8098"/>
          <cell r="B8098"/>
        </row>
        <row r="8099">
          <cell r="A8099"/>
          <cell r="B8099"/>
        </row>
        <row r="8100">
          <cell r="A8100"/>
          <cell r="B8100"/>
        </row>
        <row r="8101">
          <cell r="A8101"/>
          <cell r="B8101"/>
        </row>
        <row r="8102">
          <cell r="A8102"/>
          <cell r="B8102"/>
        </row>
        <row r="8103">
          <cell r="A8103"/>
          <cell r="B8103"/>
        </row>
        <row r="8104">
          <cell r="A8104"/>
          <cell r="B8104"/>
        </row>
        <row r="8105">
          <cell r="A8105"/>
          <cell r="B8105"/>
        </row>
        <row r="8106">
          <cell r="A8106"/>
          <cell r="B8106"/>
        </row>
        <row r="8107">
          <cell r="A8107"/>
          <cell r="B8107"/>
        </row>
        <row r="8108">
          <cell r="A8108"/>
          <cell r="B8108"/>
        </row>
        <row r="8109">
          <cell r="A8109"/>
          <cell r="B8109"/>
        </row>
        <row r="8110">
          <cell r="A8110"/>
          <cell r="B8110"/>
        </row>
        <row r="8111">
          <cell r="A8111"/>
          <cell r="B8111"/>
        </row>
        <row r="8112">
          <cell r="A8112"/>
          <cell r="B8112"/>
        </row>
        <row r="8113">
          <cell r="A8113"/>
          <cell r="B8113"/>
        </row>
        <row r="8114">
          <cell r="A8114"/>
          <cell r="B8114"/>
        </row>
        <row r="8115">
          <cell r="A8115"/>
          <cell r="B8115"/>
        </row>
        <row r="8116">
          <cell r="A8116"/>
          <cell r="B8116"/>
        </row>
        <row r="8117">
          <cell r="A8117"/>
          <cell r="B8117"/>
        </row>
        <row r="8118">
          <cell r="A8118"/>
          <cell r="B8118"/>
        </row>
        <row r="8119">
          <cell r="A8119"/>
          <cell r="B8119"/>
        </row>
        <row r="8120">
          <cell r="A8120"/>
          <cell r="B8120"/>
        </row>
        <row r="8121">
          <cell r="A8121"/>
          <cell r="B8121"/>
        </row>
        <row r="8122">
          <cell r="A8122"/>
          <cell r="B8122"/>
        </row>
        <row r="8123">
          <cell r="A8123"/>
          <cell r="B8123"/>
        </row>
        <row r="8124">
          <cell r="A8124"/>
          <cell r="B8124"/>
        </row>
        <row r="8125">
          <cell r="A8125"/>
          <cell r="B8125"/>
        </row>
        <row r="8126">
          <cell r="A8126"/>
          <cell r="B8126"/>
        </row>
        <row r="8127">
          <cell r="A8127"/>
          <cell r="B8127"/>
        </row>
        <row r="8128">
          <cell r="A8128"/>
          <cell r="B8128"/>
        </row>
        <row r="8129">
          <cell r="A8129"/>
          <cell r="B8129"/>
        </row>
        <row r="8130">
          <cell r="A8130"/>
          <cell r="B8130"/>
        </row>
        <row r="8131">
          <cell r="A8131"/>
          <cell r="B8131"/>
        </row>
        <row r="8132">
          <cell r="A8132"/>
          <cell r="B8132"/>
        </row>
        <row r="8133">
          <cell r="A8133"/>
          <cell r="B8133"/>
        </row>
        <row r="8134">
          <cell r="A8134"/>
          <cell r="B8134"/>
        </row>
        <row r="8135">
          <cell r="A8135"/>
          <cell r="B8135"/>
        </row>
        <row r="8136">
          <cell r="A8136"/>
          <cell r="B8136"/>
        </row>
        <row r="8137">
          <cell r="A8137"/>
          <cell r="B8137"/>
        </row>
        <row r="8138">
          <cell r="A8138"/>
          <cell r="B8138"/>
        </row>
        <row r="8139">
          <cell r="A8139"/>
          <cell r="B8139"/>
        </row>
        <row r="8140">
          <cell r="A8140"/>
          <cell r="B8140"/>
        </row>
        <row r="8141">
          <cell r="A8141"/>
          <cell r="B8141"/>
        </row>
        <row r="8142">
          <cell r="A8142"/>
          <cell r="B8142"/>
        </row>
        <row r="8143">
          <cell r="A8143"/>
          <cell r="B8143"/>
        </row>
        <row r="8144">
          <cell r="A8144"/>
          <cell r="B8144"/>
        </row>
        <row r="8145">
          <cell r="A8145"/>
          <cell r="B8145"/>
        </row>
        <row r="8146">
          <cell r="A8146"/>
          <cell r="B8146"/>
        </row>
        <row r="8147">
          <cell r="A8147"/>
          <cell r="B8147"/>
        </row>
        <row r="8148">
          <cell r="A8148"/>
          <cell r="B8148"/>
        </row>
        <row r="8149">
          <cell r="A8149"/>
          <cell r="B8149"/>
        </row>
        <row r="8150">
          <cell r="A8150"/>
          <cell r="B8150"/>
        </row>
        <row r="8151">
          <cell r="A8151"/>
          <cell r="B8151"/>
        </row>
        <row r="8152">
          <cell r="A8152"/>
          <cell r="B8152"/>
        </row>
        <row r="8153">
          <cell r="A8153"/>
          <cell r="B8153"/>
        </row>
        <row r="8154">
          <cell r="A8154"/>
          <cell r="B8154"/>
        </row>
        <row r="8155">
          <cell r="A8155"/>
          <cell r="B8155"/>
        </row>
        <row r="8156">
          <cell r="A8156"/>
          <cell r="B8156"/>
        </row>
        <row r="8157">
          <cell r="A8157"/>
          <cell r="B8157"/>
        </row>
        <row r="8158">
          <cell r="A8158"/>
          <cell r="B8158"/>
        </row>
        <row r="8159">
          <cell r="A8159"/>
          <cell r="B8159"/>
        </row>
        <row r="8160">
          <cell r="A8160"/>
          <cell r="B8160"/>
        </row>
        <row r="8161">
          <cell r="A8161"/>
          <cell r="B8161"/>
        </row>
        <row r="8162">
          <cell r="A8162"/>
          <cell r="B8162"/>
        </row>
        <row r="8163">
          <cell r="A8163"/>
          <cell r="B8163"/>
        </row>
        <row r="8164">
          <cell r="A8164"/>
          <cell r="B8164"/>
        </row>
        <row r="8165">
          <cell r="A8165"/>
          <cell r="B8165"/>
        </row>
        <row r="8166">
          <cell r="A8166"/>
          <cell r="B8166"/>
        </row>
        <row r="8167">
          <cell r="A8167"/>
          <cell r="B8167"/>
        </row>
        <row r="8168">
          <cell r="A8168"/>
          <cell r="B8168"/>
        </row>
        <row r="8169">
          <cell r="A8169"/>
          <cell r="B8169"/>
        </row>
        <row r="8170">
          <cell r="A8170"/>
          <cell r="B8170"/>
        </row>
        <row r="8171">
          <cell r="A8171"/>
          <cell r="B8171"/>
        </row>
        <row r="8172">
          <cell r="A8172"/>
          <cell r="B8172"/>
        </row>
        <row r="8173">
          <cell r="A8173"/>
          <cell r="B8173"/>
        </row>
        <row r="8174">
          <cell r="A8174"/>
          <cell r="B8174"/>
        </row>
        <row r="8175">
          <cell r="A8175"/>
          <cell r="B8175"/>
        </row>
        <row r="8176">
          <cell r="A8176"/>
          <cell r="B8176"/>
        </row>
        <row r="8177">
          <cell r="A8177"/>
          <cell r="B8177"/>
        </row>
        <row r="8178">
          <cell r="A8178"/>
          <cell r="B8178"/>
        </row>
        <row r="8179">
          <cell r="A8179"/>
          <cell r="B8179"/>
        </row>
        <row r="8180">
          <cell r="A8180"/>
          <cell r="B8180"/>
        </row>
        <row r="8181">
          <cell r="A8181"/>
          <cell r="B8181"/>
        </row>
        <row r="8182">
          <cell r="A8182"/>
          <cell r="B8182"/>
        </row>
        <row r="8183">
          <cell r="A8183"/>
          <cell r="B8183"/>
        </row>
        <row r="8184">
          <cell r="A8184"/>
          <cell r="B8184"/>
        </row>
        <row r="8185">
          <cell r="A8185"/>
          <cell r="B8185"/>
        </row>
        <row r="8186">
          <cell r="A8186"/>
          <cell r="B8186"/>
        </row>
        <row r="8187">
          <cell r="A8187"/>
          <cell r="B8187"/>
        </row>
        <row r="8188">
          <cell r="A8188"/>
          <cell r="B8188"/>
        </row>
        <row r="8189">
          <cell r="A8189"/>
          <cell r="B8189"/>
        </row>
        <row r="8190">
          <cell r="A8190"/>
          <cell r="B8190"/>
        </row>
        <row r="8191">
          <cell r="A8191"/>
          <cell r="B8191"/>
        </row>
        <row r="8192">
          <cell r="A8192"/>
          <cell r="B8192"/>
        </row>
        <row r="8193">
          <cell r="A8193"/>
          <cell r="B8193"/>
        </row>
        <row r="8194">
          <cell r="A8194"/>
          <cell r="B8194"/>
        </row>
        <row r="8195">
          <cell r="A8195"/>
          <cell r="B8195"/>
        </row>
        <row r="8196">
          <cell r="A8196"/>
          <cell r="B8196"/>
        </row>
        <row r="8197">
          <cell r="A8197"/>
          <cell r="B8197"/>
        </row>
        <row r="8198">
          <cell r="A8198"/>
          <cell r="B8198"/>
        </row>
        <row r="8199">
          <cell r="A8199"/>
          <cell r="B8199"/>
        </row>
        <row r="8200">
          <cell r="A8200"/>
          <cell r="B8200"/>
        </row>
        <row r="8201">
          <cell r="A8201"/>
          <cell r="B8201"/>
        </row>
        <row r="8202">
          <cell r="A8202"/>
          <cell r="B8202"/>
        </row>
        <row r="8203">
          <cell r="A8203"/>
          <cell r="B8203"/>
        </row>
        <row r="8204">
          <cell r="A8204"/>
          <cell r="B8204"/>
        </row>
        <row r="8205">
          <cell r="A8205"/>
          <cell r="B8205"/>
        </row>
        <row r="8206">
          <cell r="A8206"/>
          <cell r="B8206"/>
        </row>
        <row r="8207">
          <cell r="A8207"/>
          <cell r="B8207"/>
        </row>
        <row r="8208">
          <cell r="A8208"/>
          <cell r="B8208"/>
        </row>
        <row r="8209">
          <cell r="A8209"/>
          <cell r="B8209"/>
        </row>
        <row r="8210">
          <cell r="A8210"/>
          <cell r="B8210"/>
        </row>
        <row r="8211">
          <cell r="A8211"/>
          <cell r="B8211"/>
        </row>
        <row r="8212">
          <cell r="A8212"/>
          <cell r="B8212"/>
        </row>
        <row r="8213">
          <cell r="A8213"/>
          <cell r="B8213"/>
        </row>
        <row r="8214">
          <cell r="A8214"/>
          <cell r="B8214"/>
        </row>
        <row r="8215">
          <cell r="A8215"/>
          <cell r="B8215"/>
        </row>
        <row r="8216">
          <cell r="A8216"/>
          <cell r="B8216"/>
        </row>
        <row r="8217">
          <cell r="A8217"/>
          <cell r="B8217"/>
        </row>
        <row r="8218">
          <cell r="A8218"/>
          <cell r="B8218"/>
        </row>
        <row r="8219">
          <cell r="A8219"/>
          <cell r="B8219"/>
        </row>
        <row r="8220">
          <cell r="A8220"/>
          <cell r="B8220"/>
        </row>
        <row r="8221">
          <cell r="A8221"/>
          <cell r="B8221"/>
        </row>
        <row r="8222">
          <cell r="A8222"/>
          <cell r="B8222"/>
        </row>
        <row r="8223">
          <cell r="A8223"/>
          <cell r="B8223"/>
        </row>
        <row r="8224">
          <cell r="A8224"/>
          <cell r="B8224"/>
        </row>
        <row r="8225">
          <cell r="A8225"/>
          <cell r="B8225"/>
        </row>
        <row r="8226">
          <cell r="A8226"/>
          <cell r="B8226"/>
        </row>
        <row r="8227">
          <cell r="A8227"/>
          <cell r="B8227"/>
        </row>
        <row r="8228">
          <cell r="A8228"/>
          <cell r="B8228"/>
        </row>
        <row r="8229">
          <cell r="A8229"/>
          <cell r="B8229"/>
        </row>
        <row r="8230">
          <cell r="A8230"/>
          <cell r="B8230"/>
        </row>
        <row r="8231">
          <cell r="A8231"/>
          <cell r="B8231"/>
        </row>
        <row r="8232">
          <cell r="A8232"/>
          <cell r="B8232"/>
        </row>
        <row r="8233">
          <cell r="A8233"/>
          <cell r="B8233"/>
        </row>
        <row r="8234">
          <cell r="A8234"/>
          <cell r="B8234"/>
        </row>
        <row r="8235">
          <cell r="A8235"/>
          <cell r="B8235"/>
        </row>
        <row r="8236">
          <cell r="A8236"/>
          <cell r="B8236"/>
        </row>
        <row r="8237">
          <cell r="A8237"/>
          <cell r="B8237"/>
        </row>
        <row r="8238">
          <cell r="A8238"/>
          <cell r="B8238"/>
        </row>
        <row r="8239">
          <cell r="A8239"/>
          <cell r="B8239"/>
        </row>
        <row r="8240">
          <cell r="A8240"/>
          <cell r="B8240"/>
        </row>
        <row r="8241">
          <cell r="A8241"/>
          <cell r="B8241"/>
        </row>
        <row r="8242">
          <cell r="A8242"/>
          <cell r="B8242"/>
        </row>
        <row r="8243">
          <cell r="A8243"/>
          <cell r="B8243"/>
        </row>
        <row r="8244">
          <cell r="A8244"/>
          <cell r="B8244"/>
        </row>
        <row r="8245">
          <cell r="A8245"/>
          <cell r="B8245"/>
        </row>
        <row r="8246">
          <cell r="A8246"/>
          <cell r="B8246"/>
        </row>
        <row r="8247">
          <cell r="A8247"/>
          <cell r="B8247"/>
        </row>
        <row r="8248">
          <cell r="A8248"/>
          <cell r="B8248"/>
        </row>
        <row r="8249">
          <cell r="A8249"/>
          <cell r="B8249"/>
        </row>
        <row r="8250">
          <cell r="A8250"/>
          <cell r="B8250"/>
        </row>
        <row r="8251">
          <cell r="A8251"/>
          <cell r="B8251"/>
        </row>
        <row r="8252">
          <cell r="A8252"/>
          <cell r="B8252"/>
        </row>
        <row r="8253">
          <cell r="A8253"/>
          <cell r="B8253"/>
        </row>
        <row r="8254">
          <cell r="A8254"/>
          <cell r="B8254"/>
        </row>
        <row r="8255">
          <cell r="A8255"/>
          <cell r="B8255"/>
        </row>
        <row r="8256">
          <cell r="A8256"/>
          <cell r="B8256"/>
        </row>
        <row r="8257">
          <cell r="A8257"/>
          <cell r="B8257"/>
        </row>
        <row r="8258">
          <cell r="A8258"/>
          <cell r="B8258"/>
        </row>
        <row r="8259">
          <cell r="A8259"/>
          <cell r="B8259"/>
        </row>
        <row r="8260">
          <cell r="A8260"/>
          <cell r="B8260"/>
        </row>
        <row r="8261">
          <cell r="A8261"/>
          <cell r="B8261"/>
        </row>
        <row r="8262">
          <cell r="A8262"/>
          <cell r="B8262"/>
        </row>
        <row r="8263">
          <cell r="A8263"/>
          <cell r="B8263"/>
        </row>
        <row r="8264">
          <cell r="A8264"/>
          <cell r="B8264"/>
        </row>
        <row r="8265">
          <cell r="A8265"/>
          <cell r="B8265"/>
        </row>
        <row r="8266">
          <cell r="A8266"/>
          <cell r="B8266"/>
        </row>
        <row r="8267">
          <cell r="A8267"/>
          <cell r="B8267"/>
        </row>
        <row r="8268">
          <cell r="A8268"/>
          <cell r="B8268"/>
        </row>
        <row r="8269">
          <cell r="A8269"/>
          <cell r="B8269"/>
        </row>
        <row r="8270">
          <cell r="A8270"/>
          <cell r="B8270"/>
        </row>
        <row r="8271">
          <cell r="A8271"/>
          <cell r="B8271"/>
        </row>
        <row r="8272">
          <cell r="A8272"/>
          <cell r="B8272"/>
        </row>
        <row r="8273">
          <cell r="A8273"/>
          <cell r="B8273"/>
        </row>
        <row r="8274">
          <cell r="A8274"/>
          <cell r="B8274"/>
        </row>
        <row r="8275">
          <cell r="A8275"/>
          <cell r="B8275"/>
        </row>
        <row r="8276">
          <cell r="A8276"/>
          <cell r="B8276"/>
        </row>
        <row r="8277">
          <cell r="A8277"/>
          <cell r="B8277"/>
        </row>
        <row r="8278">
          <cell r="A8278"/>
          <cell r="B8278"/>
        </row>
        <row r="8279">
          <cell r="A8279"/>
          <cell r="B8279"/>
        </row>
        <row r="8280">
          <cell r="A8280"/>
          <cell r="B8280"/>
        </row>
        <row r="8281">
          <cell r="A8281"/>
          <cell r="B8281"/>
        </row>
        <row r="8282">
          <cell r="A8282"/>
          <cell r="B8282"/>
        </row>
        <row r="8283">
          <cell r="A8283"/>
          <cell r="B8283"/>
        </row>
        <row r="8284">
          <cell r="A8284"/>
          <cell r="B8284"/>
        </row>
        <row r="8285">
          <cell r="A8285"/>
          <cell r="B8285"/>
        </row>
        <row r="8286">
          <cell r="A8286"/>
          <cell r="B8286"/>
        </row>
        <row r="8287">
          <cell r="A8287"/>
          <cell r="B8287"/>
        </row>
        <row r="8288">
          <cell r="A8288"/>
          <cell r="B8288"/>
        </row>
        <row r="8289">
          <cell r="A8289"/>
          <cell r="B8289"/>
        </row>
        <row r="8290">
          <cell r="A8290"/>
          <cell r="B8290"/>
        </row>
        <row r="8291">
          <cell r="A8291"/>
          <cell r="B8291"/>
        </row>
        <row r="8292">
          <cell r="A8292"/>
          <cell r="B8292"/>
        </row>
        <row r="8293">
          <cell r="A8293"/>
          <cell r="B8293"/>
        </row>
        <row r="8294">
          <cell r="A8294"/>
          <cell r="B8294"/>
        </row>
        <row r="8295">
          <cell r="A8295"/>
          <cell r="B8295"/>
        </row>
        <row r="8296">
          <cell r="A8296"/>
          <cell r="B8296"/>
        </row>
        <row r="8297">
          <cell r="A8297"/>
          <cell r="B8297"/>
        </row>
        <row r="8298">
          <cell r="A8298"/>
          <cell r="B8298"/>
        </row>
        <row r="8299">
          <cell r="A8299"/>
          <cell r="B8299"/>
        </row>
        <row r="8300">
          <cell r="A8300"/>
          <cell r="B8300"/>
        </row>
        <row r="8301">
          <cell r="A8301"/>
          <cell r="B8301"/>
        </row>
        <row r="8302">
          <cell r="A8302"/>
          <cell r="B8302"/>
        </row>
        <row r="8303">
          <cell r="A8303"/>
          <cell r="B8303"/>
        </row>
        <row r="8304">
          <cell r="A8304"/>
          <cell r="B8304"/>
        </row>
        <row r="8305">
          <cell r="A8305"/>
          <cell r="B8305"/>
        </row>
        <row r="8306">
          <cell r="A8306"/>
          <cell r="B8306"/>
        </row>
        <row r="8307">
          <cell r="A8307"/>
          <cell r="B8307"/>
        </row>
        <row r="8308">
          <cell r="A8308"/>
          <cell r="B8308"/>
        </row>
        <row r="8309">
          <cell r="A8309"/>
          <cell r="B8309"/>
        </row>
        <row r="8310">
          <cell r="A8310"/>
          <cell r="B8310"/>
        </row>
        <row r="8311">
          <cell r="A8311"/>
          <cell r="B8311"/>
        </row>
        <row r="8312">
          <cell r="A8312"/>
          <cell r="B8312"/>
        </row>
        <row r="8313">
          <cell r="A8313"/>
          <cell r="B8313"/>
        </row>
        <row r="8314">
          <cell r="A8314"/>
          <cell r="B8314"/>
        </row>
        <row r="8315">
          <cell r="A8315"/>
          <cell r="B8315"/>
        </row>
        <row r="8316">
          <cell r="A8316"/>
          <cell r="B8316"/>
        </row>
        <row r="8317">
          <cell r="A8317"/>
          <cell r="B8317"/>
        </row>
        <row r="8318">
          <cell r="A8318"/>
          <cell r="B8318"/>
        </row>
        <row r="8319">
          <cell r="A8319"/>
          <cell r="B8319"/>
        </row>
        <row r="8320">
          <cell r="A8320"/>
          <cell r="B8320"/>
        </row>
        <row r="8321">
          <cell r="A8321"/>
          <cell r="B8321"/>
        </row>
        <row r="8322">
          <cell r="A8322"/>
          <cell r="B8322"/>
        </row>
        <row r="8323">
          <cell r="A8323"/>
          <cell r="B8323"/>
        </row>
        <row r="8324">
          <cell r="A8324"/>
          <cell r="B8324"/>
        </row>
        <row r="8325">
          <cell r="A8325"/>
          <cell r="B8325"/>
        </row>
        <row r="8326">
          <cell r="A8326"/>
          <cell r="B8326"/>
        </row>
        <row r="8327">
          <cell r="A8327"/>
          <cell r="B8327"/>
        </row>
        <row r="8328">
          <cell r="A8328"/>
          <cell r="B8328"/>
        </row>
        <row r="8329">
          <cell r="A8329"/>
          <cell r="B8329"/>
        </row>
        <row r="8330">
          <cell r="A8330"/>
          <cell r="B8330"/>
        </row>
        <row r="8331">
          <cell r="A8331"/>
          <cell r="B8331"/>
        </row>
        <row r="8332">
          <cell r="A8332"/>
          <cell r="B8332"/>
        </row>
        <row r="8333">
          <cell r="A8333"/>
          <cell r="B8333"/>
        </row>
        <row r="8334">
          <cell r="A8334"/>
          <cell r="B8334"/>
        </row>
        <row r="8335">
          <cell r="A8335"/>
          <cell r="B8335"/>
        </row>
        <row r="8336">
          <cell r="A8336"/>
          <cell r="B8336"/>
        </row>
        <row r="8337">
          <cell r="A8337"/>
          <cell r="B8337"/>
        </row>
        <row r="8338">
          <cell r="A8338"/>
          <cell r="B8338"/>
        </row>
        <row r="8339">
          <cell r="A8339"/>
          <cell r="B8339"/>
        </row>
        <row r="8340">
          <cell r="A8340"/>
          <cell r="B8340"/>
        </row>
        <row r="8341">
          <cell r="A8341"/>
          <cell r="B8341"/>
        </row>
        <row r="8342">
          <cell r="A8342"/>
          <cell r="B8342"/>
        </row>
        <row r="8343">
          <cell r="A8343"/>
          <cell r="B8343"/>
        </row>
        <row r="8344">
          <cell r="A8344"/>
          <cell r="B8344"/>
        </row>
        <row r="8345">
          <cell r="A8345"/>
          <cell r="B8345"/>
        </row>
        <row r="8346">
          <cell r="A8346"/>
          <cell r="B8346"/>
        </row>
        <row r="8347">
          <cell r="A8347"/>
          <cell r="B8347"/>
        </row>
        <row r="8348">
          <cell r="A8348"/>
          <cell r="B8348"/>
        </row>
        <row r="8349">
          <cell r="A8349"/>
          <cell r="B8349"/>
        </row>
        <row r="8350">
          <cell r="A8350"/>
          <cell r="B8350"/>
        </row>
        <row r="8351">
          <cell r="A8351"/>
          <cell r="B8351"/>
        </row>
        <row r="8352">
          <cell r="A8352"/>
          <cell r="B8352"/>
        </row>
        <row r="8353">
          <cell r="A8353"/>
          <cell r="B8353"/>
        </row>
        <row r="8354">
          <cell r="A8354"/>
          <cell r="B8354"/>
        </row>
        <row r="8355">
          <cell r="A8355"/>
          <cell r="B8355"/>
        </row>
        <row r="8356">
          <cell r="A8356"/>
          <cell r="B8356"/>
        </row>
        <row r="8357">
          <cell r="A8357"/>
          <cell r="B8357"/>
        </row>
        <row r="8358">
          <cell r="A8358"/>
          <cell r="B8358"/>
        </row>
        <row r="8359">
          <cell r="A8359"/>
          <cell r="B8359"/>
        </row>
        <row r="8360">
          <cell r="A8360"/>
          <cell r="B8360"/>
        </row>
        <row r="8361">
          <cell r="A8361"/>
          <cell r="B8361"/>
        </row>
        <row r="8362">
          <cell r="A8362"/>
          <cell r="B8362"/>
        </row>
        <row r="8363">
          <cell r="A8363"/>
          <cell r="B8363"/>
        </row>
        <row r="8364">
          <cell r="A8364"/>
          <cell r="B8364"/>
        </row>
        <row r="8365">
          <cell r="A8365"/>
          <cell r="B8365"/>
        </row>
        <row r="8366">
          <cell r="A8366"/>
          <cell r="B8366"/>
        </row>
        <row r="8367">
          <cell r="A8367"/>
          <cell r="B8367"/>
        </row>
        <row r="8368">
          <cell r="A8368"/>
          <cell r="B8368"/>
        </row>
        <row r="8369">
          <cell r="A8369"/>
          <cell r="B8369"/>
        </row>
        <row r="8370">
          <cell r="A8370"/>
          <cell r="B8370"/>
        </row>
        <row r="8371">
          <cell r="A8371"/>
          <cell r="B8371"/>
        </row>
        <row r="8372">
          <cell r="A8372"/>
          <cell r="B8372"/>
        </row>
        <row r="8373">
          <cell r="A8373"/>
          <cell r="B8373"/>
        </row>
        <row r="8374">
          <cell r="A8374"/>
          <cell r="B8374"/>
        </row>
        <row r="8375">
          <cell r="A8375"/>
          <cell r="B8375"/>
        </row>
        <row r="8376">
          <cell r="A8376"/>
          <cell r="B8376"/>
        </row>
        <row r="8377">
          <cell r="A8377"/>
          <cell r="B8377"/>
        </row>
        <row r="8378">
          <cell r="A8378"/>
          <cell r="B8378"/>
        </row>
        <row r="8379">
          <cell r="A8379"/>
          <cell r="B8379"/>
        </row>
        <row r="8380">
          <cell r="A8380"/>
          <cell r="B8380"/>
        </row>
        <row r="8381">
          <cell r="A8381"/>
          <cell r="B8381"/>
        </row>
        <row r="8382">
          <cell r="A8382"/>
          <cell r="B8382"/>
        </row>
        <row r="8383">
          <cell r="A8383"/>
          <cell r="B8383"/>
        </row>
        <row r="8384">
          <cell r="A8384"/>
          <cell r="B8384"/>
        </row>
        <row r="8385">
          <cell r="A8385"/>
          <cell r="B8385"/>
        </row>
        <row r="8386">
          <cell r="A8386"/>
          <cell r="B8386"/>
        </row>
        <row r="8387">
          <cell r="A8387"/>
          <cell r="B8387"/>
        </row>
        <row r="8388">
          <cell r="A8388"/>
          <cell r="B8388"/>
        </row>
        <row r="8389">
          <cell r="A8389"/>
          <cell r="B8389"/>
        </row>
        <row r="8390">
          <cell r="A8390"/>
          <cell r="B8390"/>
        </row>
        <row r="8391">
          <cell r="A8391"/>
          <cell r="B8391"/>
        </row>
        <row r="8392">
          <cell r="A8392"/>
          <cell r="B8392"/>
        </row>
        <row r="8393">
          <cell r="A8393"/>
          <cell r="B8393"/>
        </row>
        <row r="8394">
          <cell r="A8394"/>
          <cell r="B8394"/>
        </row>
        <row r="8395">
          <cell r="A8395"/>
          <cell r="B8395"/>
        </row>
        <row r="8396">
          <cell r="A8396"/>
          <cell r="B8396"/>
        </row>
        <row r="8397">
          <cell r="A8397"/>
          <cell r="B8397"/>
        </row>
        <row r="8398">
          <cell r="A8398"/>
          <cell r="B8398"/>
        </row>
        <row r="8399">
          <cell r="A8399"/>
          <cell r="B8399"/>
        </row>
        <row r="8400">
          <cell r="A8400"/>
          <cell r="B8400"/>
        </row>
        <row r="8401">
          <cell r="A8401"/>
          <cell r="B8401"/>
        </row>
        <row r="8402">
          <cell r="A8402"/>
          <cell r="B8402"/>
        </row>
        <row r="8403">
          <cell r="A8403"/>
          <cell r="B8403"/>
        </row>
        <row r="8404">
          <cell r="A8404"/>
          <cell r="B8404"/>
        </row>
        <row r="8405">
          <cell r="A8405"/>
          <cell r="B8405"/>
        </row>
        <row r="8406">
          <cell r="A8406"/>
          <cell r="B8406"/>
        </row>
        <row r="8407">
          <cell r="A8407"/>
          <cell r="B8407"/>
        </row>
        <row r="8408">
          <cell r="A8408"/>
          <cell r="B8408"/>
        </row>
        <row r="8409">
          <cell r="A8409"/>
          <cell r="B8409"/>
        </row>
        <row r="8410">
          <cell r="A8410"/>
          <cell r="B8410"/>
        </row>
        <row r="8411">
          <cell r="A8411"/>
          <cell r="B8411"/>
        </row>
        <row r="8412">
          <cell r="A8412"/>
          <cell r="B8412"/>
        </row>
        <row r="8413">
          <cell r="A8413"/>
          <cell r="B8413"/>
        </row>
        <row r="8414">
          <cell r="A8414"/>
          <cell r="B8414"/>
        </row>
        <row r="8415">
          <cell r="A8415"/>
          <cell r="B8415"/>
        </row>
        <row r="8416">
          <cell r="A8416"/>
          <cell r="B8416"/>
        </row>
        <row r="8417">
          <cell r="A8417"/>
          <cell r="B8417"/>
        </row>
        <row r="8418">
          <cell r="A8418"/>
          <cell r="B8418"/>
        </row>
        <row r="8419">
          <cell r="A8419"/>
          <cell r="B8419"/>
        </row>
        <row r="8420">
          <cell r="A8420"/>
          <cell r="B8420"/>
        </row>
        <row r="8421">
          <cell r="A8421"/>
          <cell r="B8421"/>
        </row>
        <row r="8422">
          <cell r="A8422"/>
          <cell r="B8422"/>
        </row>
        <row r="8423">
          <cell r="A8423"/>
          <cell r="B8423"/>
        </row>
        <row r="8424">
          <cell r="A8424"/>
          <cell r="B8424"/>
        </row>
        <row r="8425">
          <cell r="A8425"/>
          <cell r="B8425"/>
        </row>
        <row r="8426">
          <cell r="A8426"/>
          <cell r="B8426"/>
        </row>
        <row r="8427">
          <cell r="A8427"/>
          <cell r="B8427"/>
        </row>
        <row r="8428">
          <cell r="A8428"/>
          <cell r="B8428"/>
        </row>
        <row r="8429">
          <cell r="A8429"/>
          <cell r="B8429"/>
        </row>
        <row r="8430">
          <cell r="A8430"/>
          <cell r="B8430"/>
        </row>
        <row r="8431">
          <cell r="A8431"/>
          <cell r="B8431"/>
        </row>
        <row r="8432">
          <cell r="A8432"/>
          <cell r="B8432"/>
        </row>
        <row r="8433">
          <cell r="A8433"/>
          <cell r="B8433"/>
        </row>
        <row r="8434">
          <cell r="A8434"/>
          <cell r="B8434"/>
        </row>
        <row r="8435">
          <cell r="A8435"/>
          <cell r="B8435"/>
        </row>
        <row r="8436">
          <cell r="A8436"/>
          <cell r="B8436"/>
        </row>
        <row r="8437">
          <cell r="A8437"/>
          <cell r="B8437"/>
        </row>
        <row r="8438">
          <cell r="A8438"/>
          <cell r="B8438"/>
        </row>
        <row r="8439">
          <cell r="A8439"/>
          <cell r="B8439"/>
        </row>
        <row r="8440">
          <cell r="A8440"/>
          <cell r="B8440"/>
        </row>
        <row r="8441">
          <cell r="A8441"/>
          <cell r="B8441"/>
        </row>
        <row r="8442">
          <cell r="A8442"/>
          <cell r="B8442"/>
        </row>
        <row r="8443">
          <cell r="A8443"/>
          <cell r="B8443"/>
        </row>
        <row r="8444">
          <cell r="A8444"/>
          <cell r="B8444"/>
        </row>
        <row r="8445">
          <cell r="A8445"/>
          <cell r="B8445"/>
        </row>
        <row r="8446">
          <cell r="A8446"/>
          <cell r="B8446"/>
        </row>
        <row r="8447">
          <cell r="A8447"/>
          <cell r="B8447"/>
        </row>
        <row r="8448">
          <cell r="A8448"/>
          <cell r="B8448"/>
        </row>
        <row r="8449">
          <cell r="A8449"/>
          <cell r="B8449"/>
        </row>
        <row r="8450">
          <cell r="A8450"/>
          <cell r="B8450"/>
        </row>
        <row r="8451">
          <cell r="A8451"/>
          <cell r="B8451"/>
        </row>
        <row r="8452">
          <cell r="A8452"/>
          <cell r="B8452"/>
        </row>
        <row r="8453">
          <cell r="A8453"/>
          <cell r="B8453"/>
        </row>
        <row r="8454">
          <cell r="A8454"/>
          <cell r="B8454"/>
        </row>
        <row r="8455">
          <cell r="A8455"/>
          <cell r="B8455"/>
        </row>
        <row r="8456">
          <cell r="A8456"/>
          <cell r="B8456"/>
        </row>
        <row r="8457">
          <cell r="A8457"/>
          <cell r="B8457"/>
        </row>
        <row r="8458">
          <cell r="A8458"/>
          <cell r="B8458"/>
        </row>
        <row r="8459">
          <cell r="A8459"/>
          <cell r="B8459"/>
        </row>
        <row r="8460">
          <cell r="A8460"/>
          <cell r="B8460"/>
        </row>
        <row r="8461">
          <cell r="A8461"/>
          <cell r="B8461"/>
        </row>
        <row r="8462">
          <cell r="A8462"/>
          <cell r="B8462"/>
        </row>
        <row r="8463">
          <cell r="A8463"/>
          <cell r="B8463"/>
        </row>
        <row r="8464">
          <cell r="A8464"/>
          <cell r="B8464"/>
        </row>
        <row r="8465">
          <cell r="A8465"/>
          <cell r="B8465"/>
        </row>
        <row r="8466">
          <cell r="A8466"/>
          <cell r="B8466"/>
        </row>
        <row r="8467">
          <cell r="A8467"/>
          <cell r="B8467"/>
        </row>
        <row r="8468">
          <cell r="A8468"/>
          <cell r="B8468"/>
        </row>
        <row r="8469">
          <cell r="A8469"/>
          <cell r="B8469"/>
        </row>
        <row r="8470">
          <cell r="A8470"/>
          <cell r="B8470"/>
        </row>
        <row r="8471">
          <cell r="A8471"/>
          <cell r="B8471"/>
        </row>
        <row r="8472">
          <cell r="A8472"/>
          <cell r="B8472"/>
        </row>
        <row r="8473">
          <cell r="A8473"/>
          <cell r="B8473"/>
        </row>
        <row r="8474">
          <cell r="A8474"/>
          <cell r="B8474"/>
        </row>
        <row r="8475">
          <cell r="A8475"/>
          <cell r="B8475"/>
        </row>
        <row r="8476">
          <cell r="A8476"/>
          <cell r="B8476"/>
        </row>
        <row r="8477">
          <cell r="A8477"/>
          <cell r="B8477"/>
        </row>
        <row r="8478">
          <cell r="A8478"/>
          <cell r="B8478"/>
        </row>
        <row r="8479">
          <cell r="A8479"/>
          <cell r="B8479"/>
        </row>
        <row r="8480">
          <cell r="A8480"/>
          <cell r="B8480"/>
        </row>
        <row r="8481">
          <cell r="A8481"/>
          <cell r="B8481"/>
        </row>
        <row r="8482">
          <cell r="A8482"/>
          <cell r="B8482"/>
        </row>
        <row r="8483">
          <cell r="A8483"/>
          <cell r="B8483"/>
        </row>
        <row r="8484">
          <cell r="A8484"/>
          <cell r="B8484"/>
        </row>
        <row r="8485">
          <cell r="A8485"/>
          <cell r="B8485"/>
        </row>
        <row r="8486">
          <cell r="A8486"/>
          <cell r="B8486"/>
        </row>
        <row r="8487">
          <cell r="A8487"/>
          <cell r="B8487"/>
        </row>
        <row r="8488">
          <cell r="A8488"/>
          <cell r="B8488"/>
        </row>
        <row r="8489">
          <cell r="A8489"/>
          <cell r="B8489"/>
        </row>
        <row r="8490">
          <cell r="A8490"/>
          <cell r="B8490"/>
        </row>
        <row r="8491">
          <cell r="A8491"/>
          <cell r="B8491"/>
        </row>
        <row r="8492">
          <cell r="A8492"/>
          <cell r="B8492"/>
        </row>
        <row r="8493">
          <cell r="A8493"/>
          <cell r="B8493"/>
        </row>
        <row r="8494">
          <cell r="A8494"/>
          <cell r="B8494"/>
        </row>
        <row r="8495">
          <cell r="A8495"/>
          <cell r="B8495"/>
        </row>
        <row r="8496">
          <cell r="A8496"/>
          <cell r="B8496"/>
        </row>
        <row r="8497">
          <cell r="A8497"/>
          <cell r="B8497"/>
        </row>
        <row r="8498">
          <cell r="A8498"/>
          <cell r="B8498"/>
        </row>
        <row r="8499">
          <cell r="A8499"/>
          <cell r="B8499"/>
        </row>
        <row r="8500">
          <cell r="A8500"/>
          <cell r="B8500"/>
        </row>
        <row r="8501">
          <cell r="A8501"/>
          <cell r="B8501"/>
        </row>
        <row r="8502">
          <cell r="A8502"/>
          <cell r="B8502"/>
        </row>
        <row r="8503">
          <cell r="A8503"/>
          <cell r="B8503"/>
        </row>
        <row r="8504">
          <cell r="A8504"/>
          <cell r="B8504"/>
        </row>
        <row r="8505">
          <cell r="A8505"/>
          <cell r="B8505"/>
        </row>
        <row r="8506">
          <cell r="A8506"/>
          <cell r="B8506"/>
        </row>
        <row r="8507">
          <cell r="A8507"/>
          <cell r="B8507"/>
        </row>
        <row r="8508">
          <cell r="A8508"/>
          <cell r="B8508"/>
        </row>
        <row r="8509">
          <cell r="A8509"/>
          <cell r="B8509"/>
        </row>
        <row r="8510">
          <cell r="A8510"/>
          <cell r="B8510"/>
        </row>
        <row r="8511">
          <cell r="A8511"/>
          <cell r="B8511"/>
        </row>
        <row r="8512">
          <cell r="A8512"/>
          <cell r="B8512"/>
        </row>
        <row r="8513">
          <cell r="A8513"/>
          <cell r="B8513"/>
        </row>
        <row r="8514">
          <cell r="A8514"/>
          <cell r="B8514"/>
        </row>
        <row r="8515">
          <cell r="A8515"/>
          <cell r="B8515"/>
        </row>
        <row r="8516">
          <cell r="A8516"/>
          <cell r="B8516"/>
        </row>
        <row r="8517">
          <cell r="A8517"/>
          <cell r="B8517"/>
        </row>
        <row r="8518">
          <cell r="A8518"/>
          <cell r="B8518"/>
        </row>
        <row r="8519">
          <cell r="A8519"/>
          <cell r="B8519"/>
        </row>
        <row r="8520">
          <cell r="A8520"/>
          <cell r="B8520"/>
        </row>
        <row r="8521">
          <cell r="A8521"/>
          <cell r="B8521"/>
        </row>
        <row r="8522">
          <cell r="A8522"/>
          <cell r="B8522"/>
        </row>
        <row r="8523">
          <cell r="A8523"/>
          <cell r="B8523"/>
        </row>
        <row r="8524">
          <cell r="A8524"/>
          <cell r="B8524"/>
        </row>
        <row r="8525">
          <cell r="A8525"/>
          <cell r="B8525"/>
        </row>
        <row r="8526">
          <cell r="A8526"/>
          <cell r="B8526"/>
        </row>
        <row r="8527">
          <cell r="A8527"/>
          <cell r="B8527"/>
        </row>
        <row r="8528">
          <cell r="A8528"/>
          <cell r="B8528"/>
        </row>
        <row r="8529">
          <cell r="A8529"/>
          <cell r="B8529"/>
        </row>
        <row r="8530">
          <cell r="A8530"/>
          <cell r="B8530"/>
        </row>
        <row r="8531">
          <cell r="A8531"/>
          <cell r="B8531"/>
        </row>
        <row r="8532">
          <cell r="A8532"/>
          <cell r="B8532"/>
        </row>
        <row r="8533">
          <cell r="A8533"/>
          <cell r="B8533"/>
        </row>
        <row r="8534">
          <cell r="A8534"/>
          <cell r="B8534"/>
        </row>
        <row r="8535">
          <cell r="A8535"/>
          <cell r="B8535"/>
        </row>
        <row r="8536">
          <cell r="A8536"/>
          <cell r="B8536"/>
        </row>
        <row r="8537">
          <cell r="A8537"/>
          <cell r="B8537"/>
        </row>
        <row r="8538">
          <cell r="A8538"/>
          <cell r="B8538"/>
        </row>
        <row r="8539">
          <cell r="A8539"/>
          <cell r="B8539"/>
        </row>
        <row r="8540">
          <cell r="A8540"/>
          <cell r="B8540"/>
        </row>
        <row r="8541">
          <cell r="A8541"/>
          <cell r="B8541"/>
        </row>
        <row r="8542">
          <cell r="A8542"/>
          <cell r="B8542"/>
        </row>
        <row r="8543">
          <cell r="A8543"/>
          <cell r="B8543"/>
        </row>
        <row r="8544">
          <cell r="A8544"/>
          <cell r="B8544"/>
        </row>
        <row r="8545">
          <cell r="A8545"/>
          <cell r="B8545"/>
        </row>
        <row r="8546">
          <cell r="A8546"/>
          <cell r="B8546"/>
        </row>
        <row r="8547">
          <cell r="A8547"/>
          <cell r="B8547"/>
        </row>
        <row r="8548">
          <cell r="A8548"/>
          <cell r="B8548"/>
        </row>
        <row r="8549">
          <cell r="A8549"/>
          <cell r="B8549"/>
        </row>
        <row r="8550">
          <cell r="A8550"/>
          <cell r="B8550"/>
        </row>
        <row r="8551">
          <cell r="A8551"/>
          <cell r="B8551"/>
        </row>
        <row r="8552">
          <cell r="A8552"/>
          <cell r="B8552"/>
        </row>
        <row r="8553">
          <cell r="A8553"/>
          <cell r="B8553"/>
        </row>
        <row r="8554">
          <cell r="A8554"/>
          <cell r="B8554"/>
        </row>
        <row r="8555">
          <cell r="A8555"/>
          <cell r="B8555"/>
        </row>
        <row r="8556">
          <cell r="A8556"/>
          <cell r="B8556"/>
        </row>
        <row r="8557">
          <cell r="A8557"/>
          <cell r="B8557"/>
        </row>
        <row r="8558">
          <cell r="A8558"/>
          <cell r="B8558"/>
        </row>
        <row r="8559">
          <cell r="A8559"/>
          <cell r="B8559"/>
        </row>
        <row r="8560">
          <cell r="A8560"/>
          <cell r="B8560"/>
        </row>
        <row r="8561">
          <cell r="A8561"/>
          <cell r="B8561"/>
        </row>
        <row r="8562">
          <cell r="A8562"/>
          <cell r="B8562"/>
        </row>
        <row r="8563">
          <cell r="A8563"/>
          <cell r="B8563"/>
        </row>
        <row r="8564">
          <cell r="A8564"/>
          <cell r="B8564"/>
        </row>
        <row r="8565">
          <cell r="A8565"/>
          <cell r="B8565"/>
        </row>
        <row r="8566">
          <cell r="A8566"/>
          <cell r="B8566"/>
        </row>
        <row r="8567">
          <cell r="A8567"/>
          <cell r="B8567"/>
        </row>
        <row r="8568">
          <cell r="A8568"/>
          <cell r="B8568"/>
        </row>
        <row r="8569">
          <cell r="A8569"/>
          <cell r="B8569"/>
        </row>
        <row r="8570">
          <cell r="A8570"/>
          <cell r="B8570"/>
        </row>
        <row r="8571">
          <cell r="A8571"/>
          <cell r="B8571"/>
        </row>
        <row r="8572">
          <cell r="A8572"/>
          <cell r="B8572"/>
        </row>
        <row r="8573">
          <cell r="A8573"/>
          <cell r="B8573"/>
        </row>
        <row r="8574">
          <cell r="A8574"/>
          <cell r="B8574"/>
        </row>
        <row r="8575">
          <cell r="A8575"/>
          <cell r="B8575"/>
        </row>
        <row r="8576">
          <cell r="A8576"/>
          <cell r="B8576"/>
        </row>
        <row r="8577">
          <cell r="A8577"/>
          <cell r="B8577"/>
        </row>
        <row r="8578">
          <cell r="A8578"/>
          <cell r="B8578"/>
        </row>
        <row r="8579">
          <cell r="A8579"/>
          <cell r="B8579"/>
        </row>
        <row r="8580">
          <cell r="A8580"/>
          <cell r="B8580"/>
        </row>
        <row r="8581">
          <cell r="A8581"/>
          <cell r="B8581"/>
        </row>
        <row r="8582">
          <cell r="A8582"/>
          <cell r="B8582"/>
        </row>
        <row r="8583">
          <cell r="A8583"/>
          <cell r="B8583"/>
        </row>
        <row r="8584">
          <cell r="A8584"/>
          <cell r="B8584"/>
        </row>
        <row r="8585">
          <cell r="A8585"/>
          <cell r="B8585"/>
        </row>
        <row r="8586">
          <cell r="A8586"/>
          <cell r="B8586"/>
        </row>
        <row r="8587">
          <cell r="A8587"/>
          <cell r="B8587"/>
        </row>
        <row r="8588">
          <cell r="A8588"/>
          <cell r="B8588"/>
        </row>
        <row r="8589">
          <cell r="A8589"/>
          <cell r="B8589"/>
        </row>
        <row r="8590">
          <cell r="A8590"/>
          <cell r="B8590"/>
        </row>
        <row r="8591">
          <cell r="A8591"/>
          <cell r="B8591"/>
        </row>
        <row r="8592">
          <cell r="A8592"/>
          <cell r="B8592"/>
        </row>
        <row r="8593">
          <cell r="A8593"/>
          <cell r="B8593"/>
        </row>
        <row r="8594">
          <cell r="A8594"/>
          <cell r="B8594"/>
        </row>
        <row r="8595">
          <cell r="A8595"/>
          <cell r="B8595"/>
        </row>
        <row r="8596">
          <cell r="A8596"/>
          <cell r="B8596"/>
        </row>
        <row r="8597">
          <cell r="A8597"/>
          <cell r="B8597"/>
        </row>
        <row r="8598">
          <cell r="A8598"/>
          <cell r="B8598"/>
        </row>
        <row r="8599">
          <cell r="A8599"/>
          <cell r="B8599"/>
        </row>
        <row r="8600">
          <cell r="A8600"/>
          <cell r="B8600"/>
        </row>
        <row r="8601">
          <cell r="A8601"/>
          <cell r="B8601"/>
        </row>
        <row r="8602">
          <cell r="A8602"/>
          <cell r="B8602"/>
        </row>
        <row r="8603">
          <cell r="A8603"/>
          <cell r="B8603"/>
        </row>
        <row r="8604">
          <cell r="A8604"/>
          <cell r="B8604"/>
        </row>
        <row r="8605">
          <cell r="A8605"/>
          <cell r="B8605"/>
        </row>
        <row r="8606">
          <cell r="A8606"/>
          <cell r="B8606"/>
        </row>
        <row r="8607">
          <cell r="A8607"/>
          <cell r="B8607"/>
        </row>
        <row r="8608">
          <cell r="A8608"/>
          <cell r="B8608"/>
        </row>
        <row r="8609">
          <cell r="A8609"/>
          <cell r="B8609"/>
        </row>
        <row r="8610">
          <cell r="A8610"/>
          <cell r="B8610"/>
        </row>
        <row r="8611">
          <cell r="A8611"/>
          <cell r="B8611"/>
        </row>
        <row r="8612">
          <cell r="A8612"/>
          <cell r="B8612"/>
        </row>
        <row r="8613">
          <cell r="A8613"/>
          <cell r="B8613"/>
        </row>
        <row r="8614">
          <cell r="A8614"/>
          <cell r="B8614"/>
        </row>
        <row r="8615">
          <cell r="A8615"/>
          <cell r="B8615"/>
        </row>
        <row r="8616">
          <cell r="A8616"/>
          <cell r="B8616"/>
        </row>
        <row r="8617">
          <cell r="A8617"/>
          <cell r="B8617"/>
        </row>
        <row r="8618">
          <cell r="A8618"/>
          <cell r="B8618"/>
        </row>
        <row r="8619">
          <cell r="A8619"/>
          <cell r="B8619"/>
        </row>
        <row r="8620">
          <cell r="A8620"/>
          <cell r="B8620"/>
        </row>
        <row r="8621">
          <cell r="A8621"/>
          <cell r="B8621"/>
        </row>
        <row r="8622">
          <cell r="A8622"/>
          <cell r="B8622"/>
        </row>
        <row r="8623">
          <cell r="A8623"/>
          <cell r="B8623"/>
        </row>
        <row r="8624">
          <cell r="A8624"/>
          <cell r="B8624"/>
        </row>
        <row r="8625">
          <cell r="A8625"/>
          <cell r="B8625"/>
        </row>
        <row r="8626">
          <cell r="A8626"/>
          <cell r="B8626"/>
        </row>
        <row r="8627">
          <cell r="A8627"/>
          <cell r="B8627"/>
        </row>
        <row r="8628">
          <cell r="A8628"/>
          <cell r="B8628"/>
        </row>
        <row r="8629">
          <cell r="A8629"/>
          <cell r="B8629"/>
        </row>
        <row r="8630">
          <cell r="A8630"/>
          <cell r="B8630"/>
        </row>
        <row r="8631">
          <cell r="A8631"/>
          <cell r="B8631"/>
        </row>
        <row r="8632">
          <cell r="A8632"/>
          <cell r="B8632"/>
        </row>
        <row r="8633">
          <cell r="A8633"/>
          <cell r="B8633"/>
        </row>
        <row r="8634">
          <cell r="A8634"/>
          <cell r="B8634"/>
        </row>
        <row r="8635">
          <cell r="A8635"/>
          <cell r="B8635"/>
        </row>
        <row r="8636">
          <cell r="A8636"/>
          <cell r="B8636"/>
        </row>
        <row r="8637">
          <cell r="A8637"/>
          <cell r="B8637"/>
        </row>
        <row r="8638">
          <cell r="A8638"/>
          <cell r="B8638"/>
        </row>
        <row r="8639">
          <cell r="A8639"/>
          <cell r="B8639"/>
        </row>
        <row r="8640">
          <cell r="A8640"/>
          <cell r="B8640"/>
        </row>
        <row r="8641">
          <cell r="A8641"/>
          <cell r="B8641"/>
        </row>
        <row r="8642">
          <cell r="A8642"/>
          <cell r="B8642"/>
        </row>
        <row r="8643">
          <cell r="A8643"/>
          <cell r="B8643"/>
        </row>
        <row r="8644">
          <cell r="A8644"/>
          <cell r="B8644"/>
        </row>
        <row r="8645">
          <cell r="A8645"/>
          <cell r="B8645"/>
        </row>
        <row r="8646">
          <cell r="A8646"/>
          <cell r="B8646"/>
        </row>
        <row r="8647">
          <cell r="A8647"/>
          <cell r="B8647"/>
        </row>
        <row r="8648">
          <cell r="A8648"/>
          <cell r="B8648"/>
        </row>
        <row r="8649">
          <cell r="A8649"/>
          <cell r="B8649"/>
        </row>
        <row r="8650">
          <cell r="A8650"/>
          <cell r="B8650"/>
        </row>
        <row r="8651">
          <cell r="A8651"/>
          <cell r="B8651"/>
        </row>
        <row r="8652">
          <cell r="A8652"/>
          <cell r="B8652"/>
        </row>
        <row r="8653">
          <cell r="A8653"/>
          <cell r="B8653"/>
        </row>
        <row r="8654">
          <cell r="A8654"/>
          <cell r="B8654"/>
        </row>
        <row r="8655">
          <cell r="A8655"/>
          <cell r="B8655"/>
        </row>
        <row r="8656">
          <cell r="A8656"/>
          <cell r="B8656"/>
        </row>
        <row r="8657">
          <cell r="A8657"/>
          <cell r="B8657"/>
        </row>
        <row r="8658">
          <cell r="A8658"/>
          <cell r="B8658"/>
        </row>
        <row r="8659">
          <cell r="A8659"/>
          <cell r="B8659"/>
        </row>
        <row r="8660">
          <cell r="A8660"/>
          <cell r="B8660"/>
        </row>
        <row r="8661">
          <cell r="A8661"/>
          <cell r="B8661"/>
        </row>
        <row r="8662">
          <cell r="A8662"/>
          <cell r="B8662"/>
        </row>
        <row r="8663">
          <cell r="A8663"/>
          <cell r="B8663"/>
        </row>
        <row r="8664">
          <cell r="A8664"/>
          <cell r="B8664"/>
        </row>
        <row r="8665">
          <cell r="A8665"/>
          <cell r="B8665"/>
        </row>
        <row r="8666">
          <cell r="A8666"/>
          <cell r="B8666"/>
        </row>
        <row r="8667">
          <cell r="A8667"/>
          <cell r="B8667"/>
        </row>
        <row r="8668">
          <cell r="A8668"/>
          <cell r="B8668"/>
        </row>
        <row r="8669">
          <cell r="A8669"/>
          <cell r="B8669"/>
        </row>
        <row r="8670">
          <cell r="A8670"/>
          <cell r="B8670"/>
        </row>
        <row r="8671">
          <cell r="A8671"/>
          <cell r="B8671"/>
        </row>
        <row r="8672">
          <cell r="A8672"/>
          <cell r="B8672"/>
        </row>
        <row r="8673">
          <cell r="A8673"/>
          <cell r="B8673"/>
        </row>
        <row r="8674">
          <cell r="A8674"/>
          <cell r="B8674"/>
        </row>
        <row r="8675">
          <cell r="A8675"/>
          <cell r="B8675"/>
        </row>
        <row r="8676">
          <cell r="A8676"/>
          <cell r="B8676"/>
        </row>
        <row r="8677">
          <cell r="A8677"/>
          <cell r="B8677"/>
        </row>
        <row r="8678">
          <cell r="A8678"/>
          <cell r="B8678"/>
        </row>
        <row r="8679">
          <cell r="A8679"/>
          <cell r="B8679"/>
        </row>
        <row r="8680">
          <cell r="A8680"/>
          <cell r="B8680"/>
        </row>
        <row r="8681">
          <cell r="A8681"/>
          <cell r="B8681"/>
        </row>
        <row r="8682">
          <cell r="A8682"/>
          <cell r="B8682"/>
        </row>
        <row r="8683">
          <cell r="A8683"/>
          <cell r="B8683"/>
        </row>
        <row r="8684">
          <cell r="A8684"/>
          <cell r="B8684"/>
        </row>
        <row r="8685">
          <cell r="A8685"/>
          <cell r="B8685"/>
        </row>
        <row r="8686">
          <cell r="A8686"/>
          <cell r="B8686"/>
        </row>
        <row r="8687">
          <cell r="A8687"/>
          <cell r="B8687"/>
        </row>
        <row r="8688">
          <cell r="A8688"/>
          <cell r="B8688"/>
        </row>
        <row r="8689">
          <cell r="A8689"/>
          <cell r="B8689"/>
        </row>
        <row r="8690">
          <cell r="A8690"/>
          <cell r="B8690"/>
        </row>
        <row r="8691">
          <cell r="A8691"/>
          <cell r="B8691"/>
        </row>
        <row r="8692">
          <cell r="A8692"/>
          <cell r="B8692"/>
        </row>
        <row r="8693">
          <cell r="A8693"/>
          <cell r="B8693"/>
        </row>
        <row r="8694">
          <cell r="A8694"/>
          <cell r="B8694"/>
        </row>
        <row r="8695">
          <cell r="A8695"/>
          <cell r="B8695"/>
        </row>
        <row r="8696">
          <cell r="A8696"/>
          <cell r="B8696"/>
        </row>
        <row r="8697">
          <cell r="A8697"/>
          <cell r="B8697"/>
        </row>
        <row r="8698">
          <cell r="A8698"/>
          <cell r="B8698"/>
        </row>
        <row r="8699">
          <cell r="A8699"/>
          <cell r="B8699"/>
        </row>
        <row r="8700">
          <cell r="A8700"/>
          <cell r="B8700"/>
        </row>
        <row r="8701">
          <cell r="A8701"/>
          <cell r="B8701"/>
        </row>
        <row r="8702">
          <cell r="A8702"/>
          <cell r="B8702"/>
        </row>
        <row r="8703">
          <cell r="A8703"/>
          <cell r="B8703"/>
        </row>
        <row r="8704">
          <cell r="A8704"/>
          <cell r="B8704"/>
        </row>
        <row r="8705">
          <cell r="A8705"/>
          <cell r="B8705"/>
        </row>
        <row r="8706">
          <cell r="A8706"/>
          <cell r="B8706"/>
        </row>
        <row r="8707">
          <cell r="A8707"/>
          <cell r="B8707"/>
        </row>
        <row r="8708">
          <cell r="A8708"/>
          <cell r="B8708"/>
        </row>
        <row r="8709">
          <cell r="A8709"/>
          <cell r="B8709"/>
        </row>
        <row r="8710">
          <cell r="A8710"/>
          <cell r="B8710"/>
        </row>
        <row r="8711">
          <cell r="A8711"/>
          <cell r="B8711"/>
        </row>
        <row r="8712">
          <cell r="A8712"/>
          <cell r="B8712"/>
        </row>
        <row r="8713">
          <cell r="A8713"/>
          <cell r="B8713"/>
        </row>
        <row r="8714">
          <cell r="A8714"/>
          <cell r="B8714"/>
        </row>
        <row r="8715">
          <cell r="A8715"/>
          <cell r="B8715"/>
        </row>
        <row r="8716">
          <cell r="A8716"/>
          <cell r="B8716"/>
        </row>
        <row r="8717">
          <cell r="A8717"/>
          <cell r="B8717"/>
        </row>
        <row r="8718">
          <cell r="A8718"/>
          <cell r="B8718"/>
        </row>
        <row r="8719">
          <cell r="A8719"/>
          <cell r="B8719"/>
        </row>
        <row r="8720">
          <cell r="A8720"/>
          <cell r="B8720"/>
        </row>
        <row r="8721">
          <cell r="A8721"/>
          <cell r="B8721"/>
        </row>
        <row r="8722">
          <cell r="A8722"/>
          <cell r="B8722"/>
        </row>
        <row r="8723">
          <cell r="A8723"/>
          <cell r="B8723"/>
        </row>
        <row r="8724">
          <cell r="A8724"/>
          <cell r="B8724"/>
        </row>
        <row r="8725">
          <cell r="A8725"/>
          <cell r="B8725"/>
        </row>
        <row r="8726">
          <cell r="A8726"/>
          <cell r="B8726"/>
        </row>
        <row r="8727">
          <cell r="A8727"/>
          <cell r="B8727"/>
        </row>
        <row r="8728">
          <cell r="A8728"/>
          <cell r="B8728"/>
        </row>
        <row r="8729">
          <cell r="A8729"/>
          <cell r="B8729"/>
        </row>
        <row r="8730">
          <cell r="A8730"/>
          <cell r="B8730"/>
        </row>
        <row r="8731">
          <cell r="A8731"/>
          <cell r="B8731"/>
        </row>
        <row r="8732">
          <cell r="A8732"/>
          <cell r="B8732"/>
        </row>
        <row r="8733">
          <cell r="A8733"/>
          <cell r="B8733"/>
        </row>
        <row r="8734">
          <cell r="A8734"/>
          <cell r="B8734"/>
        </row>
        <row r="8735">
          <cell r="A8735"/>
          <cell r="B8735"/>
        </row>
        <row r="8736">
          <cell r="A8736"/>
          <cell r="B8736"/>
        </row>
        <row r="8737">
          <cell r="A8737"/>
          <cell r="B8737"/>
        </row>
        <row r="8738">
          <cell r="A8738"/>
          <cell r="B8738"/>
        </row>
        <row r="8739">
          <cell r="A8739"/>
          <cell r="B8739"/>
        </row>
        <row r="8740">
          <cell r="A8740"/>
          <cell r="B8740"/>
        </row>
        <row r="8741">
          <cell r="A8741"/>
          <cell r="B8741"/>
        </row>
        <row r="8742">
          <cell r="A8742"/>
          <cell r="B8742"/>
        </row>
        <row r="8743">
          <cell r="A8743"/>
          <cell r="B8743"/>
        </row>
        <row r="8744">
          <cell r="A8744"/>
          <cell r="B8744"/>
        </row>
        <row r="8745">
          <cell r="A8745"/>
          <cell r="B8745"/>
        </row>
        <row r="8746">
          <cell r="A8746"/>
          <cell r="B8746"/>
        </row>
        <row r="8747">
          <cell r="A8747"/>
          <cell r="B8747"/>
        </row>
        <row r="8748">
          <cell r="A8748"/>
          <cell r="B8748"/>
        </row>
        <row r="8749">
          <cell r="A8749"/>
          <cell r="B8749"/>
        </row>
        <row r="8750">
          <cell r="A8750"/>
          <cell r="B8750"/>
        </row>
        <row r="8751">
          <cell r="A8751"/>
          <cell r="B8751"/>
        </row>
        <row r="8752">
          <cell r="A8752"/>
          <cell r="B8752"/>
        </row>
        <row r="8753">
          <cell r="A8753"/>
          <cell r="B8753"/>
        </row>
        <row r="8754">
          <cell r="A8754"/>
          <cell r="B8754"/>
        </row>
        <row r="8755">
          <cell r="A8755"/>
          <cell r="B8755"/>
        </row>
        <row r="8756">
          <cell r="A8756"/>
          <cell r="B8756"/>
        </row>
        <row r="8757">
          <cell r="A8757"/>
          <cell r="B8757"/>
        </row>
        <row r="8758">
          <cell r="A8758"/>
          <cell r="B8758"/>
        </row>
        <row r="8759">
          <cell r="A8759"/>
          <cell r="B8759"/>
        </row>
        <row r="8760">
          <cell r="A8760"/>
          <cell r="B8760"/>
        </row>
        <row r="8761">
          <cell r="A8761"/>
          <cell r="B8761"/>
        </row>
        <row r="8762">
          <cell r="A8762"/>
          <cell r="B8762"/>
        </row>
        <row r="8763">
          <cell r="A8763"/>
          <cell r="B8763"/>
        </row>
        <row r="8764">
          <cell r="A8764"/>
          <cell r="B8764"/>
        </row>
        <row r="8765">
          <cell r="A8765"/>
          <cell r="B8765"/>
        </row>
        <row r="8766">
          <cell r="A8766"/>
          <cell r="B8766"/>
        </row>
        <row r="8767">
          <cell r="A8767"/>
          <cell r="B8767"/>
        </row>
        <row r="8768">
          <cell r="A8768"/>
          <cell r="B8768"/>
        </row>
        <row r="8769">
          <cell r="A8769"/>
          <cell r="B8769"/>
        </row>
        <row r="8770">
          <cell r="A8770"/>
          <cell r="B8770"/>
        </row>
        <row r="8771">
          <cell r="A8771"/>
          <cell r="B8771"/>
        </row>
        <row r="8772">
          <cell r="A8772"/>
          <cell r="B8772"/>
        </row>
        <row r="8773">
          <cell r="A8773"/>
          <cell r="B8773"/>
        </row>
        <row r="8774">
          <cell r="A8774"/>
          <cell r="B8774"/>
        </row>
        <row r="8775">
          <cell r="A8775"/>
          <cell r="B8775"/>
        </row>
        <row r="8776">
          <cell r="A8776"/>
          <cell r="B8776"/>
        </row>
        <row r="8777">
          <cell r="A8777"/>
          <cell r="B8777"/>
        </row>
        <row r="8778">
          <cell r="A8778"/>
          <cell r="B8778"/>
        </row>
        <row r="8779">
          <cell r="A8779"/>
          <cell r="B8779"/>
        </row>
        <row r="8780">
          <cell r="A8780"/>
          <cell r="B8780"/>
        </row>
        <row r="8781">
          <cell r="A8781"/>
          <cell r="B8781"/>
        </row>
        <row r="8782">
          <cell r="A8782"/>
          <cell r="B8782"/>
        </row>
        <row r="8783">
          <cell r="A8783"/>
          <cell r="B8783"/>
        </row>
        <row r="8784">
          <cell r="A8784"/>
          <cell r="B8784"/>
        </row>
        <row r="8785">
          <cell r="A8785"/>
          <cell r="B8785"/>
        </row>
        <row r="8786">
          <cell r="A8786"/>
          <cell r="B8786"/>
        </row>
        <row r="8787">
          <cell r="A8787"/>
          <cell r="B8787"/>
        </row>
        <row r="8788">
          <cell r="A8788"/>
          <cell r="B8788"/>
        </row>
        <row r="8789">
          <cell r="A8789"/>
          <cell r="B8789"/>
        </row>
        <row r="8790">
          <cell r="A8790"/>
          <cell r="B8790"/>
        </row>
        <row r="8791">
          <cell r="A8791"/>
          <cell r="B8791"/>
        </row>
        <row r="8792">
          <cell r="A8792"/>
          <cell r="B8792"/>
        </row>
        <row r="8793">
          <cell r="A8793"/>
          <cell r="B8793"/>
        </row>
        <row r="8794">
          <cell r="A8794"/>
          <cell r="B8794"/>
        </row>
        <row r="8795">
          <cell r="A8795"/>
          <cell r="B8795"/>
        </row>
        <row r="8796">
          <cell r="A8796"/>
          <cell r="B8796"/>
        </row>
        <row r="8797">
          <cell r="A8797"/>
          <cell r="B8797"/>
        </row>
        <row r="8798">
          <cell r="A8798"/>
          <cell r="B8798"/>
        </row>
        <row r="8799">
          <cell r="A8799"/>
          <cell r="B8799"/>
        </row>
        <row r="8800">
          <cell r="A8800"/>
          <cell r="B8800"/>
        </row>
        <row r="8801">
          <cell r="A8801"/>
          <cell r="B8801"/>
        </row>
        <row r="8802">
          <cell r="A8802"/>
          <cell r="B8802"/>
        </row>
        <row r="8803">
          <cell r="A8803"/>
          <cell r="B8803"/>
        </row>
        <row r="8804">
          <cell r="A8804"/>
          <cell r="B8804"/>
        </row>
        <row r="8805">
          <cell r="A8805"/>
          <cell r="B8805"/>
        </row>
        <row r="8806">
          <cell r="A8806"/>
          <cell r="B8806"/>
        </row>
        <row r="8807">
          <cell r="A8807"/>
          <cell r="B8807"/>
        </row>
        <row r="8808">
          <cell r="A8808"/>
          <cell r="B8808"/>
        </row>
        <row r="8809">
          <cell r="A8809"/>
          <cell r="B8809"/>
        </row>
        <row r="8810">
          <cell r="A8810"/>
          <cell r="B8810"/>
        </row>
        <row r="8811">
          <cell r="A8811"/>
          <cell r="B8811"/>
        </row>
        <row r="8812">
          <cell r="A8812"/>
          <cell r="B8812"/>
        </row>
        <row r="8813">
          <cell r="A8813"/>
          <cell r="B8813"/>
        </row>
        <row r="8814">
          <cell r="A8814"/>
          <cell r="B8814"/>
        </row>
        <row r="8815">
          <cell r="A8815"/>
          <cell r="B8815"/>
        </row>
        <row r="8816">
          <cell r="A8816"/>
          <cell r="B8816"/>
        </row>
        <row r="8817">
          <cell r="A8817"/>
          <cell r="B8817"/>
        </row>
        <row r="8818">
          <cell r="A8818"/>
          <cell r="B8818"/>
        </row>
        <row r="8819">
          <cell r="A8819"/>
          <cell r="B8819"/>
        </row>
        <row r="8820">
          <cell r="A8820"/>
          <cell r="B8820"/>
        </row>
        <row r="8821">
          <cell r="A8821"/>
          <cell r="B8821"/>
        </row>
        <row r="8822">
          <cell r="A8822"/>
          <cell r="B8822"/>
        </row>
        <row r="8823">
          <cell r="A8823"/>
          <cell r="B8823"/>
        </row>
        <row r="8824">
          <cell r="A8824"/>
          <cell r="B8824"/>
        </row>
        <row r="8825">
          <cell r="A8825"/>
          <cell r="B8825"/>
        </row>
        <row r="8826">
          <cell r="A8826"/>
          <cell r="B8826"/>
        </row>
        <row r="8827">
          <cell r="A8827"/>
          <cell r="B8827"/>
        </row>
        <row r="8828">
          <cell r="A8828"/>
          <cell r="B8828"/>
        </row>
        <row r="8829">
          <cell r="A8829"/>
          <cell r="B8829"/>
        </row>
        <row r="8830">
          <cell r="A8830"/>
          <cell r="B8830"/>
        </row>
        <row r="8831">
          <cell r="A8831"/>
          <cell r="B8831"/>
        </row>
        <row r="8832">
          <cell r="A8832"/>
          <cell r="B8832"/>
        </row>
        <row r="8833">
          <cell r="A8833"/>
          <cell r="B8833"/>
        </row>
        <row r="8834">
          <cell r="A8834"/>
          <cell r="B8834"/>
        </row>
        <row r="8835">
          <cell r="A8835"/>
          <cell r="B8835"/>
        </row>
        <row r="8836">
          <cell r="A8836"/>
          <cell r="B8836"/>
        </row>
        <row r="8837">
          <cell r="A8837"/>
          <cell r="B8837"/>
        </row>
        <row r="8838">
          <cell r="A8838"/>
          <cell r="B8838"/>
        </row>
        <row r="8839">
          <cell r="A8839"/>
          <cell r="B8839"/>
        </row>
        <row r="8840">
          <cell r="A8840"/>
          <cell r="B8840"/>
        </row>
        <row r="8841">
          <cell r="A8841"/>
          <cell r="B8841"/>
        </row>
        <row r="8842">
          <cell r="A8842"/>
          <cell r="B8842"/>
        </row>
        <row r="8843">
          <cell r="A8843"/>
          <cell r="B8843"/>
        </row>
        <row r="8844">
          <cell r="A8844"/>
          <cell r="B8844"/>
        </row>
        <row r="8845">
          <cell r="A8845"/>
          <cell r="B8845"/>
        </row>
        <row r="8846">
          <cell r="A8846"/>
          <cell r="B8846"/>
        </row>
        <row r="8847">
          <cell r="A8847"/>
          <cell r="B8847"/>
        </row>
        <row r="8848">
          <cell r="A8848"/>
          <cell r="B8848"/>
        </row>
        <row r="8849">
          <cell r="A8849"/>
          <cell r="B8849"/>
        </row>
        <row r="8850">
          <cell r="A8850"/>
          <cell r="B8850"/>
        </row>
        <row r="8851">
          <cell r="A8851"/>
          <cell r="B8851"/>
        </row>
        <row r="8852">
          <cell r="A8852"/>
          <cell r="B8852"/>
        </row>
        <row r="8853">
          <cell r="A8853"/>
          <cell r="B8853"/>
        </row>
        <row r="8854">
          <cell r="A8854"/>
          <cell r="B8854"/>
        </row>
        <row r="8855">
          <cell r="A8855"/>
          <cell r="B8855"/>
        </row>
      </sheetData>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Pack, Andrew" id="{3603CF81-8633-46F4-8983-E095A6FBD4DE}" userId="S::Andrew.Pack@Honeywell.com::f9b6d3c0-1ef7-475d-ab4b-caa8252cdbbf" providerId="AD"/>
  <person displayName="Vale, Walter (SR-Power Systems)" id="{30B90AFB-D700-4715-946E-3F0F82132F1E}" userId="S::Walter.Vale@Honeywell.com::5cef301e-eeb0-4200-983e-490348eb990c" providerId="AD"/>
  <person displayName="Klever, Kalli (She/Her/Hers)" id="{6E96C62B-2CFC-4858-9CAB-69D73E17F80B}" userId="S::Kalli.Klever@Honeywell.com::97454d6b-c6fb-4f73-9cc5-2a4fa871b21a" providerId="AD"/>
  <person displayName="Coronado, Melisa" id="{F87AE234-DCBA-44D9-A462-9F25E5804E12}" userId="S::Melisa.Coronado@Honeywell.com::61e51e5f-c237-431c-9e77-8a4d0239a653" providerId="AD"/>
  <person displayName="Mieles Alvarez, Cristina (Engines VS)" id="{719FBC98-FAF5-4D03-8931-64C7056595CF}" userId="S::Cristina.MielesAlvarez@Honeywell.com::2f158fbc-6d97-45bf-a523-231a473d35c2" providerId="AD"/>
  <person displayName="Coronado, Melisa" id="{0457346D-A300-4453-8073-F615F47C0A72}" userId="S::Melisa.Coronado@HoneywellAerospace.com::c9a0988f-8f11-4945-9b5a-9a273766520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4" dT="2025-03-03T14:28:13.21" personId="{719FBC98-FAF5-4D03-8931-64C7056595CF}" id="{08BC158A-969E-4D67-839D-FF33265E984F}">
    <text>Only Applicable for Power Systems</text>
  </threadedComment>
  <threadedComment ref="J7" dT="2025-12-11T20:19:12.91" personId="{F87AE234-DCBA-44D9-A462-9F25E5804E12}" id="{E52FB5DD-51A0-4D57-B63A-F9D92FCF6C5C}">
    <text>PSC = Procurement Spec</text>
  </threadedComment>
  <threadedComment ref="P7" dT="2025-10-01T13:56:22.83" personId="{3603CF81-8633-46F4-8983-E095A6FBD4DE}" id="{0FC57DC6-17D1-4E3E-B52D-8C4440F48F92}">
    <text>BTP FAIR Only will not require a TDR, but to efficiently provide a link to PFEP tab not blanking this out, but leaving as grey</text>
  </threadedComment>
  <threadedComment ref="Y7" dT="2025-09-29T14:07:39.83" personId="{3603CF81-8633-46F4-8983-E095A6FBD4DE}" id="{A0FFCB2B-7DEF-40C0-9909-8D1D80EE7C83}">
    <text>Often up front drawing changes will be found during EPA/TDR, later dwg changes will need to be built into the supplier build time</text>
  </threadedComment>
  <threadedComment ref="AB7" dT="2026-01-22T21:17:03.54" personId="{F87AE234-DCBA-44D9-A462-9F25E5804E12}" id="{91E1CCED-81A8-4506-B259-8AEBC43445FE}">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5836E495-177A-4B77-94F9-F0E91E49CE3A}">
    <text>Largely unused anymore, can set as 0 duration</text>
  </threadedComment>
  <threadedComment ref="AQ7" dT="2025-09-29T14:06:27.26" personId="{3603CF81-8633-46F4-8983-E095A6FBD4DE}" id="{A2889480-F7FE-4B34-9B21-D8D24F326420}">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C2F0857A-BC02-4A1B-B073-D529FB241A2D}">
    <text>Once you have validation plan from EPA/TDR this can be completed even before formal EPA/TDR approval in ERS or TeamCenter</text>
  </threadedComment>
  <threadedComment ref="AT7" dT="2025-12-11T20:33:29.64" personId="{F87AE234-DCBA-44D9-A462-9F25E5804E12}" id="{7C377351-75F1-4E8B-BD2B-712790652B45}" parentId="{C2F0857A-BC02-4A1B-B073-D529FB241A2D}">
    <text>ECE = Engineering Cost Estimate</text>
  </threadedComment>
  <threadedComment ref="AZ7" dT="2025-09-29T14:04:42.07" personId="{3603CF81-8633-46F4-8983-E095A6FBD4DE}" id="{A16F8D56-6F5C-4F8E-AA0A-FD5D9EB1665E}">
    <text>Most projects will not have this, if N/A then 0 for duration</text>
  </threadedComment>
  <threadedComment ref="BI7" dT="2025-09-29T14:04:20.73" personId="{3603CF81-8633-46F4-8983-E095A6FBD4DE}" id="{21E66285-8263-4788-9556-F2DECE98E869}">
    <text>Initial meetings with internal team and/or go-to supplier</text>
  </threadedComment>
  <threadedComment ref="BL7" dT="2026-02-13T23:14:17.74" personId="{0457346D-A300-4453-8073-F615F47C0A72}" id="{CCDAF93E-687F-4B88-AEA7-7D35A6175C67}">
    <text>Design Review Engineering Approval</text>
  </threadedComment>
  <threadedComment ref="BO7" dT="2024-08-30T23:05:10.03" personId="{6E96C62B-2CFC-4858-9CAB-69D73E17F80B}" id="{F7B9C23B-4F78-4195-8323-289C59E3B1FF}">
    <text>Level 1 Design Review (DR)</text>
  </threadedComment>
  <threadedComment ref="BR7" dT="2024-08-30T23:05:10.03" personId="{6E96C62B-2CFC-4858-9CAB-69D73E17F80B}" id="{FF2B224C-40C5-4EAC-8420-46F49DF3E3BB}">
    <text>Technical Concept Review</text>
  </threadedComment>
  <threadedComment ref="BU7" dT="2024-08-30T23:10:36.70" personId="{6E96C62B-2CFC-4858-9CAB-69D73E17F80B}" id="{A1A22307-2509-4EE9-B5AB-DE109CD116A9}">
    <text>Preliminary Design Review (PDR)</text>
  </threadedComment>
  <threadedComment ref="BX7" dT="2024-08-30T23:10:49.21" personId="{6E96C62B-2CFC-4858-9CAB-69D73E17F80B}" id="{AA1753E6-8A4B-4CE8-8D6A-CF6B3B221B35}">
    <text>Critical Design Review (CDR)</text>
  </threadedComment>
  <threadedComment ref="CA7" dT="2024-02-17T15:07:26.59" personId="{30B90AFB-D700-4715-946E-3F0F82132F1E}" id="{670E1313-D1FF-4E56-B630-9D6C89DE3B96}">
    <text>Includes time to close all CDR actions for BTS parts</text>
  </threadedComment>
  <threadedComment ref="CG7" dT="2024-08-30T23:50:08.88" personId="{6E96C62B-2CFC-4858-9CAB-69D73E17F80B}" id="{73263EC4-6F5A-48A3-8550-1513F40E6B66}">
    <text>Approval date is the combination of HON &amp; Customer, if applicable</text>
  </threadedComment>
  <threadedComment ref="CG7" dT="2024-08-30T23:51:21.74" personId="{6E96C62B-2CFC-4858-9CAB-69D73E17F80B}" id="{43B60839-2A2F-4B75-AFBD-2144F8D5F510}" parentId="{73263EC4-6F5A-48A3-8550-1513F40E6B66}">
    <text>HON Approval: 15 WD
HON + Cust Approval: 60WD</text>
  </threadedComment>
  <threadedComment ref="CP7" dT="2026-01-14T00:13:25.07" personId="{F87AE234-DCBA-44D9-A462-9F25E5804E12}" id="{8E554F45-B388-4AEB-8B40-BF00E768870A}">
    <text>The baseline for Execution milestones will be set up once there is an Actual Completion Date for the FAIR PO Acknowledgment by the supplier</text>
  </threadedComment>
  <threadedComment ref="CT7" dT="2024-02-17T15:09:08.82" personId="{30B90AFB-D700-4715-946E-3F0F82132F1E}" id="{3D4F271B-0118-4D98-9BFD-F9DDD2F44661}">
    <text>Baseline assumes 6 months for material lead-time.  Adjust as needed...</text>
  </threadedComment>
  <threadedComment ref="CW7" dT="2025-09-29T14:02:21.53" personId="{3603CF81-8633-46F4-8983-E095A6FBD4DE}" id="{E9CC74F1-79B2-4822-B53F-72EB84341249}">
    <text>Most projects will not have this, if N/A then 0 for duration</text>
  </threadedComment>
  <threadedComment ref="CZ7" dT="2024-02-17T15:09:08.82" personId="{30B90AFB-D700-4715-946E-3F0F82132F1E}" id="{B41373CF-F784-432A-BB9D-C1E13F5D239B}">
    <text>Baseline assumes 6 months for material lead-time.  Adjust as needed...</text>
  </threadedComment>
  <threadedComment ref="DC7" dT="2024-08-30T23:41:14.49" personId="{6E96C62B-2CFC-4858-9CAB-69D73E17F80B}" id="{8658C90C-3745-4532-A4C1-DFDA147CB2F1}">
    <text>A inchstone plan for this should be created by the PE, adjust the duration to align to the inchstone.  One initial plan is set, cell must be locked by VS IRB/TRB Focal</text>
  </threadedComment>
  <threadedComment ref="DC7" dT="2024-08-30T23:41:41.75" personId="{6E96C62B-2CFC-4858-9CAB-69D73E17F80B}" id="{0C9FBB4B-33E3-4161-B883-1D0655E9A888}" parentId="{8658C90C-3745-4532-A4C1-DFDA147CB2F1}">
    <text>Common items: STICs, Proof &amp; Burst, Fire Test, Fixed Process, Metallurgy, etc.</text>
  </threadedComment>
  <threadedComment ref="DC7" dT="2024-08-30T23:42:22.65" personId="{6E96C62B-2CFC-4858-9CAB-69D73E17F80B}" id="{F7ED4437-17AC-4FC8-85C5-0EC2DEADBC5B}" parentId="{8658C90C-3745-4532-A4C1-DFDA147CB2F1}">
    <text>If N/A - adjust duration to "0"</text>
  </threadedComment>
  <threadedComment ref="DF7" dT="2024-08-30T23:46:42.46" personId="{6E96C62B-2CFC-4858-9CAB-69D73E17F80B}" id="{D2C72F31-62D7-4F21-930F-1103B5193EA9}">
    <text>At baseline adjust duration for schedule and then have cell locked by VS IRB/TRB focal</text>
  </threadedComment>
  <threadedComment ref="DP7" dT="2021-08-03T19:17:36.40" personId="{30B90AFB-D700-4715-946E-3F0F82132F1E}" id="{3BC82244-D1CE-43D8-9AD9-5839D30EA82B}">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65B6615F-DEA1-4E32-B4A3-3E45EF21615B}">
    <text>A inchstone plan for this should be created by the PE, adjust the duration to align to the inchstone.  One initial plan is set, cell must be locked by VS IRB/TRB Focal</text>
  </threadedComment>
  <threadedComment ref="DS7" dT="2024-08-30T23:41:41.75" personId="{6E96C62B-2CFC-4858-9CAB-69D73E17F80B}" id="{004B17F6-3C12-4FD6-9903-600B03441B97}" parentId="{65B6615F-DEA1-4E32-B4A3-3E45EF21615B}">
    <text>Common items: STICs, Proof &amp; Burst, Fire Test, Fixed Process, Metallurgy, etc.</text>
  </threadedComment>
  <threadedComment ref="DS7" dT="2024-08-30T23:42:22.65" personId="{6E96C62B-2CFC-4858-9CAB-69D73E17F80B}" id="{67DCE81E-B0B7-45C9-BC8D-D35854736C6D}" parentId="{65B6615F-DEA1-4E32-B4A3-3E45EF21615B}">
    <text>If N/A - adjust duration to "0"</text>
  </threadedComment>
  <threadedComment ref="EA7" dT="2024-08-31T00:01:45.87" personId="{6E96C62B-2CFC-4858-9CAB-69D73E17F80B}" id="{6A38574B-E458-4FB3-82F7-683CFE6BE099}">
    <text>A inchstone plan for this should be created by the PE, adjust the duration to align to the inchstone.  One initial plan is set, cell must be locked by VS IRB/TRB Focal</text>
  </threadedComment>
  <threadedComment ref="EA7" dT="2024-08-31T00:02:15.25" personId="{6E96C62B-2CFC-4858-9CAB-69D73E17F80B}" id="{41B79F6C-F2FB-4BE8-B601-8FFF465F00B5}" parentId="{6A38574B-E458-4FB3-82F7-683CFE6BE099}">
    <text>Common items: Machining trials, engine test</text>
  </threadedComment>
  <threadedComment ref="EE7" dT="2024-08-31T00:08:03.67" personId="{6E96C62B-2CFC-4858-9CAB-69D73E17F80B}" id="{771A4593-9052-4961-8D7E-B753A98C576A}">
    <text>For new PNs customer approval can come after SS1 elevation, however for same PN customer approval is needed prior to SS1 elevation.</text>
  </threadedComment>
  <threadedComment ref="EE7" dT="2025-09-29T14:01:06.44" personId="{3603CF81-8633-46F4-8983-E095A6FBD4DE}" id="{9D697D20-D3CF-4320-BBE0-B2A9F85033DD}" parentId="{771A4593-9052-4961-8D7E-B753A98C576A}">
    <text>This is all of the post test reports being completed, examples: engine test report, gear report, STR, FTR, etc. Anything that is needed for the SS1 ECN.</text>
  </threadedComment>
  <threadedComment ref="EE7" dT="2025-10-01T14:09:24.21" personId="{3603CF81-8633-46F4-8983-E095A6FBD4DE}" id="{5F391991-9586-4F07-868C-FEA2C917DF5A}" parentId="{771A4593-9052-4961-8D7E-B753A98C576A}">
    <text>FAIR Only parts are greyed out since N/A, leaving a date in here to support PFEP link</text>
  </threadedComment>
  <threadedComment ref="EN7" dT="2024-09-03T23:54:07.33" personId="{6E96C62B-2CFC-4858-9CAB-69D73E17F80B}" id="{E0410239-E63C-4102-B2B4-9D078268B850}">
    <text>If N/A change duration to 0</text>
  </threadedComment>
  <threadedComment ref="EQ7" dT="2024-09-03T23:54:07.33" personId="{6E96C62B-2CFC-4858-9CAB-69D73E17F80B}" id="{51FCA388-CA91-43F8-B6B9-586774A84E1A}">
    <text>If N/A change duration to 0</text>
  </threadedComment>
  <threadedComment ref="ET7" dT="2024-09-03T23:54:07.33" personId="{6E96C62B-2CFC-4858-9CAB-69D73E17F80B}" id="{ECAF61EE-7041-4B4F-A868-10D3EF070DC4}">
    <text>If N/A change duration to 0</text>
  </threadedComment>
  <threadedComment ref="FC7" dT="2023-02-13T16:15:11.97" personId="{30B90AFB-D700-4715-946E-3F0F82132F1E}" id="{A6A5D544-D923-427A-A376-59A999BFBDE2}">
    <text>4 to 5 weeks after SS1 Elevation.</text>
  </threadedComment>
  <threadedComment ref="FI7" dT="2025-09-29T13:59:17.28" personId="{3603CF81-8633-46F4-8983-E095A6FBD4DE}" id="{BAFCC0C7-5872-4DA2-858B-D8F3EA0E2E4E}">
    <text>When all actions completed including final audit pass</text>
  </threadedComment>
  <threadedComment ref="FL7" dT="2024-10-31T20:35:42.05" personId="{719FBC98-FAF5-4D03-8931-64C7056595CF}" id="{9C5433C9-2195-444D-AF1C-1FB2CF7BB802}">
    <text>Production Cutover Date should match your 1st Production Delivery Date.</text>
  </threadedComment>
  <threadedComment ref="FO7" dT="2025-09-29T13:58:40.50" personId="{3603CF81-8633-46F4-8983-E095A6FBD4DE}" id="{042611B2-FFBA-4E8F-9946-248F6B9B8165}">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1C6C478-2F06-410E-AE6C-7610DB8527A0}">
    <text>Only use 2nd line of each pair for Project name, helps with filters</text>
  </threadedComment>
  <threadedComment ref="B8" dT="2025-10-01T13:40:09.48" personId="{3603CF81-8633-46F4-8983-E095A6FBD4DE}" id="{D01D9706-9BF2-4112-8754-A78B011C0A74}">
    <text>Only use 2nd line of each pair for AID, helps with filters</text>
  </threadedComment>
  <threadedComment ref="C8" dT="2025-10-01T13:39:50.60" personId="{3603CF81-8633-46F4-8983-E095A6FBD4DE}" id="{2C848EBF-A0A3-436F-A5BC-2A57C120894A}">
    <text>Only use 2nd line of each pair for PN, helps with filters</text>
  </threadedComment>
  <threadedComment ref="E8" dT="2026-01-09T17:49:13.36" personId="{F87AE234-DCBA-44D9-A462-9F25E5804E12}" id="{944DA72B-9826-47E7-86C2-FA15F8CC21CE}">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43E56FF7-CEEB-4EA0-889A-B8DC4990A2B9}">
    <text>Select the Pair of lines to use based on what type of project you have, likely will know this up front but 100% after EPA/TDR</text>
  </threadedComment>
  <threadedComment ref="H8" dT="2026-01-05T19:20:02.78" personId="{F87AE234-DCBA-44D9-A462-9F25E5804E12}" id="{DD206D59-72EF-49E8-A62D-FD721E544CD4}">
    <text>The Baseline will change to Execution once there is an Actual Completion Date for the FAIR Order Acknowledged</text>
  </threadedComment>
  <threadedComment ref="EK8" dT="2022-07-20T19:15:49.00" personId="{30B90AFB-D700-4715-946E-3F0F82132F1E}" id="{E2FA127D-6371-4205-BDD1-783367837589}">
    <text>AG-5924 MRR/MRA is not applicable for suppliers per AG-5924 paragraph 3. Applicability -  The MRA is only applicable to products manufactured at Honeywell locations.</text>
  </threadedComment>
  <threadedComment ref="EN8" dT="2022-05-17T16:52:27.19" personId="{30B90AFB-D700-4715-946E-3F0F82132F1E}" id="{6ABCC524-3B25-4C74-8718-8D7735E7197F}">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C1571C1F-B7F9-4681-947C-4C9BD939E5B1}" parentId="{6ABCC524-3B25-4C74-8718-8D7735E7197F}">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B4205A6A-CA8C-4F1B-B620-F279DDC972E6}">
    <text>For new PNs customer approval can come after SS1 elevation, however for same PN customer approval is needed prior to SS1 elevation.</text>
  </threadedComment>
  <threadedComment ref="EZ8" dT="2022-07-20T19:15:49.00" personId="{30B90AFB-D700-4715-946E-3F0F82132F1E}" id="{B0B48EB2-1E79-4E96-9467-F9DF4E16AAE0}">
    <text>AG-5924 MRR/MRA is not applicable for suppliers per AG-5924 paragraph 3. Applicability -  The MRA is only applicable to products manufactured at Honeywell locations.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I4" dT="2025-03-03T14:28:13.21" personId="{719FBC98-FAF5-4D03-8931-64C7056595CF}" id="{BE2375AC-1FAF-44E1-9EC4-C93788DC684C}">
    <text>Only Applicable for Power Systems</text>
  </threadedComment>
  <threadedComment ref="J7" dT="2025-12-11T20:19:12.91" personId="{F87AE234-DCBA-44D9-A462-9F25E5804E12}" id="{66875AA3-88D8-4D84-BF53-5839F1A26708}">
    <text>PSC = Procurement Spec</text>
  </threadedComment>
  <threadedComment ref="P7" dT="2025-10-01T13:56:22.83" personId="{3603CF81-8633-46F4-8983-E095A6FBD4DE}" id="{7C683C32-962F-4806-A1AB-6E6964B34523}">
    <text>BTP FAIR Only will not require a TDR, but to efficiently provide a link to PFEP tab not blanking this out, but leaving as grey</text>
  </threadedComment>
  <threadedComment ref="Y7" dT="2025-09-29T14:07:39.83" personId="{3603CF81-8633-46F4-8983-E095A6FBD4DE}" id="{5653E446-D393-40C1-A794-4800335652B4}">
    <text>Often up front drawing changes will be found during EPA/TDR, later dwg changes will need to be built into the supplier build time</text>
  </threadedComment>
  <threadedComment ref="AB7" dT="2026-01-22T21:17:03.54" personId="{F87AE234-DCBA-44D9-A462-9F25E5804E12}" id="{5AF57A17-74DC-4747-BE7A-3ECB75BAA857}">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37CF6CAF-52BB-4529-8422-966BD1CCE868}">
    <text>Largely unused anymore, can set as 0 duration</text>
  </threadedComment>
  <threadedComment ref="AQ7" dT="2025-09-29T14:06:27.26" personId="{3603CF81-8633-46F4-8983-E095A6FBD4DE}" id="{824A813A-6CF6-48FE-A258-EEDC94DB712A}">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4D0D99E7-0094-428B-B4F4-7B322D6B90F4}">
    <text>Once you have validation plan from EPA/TDR this can be completed even before formal EPA/TDR approval in ERS or TeamCenter</text>
  </threadedComment>
  <threadedComment ref="AT7" dT="2025-12-11T20:33:29.64" personId="{F87AE234-DCBA-44D9-A462-9F25E5804E12}" id="{D36D7EE2-73DA-4214-AD29-75A35DF35012}" parentId="{4D0D99E7-0094-428B-B4F4-7B322D6B90F4}">
    <text>ECE = Engineering Cost Estimate</text>
  </threadedComment>
  <threadedComment ref="AZ7" dT="2025-09-29T14:04:42.07" personId="{3603CF81-8633-46F4-8983-E095A6FBD4DE}" id="{2C4E589F-A397-4587-9013-84365E829417}">
    <text>Most projects will not have this, if N/A then 0 for duration</text>
  </threadedComment>
  <threadedComment ref="BI7" dT="2025-09-29T14:04:20.73" personId="{3603CF81-8633-46F4-8983-E095A6FBD4DE}" id="{D97378B8-583E-448E-86BE-F41E0762D426}">
    <text>Initial meetings with internal team and/or go-to supplier</text>
  </threadedComment>
  <threadedComment ref="BO7" dT="2024-08-30T23:05:10.03" personId="{6E96C62B-2CFC-4858-9CAB-69D73E17F80B}" id="{14D2AC08-373C-4BC2-AC0D-85F8A0D6A8AA}">
    <text>Level 1 Design Review (DR)</text>
  </threadedComment>
  <threadedComment ref="BR7" dT="2024-08-30T23:05:10.03" personId="{6E96C62B-2CFC-4858-9CAB-69D73E17F80B}" id="{A3C47215-1FE3-4A49-8B37-F428270BEE7B}">
    <text>Technical Concept Review</text>
  </threadedComment>
  <threadedComment ref="BU7" dT="2024-08-30T23:10:36.70" personId="{6E96C62B-2CFC-4858-9CAB-69D73E17F80B}" id="{2345DA65-6CF7-49C3-A58C-1E7B3DE155A9}">
    <text>Preliminary Design Review (PDR)</text>
  </threadedComment>
  <threadedComment ref="BX7" dT="2024-08-30T23:10:49.21" personId="{6E96C62B-2CFC-4858-9CAB-69D73E17F80B}" id="{D8214D93-D1B2-45B3-B845-B36EB771B5E9}">
    <text>Critical Design Review (CDR)</text>
  </threadedComment>
  <threadedComment ref="CA7" dT="2024-02-17T15:07:26.59" personId="{30B90AFB-D700-4715-946E-3F0F82132F1E}" id="{F80009F5-45DC-4AD7-91C7-8A71CD4B93B1}">
    <text>Includes time to close all CDR actions for BTS parts</text>
  </threadedComment>
  <threadedComment ref="CG7" dT="2024-08-30T23:50:08.88" personId="{6E96C62B-2CFC-4858-9CAB-69D73E17F80B}" id="{A5F5E895-759C-4BEE-B19F-4DC31DEBE3DB}">
    <text>Approval date is the combination of HON &amp; Customer, if applicable</text>
  </threadedComment>
  <threadedComment ref="CG7" dT="2024-08-30T23:51:21.74" personId="{6E96C62B-2CFC-4858-9CAB-69D73E17F80B}" id="{26DF4F96-7264-4563-A4EC-2549BBB422E3}" parentId="{A5F5E895-759C-4BEE-B19F-4DC31DEBE3DB}">
    <text>HON Approval: 15 WD
HON + Cust Approval: 60WD</text>
  </threadedComment>
  <threadedComment ref="CP7" dT="2026-01-14T00:13:25.07" personId="{F87AE234-DCBA-44D9-A462-9F25E5804E12}" id="{01E7CAAD-4D42-4568-8253-AE173FA9BE5B}">
    <text>The baseline for Execution milestones will be set up once there is an Actual Completion Date for the FAIR PO Acknowledgment by the supplier</text>
  </threadedComment>
  <threadedComment ref="CT7" dT="2024-02-17T15:09:08.82" personId="{30B90AFB-D700-4715-946E-3F0F82132F1E}" id="{D08A23F8-16DA-4C83-93FE-8492D92356C8}">
    <text>Baseline assumes 6 months for material lead-time.  Adjust as needed...</text>
  </threadedComment>
  <threadedComment ref="CW7" dT="2025-09-29T14:02:21.53" personId="{3603CF81-8633-46F4-8983-E095A6FBD4DE}" id="{E7537BC0-5699-48AD-9736-584B1942D35D}">
    <text>Most projects will not have this, if N/A then 0 for duration</text>
  </threadedComment>
  <threadedComment ref="CZ7" dT="2024-02-17T15:09:08.82" personId="{30B90AFB-D700-4715-946E-3F0F82132F1E}" id="{31848541-5900-4B87-89CD-C8EF7B691CDC}">
    <text>Baseline assumes 6 months for material lead-time.  Adjust as needed...</text>
  </threadedComment>
  <threadedComment ref="DC7" dT="2024-08-30T23:41:14.49" personId="{6E96C62B-2CFC-4858-9CAB-69D73E17F80B}" id="{031108AA-8D04-4990-BBCF-DD2098939F33}">
    <text>A inchstone plan for this should be created by the PE, adjust the duration to align to the inchstone.  One initial plan is set, cell must be locked by VS IRB/TRB Focal</text>
  </threadedComment>
  <threadedComment ref="DC7" dT="2024-08-30T23:41:41.75" personId="{6E96C62B-2CFC-4858-9CAB-69D73E17F80B}" id="{DFE49811-DF0B-4BB8-BC8F-09EC15C37153}" parentId="{031108AA-8D04-4990-BBCF-DD2098939F33}">
    <text>Common items: STICs, Proof &amp; Burst, Fire Test, Fixed Process, Metallurgy, etc.</text>
  </threadedComment>
  <threadedComment ref="DC7" dT="2024-08-30T23:42:22.65" personId="{6E96C62B-2CFC-4858-9CAB-69D73E17F80B}" id="{AFFE4C02-A2DD-484F-B189-F657DC5A10C0}" parentId="{031108AA-8D04-4990-BBCF-DD2098939F33}">
    <text>If N/A - adjust duration to "0"</text>
  </threadedComment>
  <threadedComment ref="DF7" dT="2024-08-30T23:46:42.46" personId="{6E96C62B-2CFC-4858-9CAB-69D73E17F80B}" id="{A17DACD4-9174-4F7B-BF3B-3B8DB1AA6D75}">
    <text>At baseline adjust duration for schedule and then have cell locked by VS IRB/TRB focal</text>
  </threadedComment>
  <threadedComment ref="DP7" dT="2021-08-03T19:17:36.40" personId="{30B90AFB-D700-4715-946E-3F0F82132F1E}" id="{B70C87FD-4CEE-4A8D-8E61-009C17EC9285}">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DC7FE293-C0CC-4BF1-A7C2-3363470F8714}">
    <text>A inchstone plan for this should be created by the PE, adjust the duration to align to the inchstone.  One initial plan is set, cell must be locked by VS IRB/TRB Focal</text>
  </threadedComment>
  <threadedComment ref="DS7" dT="2024-08-30T23:41:41.75" personId="{6E96C62B-2CFC-4858-9CAB-69D73E17F80B}" id="{E120446C-B229-44C1-80EE-573D46C01087}" parentId="{DC7FE293-C0CC-4BF1-A7C2-3363470F8714}">
    <text>Common items: STICs, Proof &amp; Burst, Fire Test, Fixed Process, Metallurgy, etc.</text>
  </threadedComment>
  <threadedComment ref="DS7" dT="2024-08-30T23:42:22.65" personId="{6E96C62B-2CFC-4858-9CAB-69D73E17F80B}" id="{FF00242D-9D86-4185-82FB-9D2D23DCF432}" parentId="{DC7FE293-C0CC-4BF1-A7C2-3363470F8714}">
    <text>If N/A - adjust duration to "0"</text>
  </threadedComment>
  <threadedComment ref="EA7" dT="2024-08-31T00:01:45.87" personId="{6E96C62B-2CFC-4858-9CAB-69D73E17F80B}" id="{8CDAC6A0-56FE-46A3-AB76-6DD10A2BD26C}">
    <text>A inchstone plan for this should be created by the PE, adjust the duration to align to the inchstone.  One initial plan is set, cell must be locked by VS IRB/TRB Focal</text>
  </threadedComment>
  <threadedComment ref="EA7" dT="2024-08-31T00:02:15.25" personId="{6E96C62B-2CFC-4858-9CAB-69D73E17F80B}" id="{676D4E40-1CAB-46B4-9FE7-589DD1E84FB9}" parentId="{8CDAC6A0-56FE-46A3-AB76-6DD10A2BD26C}">
    <text>Common items: Machining trials, engine test</text>
  </threadedComment>
  <threadedComment ref="EE7" dT="2024-08-31T00:08:03.67" personId="{6E96C62B-2CFC-4858-9CAB-69D73E17F80B}" id="{FEE21791-EC55-4C04-BD78-64F3CC5D57BA}">
    <text>For new PNs customer approval can come after SS1 elevation, however for same PN customer approval is needed prior to SS1 elevation.</text>
  </threadedComment>
  <threadedComment ref="EE7" dT="2025-09-29T14:01:06.44" personId="{3603CF81-8633-46F4-8983-E095A6FBD4DE}" id="{739878B5-D7A5-42A0-AEAD-051A53FB94A9}" parentId="{FEE21791-EC55-4C04-BD78-64F3CC5D57BA}">
    <text>This is all of the post test reports being completed, examples: engine test report, gear report, STR, FTR, etc. Anything that is needed for the SS1 ECN.</text>
  </threadedComment>
  <threadedComment ref="EE7" dT="2025-10-01T14:09:24.21" personId="{3603CF81-8633-46F4-8983-E095A6FBD4DE}" id="{E6A400F7-A720-4270-92A7-B96C1841D667}" parentId="{FEE21791-EC55-4C04-BD78-64F3CC5D57BA}">
    <text>FAIR Only parts are greyed out since N/A, leaving a date in here to support PFEP link</text>
  </threadedComment>
  <threadedComment ref="EN7" dT="2024-09-03T23:54:07.33" personId="{6E96C62B-2CFC-4858-9CAB-69D73E17F80B}" id="{9AD321C6-E1D9-4FDF-9937-701F038A0377}">
    <text>If N/A change duration to 0</text>
  </threadedComment>
  <threadedComment ref="EQ7" dT="2024-09-03T23:54:07.33" personId="{6E96C62B-2CFC-4858-9CAB-69D73E17F80B}" id="{29032A7E-71C5-4C1F-9F24-B6B9A77EF185}">
    <text>If N/A change duration to 0</text>
  </threadedComment>
  <threadedComment ref="ET7" dT="2024-09-03T23:54:07.33" personId="{6E96C62B-2CFC-4858-9CAB-69D73E17F80B}" id="{A4708FEF-8C18-4144-B3C6-748E0A041265}">
    <text>If N/A change duration to 0</text>
  </threadedComment>
  <threadedComment ref="FC7" dT="2023-02-13T16:15:11.97" personId="{30B90AFB-D700-4715-946E-3F0F82132F1E}" id="{1A7F99C2-82A0-45F7-9A2C-D5A86A99C631}">
    <text>4 to 5 weeks after SS1 Elevation.</text>
  </threadedComment>
  <threadedComment ref="FI7" dT="2025-09-29T13:59:17.28" personId="{3603CF81-8633-46F4-8983-E095A6FBD4DE}" id="{52124900-563F-4B55-8AF7-A30CB795B34B}">
    <text>When all actions completed including final audit pass</text>
  </threadedComment>
  <threadedComment ref="FL7" dT="2024-10-31T20:35:42.05" personId="{719FBC98-FAF5-4D03-8931-64C7056595CF}" id="{9B0E2A01-42FA-4319-8198-8CDC54B5D1A1}">
    <text>Production Cutover Date should match your 1st Production Delivery Date.</text>
  </threadedComment>
  <threadedComment ref="FO7" dT="2025-09-29T13:58:40.50" personId="{3603CF81-8633-46F4-8983-E095A6FBD4DE}" id="{5BD3A202-51E5-4C14-8991-8AFD7E94E761}">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93A5B57-37A4-4D7A-BE86-C5C05B9BC6AE}">
    <text>Only use 2nd line of each pair for Project name, helps with filters</text>
  </threadedComment>
  <threadedComment ref="B8" dT="2025-10-01T13:40:09.48" personId="{3603CF81-8633-46F4-8983-E095A6FBD4DE}" id="{F847554A-54F2-45F2-B61F-704798CE2FB0}">
    <text>Only use 2nd line of each pair for AID, helps with filters</text>
  </threadedComment>
  <threadedComment ref="C8" dT="2025-10-01T13:39:50.60" personId="{3603CF81-8633-46F4-8983-E095A6FBD4DE}" id="{7EB810F2-8894-4EB0-97BB-1A6ECE894423}">
    <text>Only use 2nd line of each pair for PN, helps with filters</text>
  </threadedComment>
  <threadedComment ref="E8" dT="2026-01-09T17:49:13.36" personId="{F87AE234-DCBA-44D9-A462-9F25E5804E12}" id="{881D75AE-2AD0-419D-8BFF-F7956CFB8117}">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726E5D60-889F-4B30-974F-188BC48C3E1B}">
    <text>Select the Pair of lines to use based on what type of project you have, likely will know this up front but 100% after EPA/TDR</text>
  </threadedComment>
  <threadedComment ref="H8" dT="2026-01-05T19:20:02.78" personId="{F87AE234-DCBA-44D9-A462-9F25E5804E12}" id="{95C3C469-5D1C-4FD2-918F-12C6DEA588F2}">
    <text>The Baseline will change to Execution once there is an Actual Completion Date for the FAIR Order Acknowledged</text>
  </threadedComment>
  <threadedComment ref="EK8" dT="2022-07-20T19:15:49.00" personId="{30B90AFB-D700-4715-946E-3F0F82132F1E}" id="{22E25760-5825-4B1F-AB5F-F312CBAE0AB4}">
    <text>AG-5924 MRR/MRA is not applicable for suppliers per AG-5924 paragraph 3. Applicability -  The MRA is only applicable to products manufactured at Honeywell locations.</text>
  </threadedComment>
  <threadedComment ref="EN8" dT="2022-05-17T16:52:27.19" personId="{30B90AFB-D700-4715-946E-3F0F82132F1E}" id="{4982CBF0-3EB0-40A8-BCE8-F06A0802EB1C}">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513EFEC9-6C44-4262-A627-CF5AA1CA2AB1}" parentId="{4982CBF0-3EB0-40A8-BCE8-F06A0802EB1C}">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FB1F36B9-04E3-491C-AB3C-07EFB1DCA83E}">
    <text>For new PNs customer approval can come after SS1 elevation, however for same PN customer approval is needed prior to SS1 elevation.</text>
  </threadedComment>
  <threadedComment ref="EZ8" dT="2022-07-20T19:15:49.00" personId="{30B90AFB-D700-4715-946E-3F0F82132F1E}" id="{D31E8C5D-06AB-466B-AE26-8E6E4E49F062}">
    <text>AG-5924 MRR/MRA is not applicable for suppliers per AG-5924 paragraph 3. Applicability -  The MRA is only applicable to products manufactured at Honeywell locations.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honaero-my.sharepoint.com/personal/abhishek_das_honeywellaerospace_com/Documents/Simplified%20IMS%20%26%20Inchston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C8D8E-E5E2-4882-9088-647078EC0BDF}">
  <sheetPr codeName="Sheet1">
    <tabColor rgb="FFFFFF00"/>
  </sheetPr>
  <dimension ref="A1:G148"/>
  <sheetViews>
    <sheetView showGridLines="0" workbookViewId="0">
      <selection activeCell="B5" sqref="B5"/>
    </sheetView>
  </sheetViews>
  <sheetFormatPr defaultRowHeight="15" outlineLevelRow="1" x14ac:dyDescent="0.25"/>
  <cols>
    <col min="1" max="1" width="26.42578125" customWidth="1"/>
    <col min="2" max="2" width="50.85546875" customWidth="1"/>
    <col min="3" max="5" width="10.28515625" customWidth="1"/>
    <col min="6" max="6" width="11.28515625" customWidth="1"/>
  </cols>
  <sheetData>
    <row r="1" spans="1:6" x14ac:dyDescent="0.25">
      <c r="A1" s="171" t="s">
        <v>0</v>
      </c>
      <c r="B1" s="171"/>
      <c r="C1" s="171"/>
      <c r="D1" s="171"/>
      <c r="E1" s="171"/>
      <c r="F1" s="171"/>
    </row>
    <row r="2" spans="1:6" x14ac:dyDescent="0.25">
      <c r="D2" s="175" t="s">
        <v>1</v>
      </c>
      <c r="E2" s="175"/>
      <c r="F2" s="175"/>
    </row>
    <row r="3" spans="1:6" ht="14.45" customHeight="1" x14ac:dyDescent="0.25">
      <c r="A3" s="81" t="s">
        <v>2</v>
      </c>
      <c r="B3" s="82" t="s">
        <v>3</v>
      </c>
      <c r="D3" s="175"/>
      <c r="E3" s="175"/>
      <c r="F3" s="175"/>
    </row>
    <row r="4" spans="1:6" x14ac:dyDescent="0.25">
      <c r="A4" s="83" t="str" cm="1">
        <f t="array" ref="A4">_xlfn.IFS($B$3="","",$B$3="Supplier Name","Supplier Name",$B$3="Project Name","Project Name",$B$3="Project Manager","")</f>
        <v>Project Name</v>
      </c>
      <c r="B4" s="85" t="s">
        <v>4</v>
      </c>
      <c r="C4" s="84"/>
      <c r="D4" s="175"/>
      <c r="E4" s="175"/>
      <c r="F4" s="175"/>
    </row>
    <row r="5" spans="1:6" x14ac:dyDescent="0.25">
      <c r="A5" s="81" t="s">
        <v>5</v>
      </c>
      <c r="B5" s="82" t="s">
        <v>6</v>
      </c>
      <c r="C5" s="49"/>
      <c r="D5" s="175"/>
      <c r="E5" s="175"/>
      <c r="F5" s="175"/>
    </row>
    <row r="6" spans="1:6" ht="30" x14ac:dyDescent="0.25">
      <c r="A6" s="81" t="s">
        <v>7</v>
      </c>
      <c r="B6" s="82" t="s">
        <v>8</v>
      </c>
      <c r="C6" s="49"/>
      <c r="D6" s="175"/>
      <c r="E6" s="175"/>
      <c r="F6" s="175"/>
    </row>
    <row r="8" spans="1:6" x14ac:dyDescent="0.25">
      <c r="A8" s="173" t="s">
        <v>9</v>
      </c>
      <c r="B8" s="173"/>
      <c r="C8" s="173"/>
      <c r="D8" s="173"/>
      <c r="E8" s="173"/>
      <c r="F8" s="173"/>
    </row>
    <row r="9" spans="1:6" ht="75.599999999999994" customHeight="1" x14ac:dyDescent="0.25">
      <c r="A9" s="174" t="s">
        <v>10</v>
      </c>
      <c r="B9" s="174"/>
      <c r="C9" s="174"/>
      <c r="D9" s="174"/>
      <c r="E9" s="174"/>
      <c r="F9" s="174"/>
    </row>
    <row r="10" spans="1:6" ht="52.9" customHeight="1" x14ac:dyDescent="0.25">
      <c r="A10" s="174"/>
      <c r="B10" s="174"/>
      <c r="C10" s="174"/>
      <c r="D10" s="174"/>
      <c r="E10" s="174"/>
      <c r="F10" s="174"/>
    </row>
    <row r="11" spans="1:6" ht="22.9" customHeight="1" x14ac:dyDescent="0.25">
      <c r="A11" s="174"/>
      <c r="B11" s="174"/>
      <c r="C11" s="174"/>
      <c r="D11" s="174"/>
      <c r="E11" s="174"/>
      <c r="F11" s="174"/>
    </row>
    <row r="12" spans="1:6" ht="67.150000000000006" customHeight="1" x14ac:dyDescent="0.25">
      <c r="A12" s="174"/>
      <c r="B12" s="174"/>
      <c r="C12" s="174"/>
      <c r="D12" s="174"/>
      <c r="E12" s="174"/>
      <c r="F12" s="174"/>
    </row>
    <row r="13" spans="1:6" x14ac:dyDescent="0.25">
      <c r="A13" s="73" t="s">
        <v>11</v>
      </c>
      <c r="B13" s="71"/>
      <c r="C13" s="71"/>
      <c r="D13" s="71"/>
      <c r="E13" s="71"/>
      <c r="F13" s="71"/>
    </row>
    <row r="14" spans="1:6" x14ac:dyDescent="0.25">
      <c r="A14" s="74" t="s">
        <v>12</v>
      </c>
      <c r="B14" s="71"/>
      <c r="C14" s="71"/>
      <c r="D14" s="71"/>
      <c r="E14" s="71"/>
      <c r="F14" s="71"/>
    </row>
    <row r="15" spans="1:6" x14ac:dyDescent="0.25">
      <c r="A15" s="72" t="s">
        <v>13</v>
      </c>
      <c r="B15" s="16"/>
      <c r="C15" s="16"/>
      <c r="D15" s="16"/>
      <c r="E15" s="16"/>
      <c r="F15" s="16"/>
    </row>
    <row r="16" spans="1:6" x14ac:dyDescent="0.25">
      <c r="A16" s="93" t="s">
        <v>14</v>
      </c>
      <c r="B16" s="16"/>
      <c r="C16" s="16"/>
      <c r="D16" s="16"/>
      <c r="E16" s="16"/>
      <c r="F16" s="16"/>
    </row>
    <row r="18" spans="1:6" x14ac:dyDescent="0.25">
      <c r="A18" s="172" t="s">
        <v>15</v>
      </c>
      <c r="B18" s="172"/>
      <c r="C18" s="172"/>
      <c r="D18" s="172"/>
      <c r="E18" s="172"/>
      <c r="F18" s="172"/>
    </row>
    <row r="19" spans="1:6" x14ac:dyDescent="0.25">
      <c r="A19" s="97" t="s">
        <v>16</v>
      </c>
      <c r="B19" s="97" t="s">
        <v>17</v>
      </c>
      <c r="C19" s="184" t="s">
        <v>18</v>
      </c>
      <c r="D19" s="184"/>
      <c r="E19" s="184"/>
      <c r="F19" s="97"/>
    </row>
    <row r="20" spans="1:6" ht="42" customHeight="1" outlineLevel="1" x14ac:dyDescent="0.25">
      <c r="A20" s="66" t="s">
        <v>19</v>
      </c>
      <c r="B20" s="67" t="s">
        <v>20</v>
      </c>
      <c r="C20" s="177" t="s">
        <v>21</v>
      </c>
      <c r="D20" s="182"/>
      <c r="E20" s="183"/>
    </row>
    <row r="21" spans="1:6" ht="75" outlineLevel="1" x14ac:dyDescent="0.25">
      <c r="A21" s="68" t="s">
        <v>22</v>
      </c>
      <c r="B21" s="67" t="s">
        <v>23</v>
      </c>
      <c r="C21" s="176" t="s">
        <v>24</v>
      </c>
      <c r="D21" s="176"/>
      <c r="E21" s="176"/>
    </row>
    <row r="22" spans="1:6" ht="105" outlineLevel="1" x14ac:dyDescent="0.25">
      <c r="A22" s="69" t="s">
        <v>25</v>
      </c>
      <c r="B22" s="67" t="s">
        <v>26</v>
      </c>
      <c r="C22" s="177" t="s">
        <v>27</v>
      </c>
      <c r="D22" s="178"/>
      <c r="E22" s="179"/>
    </row>
    <row r="23" spans="1:6" ht="57.6" customHeight="1" outlineLevel="1" x14ac:dyDescent="0.25">
      <c r="A23" s="70" t="s">
        <v>28</v>
      </c>
      <c r="B23" s="67" t="s">
        <v>29</v>
      </c>
      <c r="C23" s="177" t="s">
        <v>30</v>
      </c>
      <c r="D23" s="180"/>
      <c r="E23" s="181"/>
    </row>
    <row r="25" spans="1:6" x14ac:dyDescent="0.25">
      <c r="A25" s="172" t="s">
        <v>31</v>
      </c>
      <c r="B25" s="172"/>
      <c r="C25" s="172"/>
      <c r="D25" s="172"/>
      <c r="E25" s="172"/>
      <c r="F25" s="172"/>
    </row>
    <row r="26" spans="1:6" hidden="1" outlineLevel="1" x14ac:dyDescent="0.25">
      <c r="A26" s="14" t="s">
        <v>32</v>
      </c>
      <c r="B26" s="14" t="s">
        <v>33</v>
      </c>
    </row>
    <row r="27" spans="1:6" hidden="1" outlineLevel="1" x14ac:dyDescent="0.25">
      <c r="A27" s="63" t="s">
        <v>34</v>
      </c>
      <c r="B27" s="62" t="s">
        <v>35</v>
      </c>
    </row>
    <row r="28" spans="1:6" hidden="1" outlineLevel="1" x14ac:dyDescent="0.25">
      <c r="A28" s="63" t="s">
        <v>36</v>
      </c>
      <c r="B28" s="62" t="s">
        <v>37</v>
      </c>
    </row>
    <row r="29" spans="1:6" hidden="1" outlineLevel="1" x14ac:dyDescent="0.25">
      <c r="A29" s="63" t="s">
        <v>38</v>
      </c>
      <c r="B29" s="62" t="s">
        <v>39</v>
      </c>
    </row>
    <row r="30" spans="1:6" hidden="1" outlineLevel="1" x14ac:dyDescent="0.25">
      <c r="A30" s="63" t="s">
        <v>40</v>
      </c>
      <c r="B30" s="62" t="s">
        <v>41</v>
      </c>
    </row>
    <row r="31" spans="1:6" hidden="1" outlineLevel="1" x14ac:dyDescent="0.25">
      <c r="A31" s="63" t="s">
        <v>42</v>
      </c>
      <c r="B31" s="62" t="s">
        <v>43</v>
      </c>
    </row>
    <row r="32" spans="1:6" hidden="1" outlineLevel="1" x14ac:dyDescent="0.25">
      <c r="A32" s="63" t="s">
        <v>44</v>
      </c>
      <c r="B32" s="62" t="s">
        <v>45</v>
      </c>
    </row>
    <row r="33" spans="1:2" hidden="1" outlineLevel="1" x14ac:dyDescent="0.25">
      <c r="A33" s="63" t="s">
        <v>46</v>
      </c>
      <c r="B33" s="62" t="s">
        <v>47</v>
      </c>
    </row>
    <row r="34" spans="1:2" hidden="1" outlineLevel="1" x14ac:dyDescent="0.25">
      <c r="A34" s="63" t="s">
        <v>48</v>
      </c>
      <c r="B34" s="62" t="s">
        <v>49</v>
      </c>
    </row>
    <row r="35" spans="1:2" hidden="1" outlineLevel="1" x14ac:dyDescent="0.25">
      <c r="A35" s="63" t="s">
        <v>50</v>
      </c>
      <c r="B35" s="62" t="s">
        <v>51</v>
      </c>
    </row>
    <row r="36" spans="1:2" hidden="1" outlineLevel="1" x14ac:dyDescent="0.25">
      <c r="A36" s="63" t="s">
        <v>52</v>
      </c>
      <c r="B36" s="62" t="s">
        <v>53</v>
      </c>
    </row>
    <row r="37" spans="1:2" hidden="1" outlineLevel="1" x14ac:dyDescent="0.25">
      <c r="A37" s="63" t="s">
        <v>54</v>
      </c>
      <c r="B37" s="62" t="s">
        <v>55</v>
      </c>
    </row>
    <row r="38" spans="1:2" hidden="1" outlineLevel="1" x14ac:dyDescent="0.25">
      <c r="A38" s="63" t="s">
        <v>56</v>
      </c>
      <c r="B38" s="62" t="s">
        <v>57</v>
      </c>
    </row>
    <row r="39" spans="1:2" hidden="1" outlineLevel="1" x14ac:dyDescent="0.25">
      <c r="A39" s="63" t="s">
        <v>58</v>
      </c>
      <c r="B39" s="62" t="s">
        <v>57</v>
      </c>
    </row>
    <row r="40" spans="1:2" hidden="1" outlineLevel="1" x14ac:dyDescent="0.25">
      <c r="A40" s="63" t="s">
        <v>59</v>
      </c>
      <c r="B40" s="62" t="s">
        <v>60</v>
      </c>
    </row>
    <row r="41" spans="1:2" hidden="1" outlineLevel="1" x14ac:dyDescent="0.25">
      <c r="A41" s="63" t="s">
        <v>61</v>
      </c>
      <c r="B41" s="62" t="s">
        <v>62</v>
      </c>
    </row>
    <row r="42" spans="1:2" hidden="1" outlineLevel="1" x14ac:dyDescent="0.25">
      <c r="A42" s="63" t="s">
        <v>63</v>
      </c>
      <c r="B42" s="62" t="s">
        <v>64</v>
      </c>
    </row>
    <row r="43" spans="1:2" hidden="1" outlineLevel="1" x14ac:dyDescent="0.25">
      <c r="A43" s="63" t="s">
        <v>65</v>
      </c>
      <c r="B43" s="62" t="s">
        <v>66</v>
      </c>
    </row>
    <row r="44" spans="1:2" hidden="1" outlineLevel="1" x14ac:dyDescent="0.25">
      <c r="A44" s="63" t="s">
        <v>67</v>
      </c>
      <c r="B44" s="62" t="s">
        <v>68</v>
      </c>
    </row>
    <row r="45" spans="1:2" hidden="1" outlineLevel="1" x14ac:dyDescent="0.25">
      <c r="A45" s="63" t="s">
        <v>69</v>
      </c>
      <c r="B45" s="62" t="s">
        <v>70</v>
      </c>
    </row>
    <row r="46" spans="1:2" hidden="1" outlineLevel="1" x14ac:dyDescent="0.25">
      <c r="A46" s="63" t="s">
        <v>71</v>
      </c>
      <c r="B46" s="62" t="s">
        <v>72</v>
      </c>
    </row>
    <row r="47" spans="1:2" hidden="1" outlineLevel="1" x14ac:dyDescent="0.25">
      <c r="A47" s="63" t="s">
        <v>73</v>
      </c>
      <c r="B47" s="62" t="s">
        <v>74</v>
      </c>
    </row>
    <row r="48" spans="1:2" hidden="1" outlineLevel="1" x14ac:dyDescent="0.25">
      <c r="A48" s="63" t="s">
        <v>75</v>
      </c>
      <c r="B48" s="62" t="s">
        <v>76</v>
      </c>
    </row>
    <row r="49" spans="1:2" hidden="1" outlineLevel="1" x14ac:dyDescent="0.25">
      <c r="A49" s="63" t="s">
        <v>77</v>
      </c>
      <c r="B49" s="62" t="s">
        <v>78</v>
      </c>
    </row>
    <row r="50" spans="1:2" hidden="1" outlineLevel="1" x14ac:dyDescent="0.25">
      <c r="A50" s="63" t="s">
        <v>79</v>
      </c>
      <c r="B50" s="62" t="s">
        <v>80</v>
      </c>
    </row>
    <row r="51" spans="1:2" hidden="1" outlineLevel="1" x14ac:dyDescent="0.25">
      <c r="A51" s="63" t="s">
        <v>81</v>
      </c>
      <c r="B51" s="62" t="s">
        <v>82</v>
      </c>
    </row>
    <row r="52" spans="1:2" hidden="1" outlineLevel="1" x14ac:dyDescent="0.25">
      <c r="A52" s="63" t="s">
        <v>83</v>
      </c>
      <c r="B52" s="62" t="s">
        <v>84</v>
      </c>
    </row>
    <row r="53" spans="1:2" hidden="1" outlineLevel="1" x14ac:dyDescent="0.25">
      <c r="A53" s="63" t="s">
        <v>85</v>
      </c>
      <c r="B53" s="62" t="s">
        <v>86</v>
      </c>
    </row>
    <row r="54" spans="1:2" hidden="1" outlineLevel="1" x14ac:dyDescent="0.25">
      <c r="A54" s="63" t="s">
        <v>87</v>
      </c>
      <c r="B54" s="62" t="s">
        <v>88</v>
      </c>
    </row>
    <row r="55" spans="1:2" hidden="1" outlineLevel="1" x14ac:dyDescent="0.25">
      <c r="A55" s="64" t="s">
        <v>89</v>
      </c>
      <c r="B55" s="62" t="s">
        <v>90</v>
      </c>
    </row>
    <row r="56" spans="1:2" hidden="1" outlineLevel="1" x14ac:dyDescent="0.25">
      <c r="A56" s="63" t="s">
        <v>91</v>
      </c>
      <c r="B56" s="62" t="s">
        <v>92</v>
      </c>
    </row>
    <row r="57" spans="1:2" hidden="1" outlineLevel="1" x14ac:dyDescent="0.25">
      <c r="A57" s="63" t="s">
        <v>93</v>
      </c>
      <c r="B57" s="62" t="s">
        <v>94</v>
      </c>
    </row>
    <row r="58" spans="1:2" hidden="1" outlineLevel="1" x14ac:dyDescent="0.25">
      <c r="A58" s="63" t="s">
        <v>95</v>
      </c>
      <c r="B58" s="62" t="s">
        <v>96</v>
      </c>
    </row>
    <row r="59" spans="1:2" hidden="1" outlineLevel="1" x14ac:dyDescent="0.25">
      <c r="A59" s="63" t="s">
        <v>97</v>
      </c>
      <c r="B59" s="62" t="s">
        <v>98</v>
      </c>
    </row>
    <row r="60" spans="1:2" hidden="1" outlineLevel="1" x14ac:dyDescent="0.25">
      <c r="A60" s="63" t="s">
        <v>99</v>
      </c>
      <c r="B60" s="62" t="s">
        <v>100</v>
      </c>
    </row>
    <row r="61" spans="1:2" hidden="1" outlineLevel="1" x14ac:dyDescent="0.25">
      <c r="A61" s="63" t="s">
        <v>101</v>
      </c>
      <c r="B61" s="62" t="s">
        <v>102</v>
      </c>
    </row>
    <row r="62" spans="1:2" hidden="1" outlineLevel="1" x14ac:dyDescent="0.25">
      <c r="A62" s="63" t="s">
        <v>103</v>
      </c>
      <c r="B62" s="62" t="s">
        <v>104</v>
      </c>
    </row>
    <row r="63" spans="1:2" hidden="1" outlineLevel="1" x14ac:dyDescent="0.25">
      <c r="A63" s="63" t="s">
        <v>105</v>
      </c>
      <c r="B63" s="62" t="s">
        <v>106</v>
      </c>
    </row>
    <row r="64" spans="1:2" hidden="1" outlineLevel="1" x14ac:dyDescent="0.25">
      <c r="A64" s="63" t="s">
        <v>107</v>
      </c>
      <c r="B64" s="62" t="s">
        <v>108</v>
      </c>
    </row>
    <row r="65" spans="1:7" hidden="1" outlineLevel="1" x14ac:dyDescent="0.25">
      <c r="A65" s="63" t="s">
        <v>109</v>
      </c>
      <c r="B65" s="62" t="s">
        <v>110</v>
      </c>
    </row>
    <row r="66" spans="1:7" hidden="1" outlineLevel="1" x14ac:dyDescent="0.25">
      <c r="A66" s="63" t="s">
        <v>111</v>
      </c>
      <c r="B66" s="62" t="s">
        <v>112</v>
      </c>
    </row>
    <row r="67" spans="1:7" hidden="1" outlineLevel="1" x14ac:dyDescent="0.25">
      <c r="A67" s="63" t="s">
        <v>113</v>
      </c>
      <c r="B67" s="62" t="s">
        <v>114</v>
      </c>
    </row>
    <row r="68" spans="1:7" hidden="1" outlineLevel="1" x14ac:dyDescent="0.25">
      <c r="A68" s="63" t="s">
        <v>115</v>
      </c>
      <c r="B68" s="62" t="s">
        <v>116</v>
      </c>
    </row>
    <row r="69" spans="1:7" hidden="1" outlineLevel="1" x14ac:dyDescent="0.25">
      <c r="A69" s="63" t="s">
        <v>117</v>
      </c>
      <c r="B69" s="62" t="s">
        <v>118</v>
      </c>
    </row>
    <row r="70" spans="1:7" hidden="1" outlineLevel="1" x14ac:dyDescent="0.25">
      <c r="A70" s="63" t="s">
        <v>119</v>
      </c>
      <c r="B70" s="62" t="s">
        <v>120</v>
      </c>
    </row>
    <row r="71" spans="1:7" hidden="1" outlineLevel="1" x14ac:dyDescent="0.25">
      <c r="A71" s="63" t="s">
        <v>121</v>
      </c>
      <c r="B71" s="62" t="s">
        <v>122</v>
      </c>
    </row>
    <row r="72" spans="1:7" hidden="1" outlineLevel="1" x14ac:dyDescent="0.25">
      <c r="A72" s="63"/>
      <c r="B72" s="63"/>
    </row>
    <row r="73" spans="1:7" collapsed="1" x14ac:dyDescent="0.25"/>
    <row r="75" spans="1:7" x14ac:dyDescent="0.25">
      <c r="A75" s="172" t="s">
        <v>123</v>
      </c>
      <c r="B75" s="172"/>
      <c r="C75" s="172"/>
      <c r="D75" s="172"/>
      <c r="E75" s="172"/>
      <c r="F75" s="172"/>
    </row>
    <row r="76" spans="1:7" ht="45" hidden="1" outlineLevel="1" x14ac:dyDescent="0.25">
      <c r="A76" s="14" t="s">
        <v>124</v>
      </c>
      <c r="B76" s="14"/>
      <c r="C76" s="15" t="s">
        <v>125</v>
      </c>
      <c r="D76" s="15" t="s">
        <v>126</v>
      </c>
      <c r="E76" s="15" t="s">
        <v>127</v>
      </c>
      <c r="F76" s="15" t="s">
        <v>128</v>
      </c>
      <c r="G76" s="15" t="s">
        <v>129</v>
      </c>
    </row>
    <row r="77" spans="1:7" hidden="1" outlineLevel="1" x14ac:dyDescent="0.25">
      <c r="A77" s="169" t="s">
        <v>130</v>
      </c>
      <c r="B77" s="169"/>
      <c r="C77" s="7">
        <v>1</v>
      </c>
      <c r="D77" s="7">
        <v>1</v>
      </c>
      <c r="E77" s="7">
        <v>1</v>
      </c>
      <c r="F77" s="7">
        <v>1</v>
      </c>
      <c r="G77" s="7">
        <v>1</v>
      </c>
    </row>
    <row r="78" spans="1:7" hidden="1" outlineLevel="1" x14ac:dyDescent="0.25">
      <c r="A78" s="169" t="s">
        <v>131</v>
      </c>
      <c r="B78" s="169"/>
      <c r="C78" s="7">
        <v>1</v>
      </c>
      <c r="D78" s="7">
        <v>1</v>
      </c>
      <c r="E78" s="7">
        <v>1</v>
      </c>
      <c r="F78" s="7">
        <v>1</v>
      </c>
      <c r="G78" s="7">
        <v>1</v>
      </c>
    </row>
    <row r="79" spans="1:7" hidden="1" outlineLevel="1" x14ac:dyDescent="0.25">
      <c r="A79" s="169" t="s">
        <v>132</v>
      </c>
      <c r="B79" s="169"/>
      <c r="C79" s="7">
        <v>15</v>
      </c>
      <c r="D79" s="7">
        <v>15</v>
      </c>
      <c r="E79" s="7">
        <v>15</v>
      </c>
      <c r="F79" s="7">
        <v>15</v>
      </c>
      <c r="G79" s="7">
        <v>15</v>
      </c>
    </row>
    <row r="80" spans="1:7" hidden="1" outlineLevel="1" x14ac:dyDescent="0.25">
      <c r="A80" s="169" t="s">
        <v>133</v>
      </c>
      <c r="B80" s="169"/>
      <c r="C80" s="7">
        <v>25</v>
      </c>
      <c r="D80" s="7">
        <v>25</v>
      </c>
      <c r="E80" s="7">
        <v>0</v>
      </c>
      <c r="F80" s="7">
        <v>25</v>
      </c>
      <c r="G80" s="7">
        <v>25</v>
      </c>
    </row>
    <row r="81" spans="1:7" hidden="1" outlineLevel="1" x14ac:dyDescent="0.25">
      <c r="A81" s="169" t="s">
        <v>134</v>
      </c>
      <c r="B81" s="169"/>
      <c r="C81" s="8">
        <v>0</v>
      </c>
      <c r="D81" s="8">
        <v>0</v>
      </c>
      <c r="E81" s="7">
        <v>30</v>
      </c>
      <c r="F81" s="8">
        <v>0</v>
      </c>
      <c r="G81" s="8">
        <v>0</v>
      </c>
    </row>
    <row r="82" spans="1:7" hidden="1" outlineLevel="1" x14ac:dyDescent="0.25">
      <c r="A82" s="169" t="s">
        <v>135</v>
      </c>
      <c r="B82" s="169"/>
      <c r="C82" s="7">
        <v>3</v>
      </c>
      <c r="D82" s="7">
        <v>3</v>
      </c>
      <c r="E82" s="7">
        <v>3</v>
      </c>
      <c r="F82" s="7">
        <v>3</v>
      </c>
      <c r="G82" s="7">
        <v>3</v>
      </c>
    </row>
    <row r="83" spans="1:7" hidden="1" outlineLevel="1" x14ac:dyDescent="0.25">
      <c r="A83" s="169" t="s">
        <v>136</v>
      </c>
      <c r="B83" s="169"/>
      <c r="C83" s="7">
        <v>120</v>
      </c>
      <c r="D83" s="7">
        <v>120</v>
      </c>
      <c r="E83" s="8">
        <v>0</v>
      </c>
      <c r="F83" s="7">
        <v>120</v>
      </c>
      <c r="G83" s="8">
        <v>0</v>
      </c>
    </row>
    <row r="84" spans="1:7" hidden="1" outlineLevel="1" x14ac:dyDescent="0.25">
      <c r="A84" s="169" t="s">
        <v>137</v>
      </c>
      <c r="B84" s="169"/>
      <c r="C84" s="7">
        <v>60</v>
      </c>
      <c r="D84" s="7">
        <v>60</v>
      </c>
      <c r="E84" s="7">
        <v>60</v>
      </c>
      <c r="F84" s="7">
        <v>60</v>
      </c>
      <c r="G84" s="7">
        <v>60</v>
      </c>
    </row>
    <row r="85" spans="1:7" hidden="1" outlineLevel="1" x14ac:dyDescent="0.25">
      <c r="A85" s="169" t="s">
        <v>138</v>
      </c>
      <c r="B85" s="169"/>
      <c r="C85" s="7">
        <v>10</v>
      </c>
      <c r="D85" s="7">
        <v>10</v>
      </c>
      <c r="E85" s="7">
        <v>10</v>
      </c>
      <c r="F85" s="7">
        <v>10</v>
      </c>
      <c r="G85" s="7">
        <v>10</v>
      </c>
    </row>
    <row r="86" spans="1:7" hidden="1" outlineLevel="1" x14ac:dyDescent="0.25">
      <c r="A86" s="169" t="s">
        <v>139</v>
      </c>
      <c r="B86" s="169"/>
      <c r="C86" s="7">
        <v>5</v>
      </c>
      <c r="D86" s="7">
        <v>5</v>
      </c>
      <c r="E86" s="7">
        <v>5</v>
      </c>
      <c r="F86" s="7">
        <v>5</v>
      </c>
      <c r="G86" s="7">
        <v>5</v>
      </c>
    </row>
    <row r="87" spans="1:7" hidden="1" outlineLevel="1" x14ac:dyDescent="0.25">
      <c r="A87" s="169" t="s">
        <v>140</v>
      </c>
      <c r="B87" s="169"/>
      <c r="C87" s="7">
        <v>10</v>
      </c>
      <c r="D87" s="7">
        <v>10</v>
      </c>
      <c r="E87" s="8">
        <v>0</v>
      </c>
      <c r="F87" s="7">
        <v>10</v>
      </c>
      <c r="G87" s="7">
        <v>10</v>
      </c>
    </row>
    <row r="88" spans="1:7" hidden="1" outlineLevel="1" x14ac:dyDescent="0.25">
      <c r="A88" s="169" t="s">
        <v>141</v>
      </c>
      <c r="B88" s="169"/>
      <c r="C88" s="7">
        <v>5</v>
      </c>
      <c r="D88" s="7">
        <v>5</v>
      </c>
      <c r="E88" s="8">
        <v>0</v>
      </c>
      <c r="F88" s="7">
        <v>5</v>
      </c>
      <c r="G88" s="7">
        <v>5</v>
      </c>
    </row>
    <row r="89" spans="1:7" hidden="1" outlineLevel="1" x14ac:dyDescent="0.25">
      <c r="A89" s="169" t="s">
        <v>142</v>
      </c>
      <c r="B89" s="169"/>
      <c r="C89" s="7">
        <v>5</v>
      </c>
      <c r="D89" s="7">
        <v>5</v>
      </c>
      <c r="E89" s="7">
        <v>5</v>
      </c>
      <c r="F89" s="7">
        <v>5</v>
      </c>
      <c r="G89" s="7">
        <v>5</v>
      </c>
    </row>
    <row r="90" spans="1:7" hidden="1" outlineLevel="1" x14ac:dyDescent="0.25">
      <c r="A90" s="169" t="s">
        <v>143</v>
      </c>
      <c r="B90" s="169"/>
      <c r="C90" s="7">
        <v>10</v>
      </c>
      <c r="D90" s="7">
        <v>10</v>
      </c>
      <c r="E90" s="7">
        <v>10</v>
      </c>
      <c r="F90" s="7">
        <v>10</v>
      </c>
      <c r="G90" s="7">
        <v>10</v>
      </c>
    </row>
    <row r="91" spans="1:7" hidden="1" outlineLevel="1" x14ac:dyDescent="0.25">
      <c r="A91" s="169" t="s">
        <v>144</v>
      </c>
      <c r="B91" s="169"/>
      <c r="C91" s="7">
        <v>10</v>
      </c>
      <c r="D91" s="7">
        <v>10</v>
      </c>
      <c r="E91" s="7">
        <v>10</v>
      </c>
      <c r="F91" s="7">
        <v>10</v>
      </c>
      <c r="G91" s="7">
        <v>10</v>
      </c>
    </row>
    <row r="92" spans="1:7" hidden="1" outlineLevel="1" x14ac:dyDescent="0.25">
      <c r="A92" s="169" t="s">
        <v>145</v>
      </c>
      <c r="B92" s="169"/>
      <c r="C92" s="7">
        <v>0</v>
      </c>
      <c r="D92" s="7">
        <v>0</v>
      </c>
      <c r="E92" s="7">
        <v>30</v>
      </c>
      <c r="F92" s="7">
        <v>0</v>
      </c>
      <c r="G92" s="7">
        <v>0</v>
      </c>
    </row>
    <row r="93" spans="1:7" hidden="1" outlineLevel="1" x14ac:dyDescent="0.25">
      <c r="A93" s="169" t="s">
        <v>146</v>
      </c>
      <c r="B93" s="169"/>
      <c r="C93" s="7">
        <v>5</v>
      </c>
      <c r="D93" s="7">
        <v>5</v>
      </c>
      <c r="E93" s="7">
        <v>5</v>
      </c>
      <c r="F93" s="7">
        <v>5</v>
      </c>
      <c r="G93" s="7">
        <v>5</v>
      </c>
    </row>
    <row r="94" spans="1:7" hidden="1" outlineLevel="1" x14ac:dyDescent="0.25">
      <c r="A94" s="169" t="s">
        <v>147</v>
      </c>
      <c r="B94" s="169"/>
      <c r="C94" s="7">
        <v>20</v>
      </c>
      <c r="D94" s="7">
        <v>20</v>
      </c>
      <c r="E94" s="7">
        <v>20</v>
      </c>
      <c r="F94" s="7">
        <v>20</v>
      </c>
      <c r="G94" s="7">
        <v>20</v>
      </c>
    </row>
    <row r="95" spans="1:7" hidden="1" outlineLevel="1" x14ac:dyDescent="0.25">
      <c r="A95" s="169" t="s">
        <v>148</v>
      </c>
      <c r="B95" s="169"/>
      <c r="C95" s="7">
        <v>0</v>
      </c>
      <c r="D95" s="7">
        <v>0</v>
      </c>
      <c r="E95" s="7">
        <v>0</v>
      </c>
      <c r="F95" s="7">
        <v>0</v>
      </c>
      <c r="G95" s="7">
        <v>0</v>
      </c>
    </row>
    <row r="96" spans="1:7" hidden="1" outlineLevel="1" x14ac:dyDescent="0.25">
      <c r="A96" s="169" t="s">
        <v>149</v>
      </c>
      <c r="B96" s="169"/>
      <c r="C96" s="7">
        <v>5</v>
      </c>
      <c r="D96" s="7">
        <v>5</v>
      </c>
      <c r="E96" s="7">
        <v>5</v>
      </c>
      <c r="F96" s="7">
        <v>5</v>
      </c>
      <c r="G96" s="7">
        <v>5</v>
      </c>
    </row>
    <row r="97" spans="1:7" hidden="1" outlineLevel="1" x14ac:dyDescent="0.25">
      <c r="A97" s="170" t="s">
        <v>150</v>
      </c>
      <c r="B97" s="170"/>
      <c r="C97" s="7">
        <v>10</v>
      </c>
      <c r="D97" s="7">
        <v>10</v>
      </c>
      <c r="E97" s="7">
        <v>20</v>
      </c>
      <c r="F97" s="7">
        <v>10</v>
      </c>
      <c r="G97" s="7">
        <v>10</v>
      </c>
    </row>
    <row r="98" spans="1:7" hidden="1" outlineLevel="1" x14ac:dyDescent="0.25">
      <c r="A98" s="169" t="s">
        <v>151</v>
      </c>
      <c r="B98" s="169"/>
      <c r="C98" s="7">
        <v>5</v>
      </c>
      <c r="D98" s="7">
        <v>5</v>
      </c>
      <c r="E98" s="7">
        <v>5</v>
      </c>
      <c r="F98" s="7">
        <v>5</v>
      </c>
      <c r="G98" s="7">
        <v>5</v>
      </c>
    </row>
    <row r="99" spans="1:7" hidden="1" outlineLevel="1" x14ac:dyDescent="0.25">
      <c r="A99" s="169" t="s">
        <v>152</v>
      </c>
      <c r="B99" s="169"/>
      <c r="C99" s="7">
        <v>5</v>
      </c>
      <c r="D99" s="7">
        <v>5</v>
      </c>
      <c r="E99" s="7">
        <v>5</v>
      </c>
      <c r="F99" s="7">
        <v>5</v>
      </c>
      <c r="G99" s="7">
        <v>5</v>
      </c>
    </row>
    <row r="100" spans="1:7" hidden="1" outlineLevel="1" x14ac:dyDescent="0.25">
      <c r="A100" s="169" t="s">
        <v>153</v>
      </c>
      <c r="B100" s="169"/>
      <c r="C100" s="7">
        <v>10</v>
      </c>
      <c r="D100" s="7">
        <v>10</v>
      </c>
      <c r="E100" s="7">
        <v>10</v>
      </c>
      <c r="F100" s="7">
        <v>10</v>
      </c>
      <c r="G100" s="7">
        <v>10</v>
      </c>
    </row>
    <row r="101" spans="1:7" hidden="1" outlineLevel="1" x14ac:dyDescent="0.25">
      <c r="A101" s="169" t="s">
        <v>154</v>
      </c>
      <c r="B101" s="169"/>
      <c r="C101" s="7">
        <v>5</v>
      </c>
      <c r="D101" s="7">
        <v>5</v>
      </c>
      <c r="E101" s="7">
        <v>5</v>
      </c>
      <c r="F101" s="7">
        <v>5</v>
      </c>
      <c r="G101" s="7">
        <v>5</v>
      </c>
    </row>
    <row r="102" spans="1:7" hidden="1" outlineLevel="1" x14ac:dyDescent="0.25">
      <c r="A102" s="169" t="s">
        <v>155</v>
      </c>
      <c r="B102" s="169"/>
      <c r="C102" s="7">
        <v>90</v>
      </c>
      <c r="D102" s="7">
        <v>90</v>
      </c>
      <c r="E102" s="7">
        <v>90</v>
      </c>
      <c r="F102" s="7">
        <v>90</v>
      </c>
      <c r="G102" s="7">
        <v>90</v>
      </c>
    </row>
    <row r="103" spans="1:7" hidden="1" outlineLevel="1" x14ac:dyDescent="0.25">
      <c r="A103" s="169" t="s">
        <v>156</v>
      </c>
      <c r="B103" s="169"/>
      <c r="C103" s="7">
        <v>3</v>
      </c>
      <c r="D103" s="7">
        <v>3</v>
      </c>
      <c r="E103" s="7">
        <v>3</v>
      </c>
      <c r="F103" s="7">
        <v>3</v>
      </c>
      <c r="G103" s="7">
        <v>3</v>
      </c>
    </row>
    <row r="104" spans="1:7" hidden="1" outlineLevel="1" x14ac:dyDescent="0.25">
      <c r="A104" s="169" t="s">
        <v>157</v>
      </c>
      <c r="B104" s="169"/>
      <c r="C104" s="7">
        <v>5</v>
      </c>
      <c r="D104" s="7">
        <v>5</v>
      </c>
      <c r="E104" s="7">
        <v>5</v>
      </c>
      <c r="F104" s="7">
        <v>5</v>
      </c>
      <c r="G104" s="7">
        <v>5</v>
      </c>
    </row>
    <row r="105" spans="1:7" hidden="1" outlineLevel="1" x14ac:dyDescent="0.25">
      <c r="A105" s="169" t="s">
        <v>158</v>
      </c>
      <c r="B105" s="169"/>
      <c r="C105" s="7">
        <v>5</v>
      </c>
      <c r="D105" s="7">
        <v>5</v>
      </c>
      <c r="E105" s="7">
        <v>0</v>
      </c>
      <c r="F105" s="7">
        <v>5</v>
      </c>
      <c r="G105" s="7">
        <v>5</v>
      </c>
    </row>
    <row r="106" spans="1:7" hidden="1" outlineLevel="1" x14ac:dyDescent="0.25">
      <c r="A106" s="169" t="s">
        <v>159</v>
      </c>
      <c r="B106" s="169"/>
      <c r="C106" s="7">
        <v>5</v>
      </c>
      <c r="D106" s="7">
        <v>5</v>
      </c>
      <c r="E106" s="7">
        <v>0</v>
      </c>
      <c r="F106" s="7">
        <v>5</v>
      </c>
      <c r="G106" s="7">
        <v>5</v>
      </c>
    </row>
    <row r="107" spans="1:7" hidden="1" outlineLevel="1" x14ac:dyDescent="0.25">
      <c r="A107" s="169" t="s">
        <v>160</v>
      </c>
      <c r="B107" s="169"/>
      <c r="C107" s="7">
        <v>3</v>
      </c>
      <c r="D107" s="7">
        <v>3</v>
      </c>
      <c r="E107" s="7">
        <v>3</v>
      </c>
      <c r="F107" s="7">
        <v>3</v>
      </c>
      <c r="G107" s="7">
        <v>3</v>
      </c>
    </row>
    <row r="108" spans="1:7" hidden="1" outlineLevel="1" x14ac:dyDescent="0.25">
      <c r="A108" s="170" t="s">
        <v>161</v>
      </c>
      <c r="B108" s="170"/>
      <c r="C108" s="7">
        <v>40</v>
      </c>
      <c r="D108" s="7">
        <v>40</v>
      </c>
      <c r="E108" s="7">
        <v>40</v>
      </c>
      <c r="F108" s="7">
        <v>40</v>
      </c>
      <c r="G108" s="7">
        <v>40</v>
      </c>
    </row>
    <row r="109" spans="1:7" hidden="1" outlineLevel="1" x14ac:dyDescent="0.25">
      <c r="A109" s="169" t="s">
        <v>162</v>
      </c>
      <c r="B109" s="169"/>
      <c r="C109" s="7">
        <v>3</v>
      </c>
      <c r="D109" s="7">
        <v>3</v>
      </c>
      <c r="E109" s="7">
        <v>3</v>
      </c>
      <c r="F109" s="7">
        <v>3</v>
      </c>
      <c r="G109" s="7">
        <v>3</v>
      </c>
    </row>
    <row r="110" spans="1:7" hidden="1" outlineLevel="1" x14ac:dyDescent="0.25">
      <c r="A110" s="169" t="s">
        <v>163</v>
      </c>
      <c r="B110" s="169"/>
      <c r="C110" s="7">
        <v>3</v>
      </c>
      <c r="D110" s="7">
        <v>3</v>
      </c>
      <c r="E110" s="7">
        <v>3</v>
      </c>
      <c r="F110" s="7">
        <v>3</v>
      </c>
      <c r="G110" s="7">
        <v>3</v>
      </c>
    </row>
    <row r="111" spans="1:7" hidden="1" outlineLevel="1" x14ac:dyDescent="0.25">
      <c r="A111" s="169" t="s">
        <v>164</v>
      </c>
      <c r="B111" s="169"/>
      <c r="C111" s="7">
        <v>0</v>
      </c>
      <c r="D111" s="7">
        <v>0</v>
      </c>
      <c r="E111" s="7">
        <v>20</v>
      </c>
      <c r="F111" s="7">
        <v>0</v>
      </c>
      <c r="G111" s="7">
        <v>0</v>
      </c>
    </row>
    <row r="112" spans="1:7" hidden="1" outlineLevel="1" x14ac:dyDescent="0.25">
      <c r="A112" s="169" t="s">
        <v>165</v>
      </c>
      <c r="B112" s="169"/>
      <c r="C112" s="7">
        <v>0</v>
      </c>
      <c r="D112" s="7">
        <v>0</v>
      </c>
      <c r="E112" s="7">
        <v>30</v>
      </c>
      <c r="F112" s="7">
        <v>0</v>
      </c>
      <c r="G112" s="7">
        <v>0</v>
      </c>
    </row>
    <row r="113" spans="1:7" hidden="1" outlineLevel="1" x14ac:dyDescent="0.25">
      <c r="A113" s="169" t="s">
        <v>166</v>
      </c>
      <c r="B113" s="169"/>
      <c r="C113" s="7">
        <v>0</v>
      </c>
      <c r="D113" s="7">
        <v>0</v>
      </c>
      <c r="E113" s="7">
        <v>60</v>
      </c>
      <c r="F113" s="7">
        <v>0</v>
      </c>
      <c r="G113" s="7">
        <v>0</v>
      </c>
    </row>
    <row r="114" spans="1:7" hidden="1" outlineLevel="1" x14ac:dyDescent="0.25">
      <c r="A114" s="169" t="s">
        <v>167</v>
      </c>
      <c r="B114" s="169"/>
      <c r="C114" s="7">
        <v>0</v>
      </c>
      <c r="D114" s="7">
        <v>0</v>
      </c>
      <c r="E114" s="7">
        <v>60</v>
      </c>
      <c r="F114" s="7">
        <v>0</v>
      </c>
      <c r="G114" s="7">
        <v>0</v>
      </c>
    </row>
    <row r="115" spans="1:7" hidden="1" outlineLevel="1" x14ac:dyDescent="0.25">
      <c r="A115" s="170" t="s">
        <v>168</v>
      </c>
      <c r="B115" s="170"/>
      <c r="C115" s="7">
        <v>15</v>
      </c>
      <c r="D115" s="7">
        <v>0</v>
      </c>
      <c r="E115" s="7">
        <v>0</v>
      </c>
      <c r="F115" s="7">
        <v>0</v>
      </c>
      <c r="G115" s="7">
        <v>0</v>
      </c>
    </row>
    <row r="116" spans="1:7" hidden="1" outlineLevel="1" x14ac:dyDescent="0.25">
      <c r="A116" s="169" t="s">
        <v>169</v>
      </c>
      <c r="B116" s="169"/>
      <c r="C116" s="7">
        <v>0</v>
      </c>
      <c r="D116" s="7">
        <v>0</v>
      </c>
      <c r="E116" s="7">
        <v>30</v>
      </c>
      <c r="F116" s="7">
        <v>0</v>
      </c>
      <c r="G116" s="7">
        <v>0</v>
      </c>
    </row>
    <row r="117" spans="1:7" hidden="1" outlineLevel="1" x14ac:dyDescent="0.25">
      <c r="A117" s="169" t="s">
        <v>170</v>
      </c>
      <c r="B117" s="169"/>
      <c r="C117" s="7">
        <v>30</v>
      </c>
      <c r="D117" s="7">
        <v>30</v>
      </c>
      <c r="E117" s="8">
        <v>0</v>
      </c>
      <c r="F117" s="7">
        <v>30</v>
      </c>
      <c r="G117" s="7">
        <v>30</v>
      </c>
    </row>
    <row r="118" spans="1:7" hidden="1" outlineLevel="1" x14ac:dyDescent="0.25">
      <c r="A118" s="169" t="s">
        <v>171</v>
      </c>
      <c r="B118" s="169"/>
      <c r="C118" s="7">
        <v>30</v>
      </c>
      <c r="D118" s="7">
        <v>30</v>
      </c>
      <c r="E118" s="7">
        <v>30</v>
      </c>
      <c r="F118" s="7">
        <v>30</v>
      </c>
      <c r="G118" s="7">
        <v>30</v>
      </c>
    </row>
    <row r="119" spans="1:7" hidden="1" outlineLevel="1" x14ac:dyDescent="0.25">
      <c r="A119" s="169" t="s">
        <v>172</v>
      </c>
      <c r="B119" s="169"/>
      <c r="C119" s="7">
        <v>5</v>
      </c>
      <c r="D119" s="7">
        <v>5</v>
      </c>
      <c r="E119" s="7">
        <v>5</v>
      </c>
      <c r="F119" s="7">
        <v>5</v>
      </c>
      <c r="G119" s="7">
        <v>5</v>
      </c>
    </row>
    <row r="120" spans="1:7" hidden="1" outlineLevel="1" x14ac:dyDescent="0.25">
      <c r="A120" s="169" t="s">
        <v>173</v>
      </c>
      <c r="B120" s="169"/>
      <c r="C120" s="7">
        <v>30</v>
      </c>
      <c r="D120" s="7">
        <v>30</v>
      </c>
      <c r="E120" s="8">
        <v>0</v>
      </c>
      <c r="F120" s="7">
        <v>30</v>
      </c>
      <c r="G120" s="7">
        <v>30</v>
      </c>
    </row>
    <row r="121" spans="1:7" hidden="1" outlineLevel="1" x14ac:dyDescent="0.25">
      <c r="A121" s="169" t="s">
        <v>174</v>
      </c>
      <c r="B121" s="169"/>
      <c r="C121" s="7">
        <v>80</v>
      </c>
      <c r="D121" s="7">
        <v>60</v>
      </c>
      <c r="E121" s="7">
        <v>120</v>
      </c>
      <c r="F121" s="7">
        <v>60</v>
      </c>
      <c r="G121" s="7">
        <v>60</v>
      </c>
    </row>
    <row r="122" spans="1:7" hidden="1" outlineLevel="1" x14ac:dyDescent="0.25">
      <c r="A122" s="169" t="s">
        <v>175</v>
      </c>
      <c r="B122" s="169"/>
      <c r="C122" s="7">
        <v>90</v>
      </c>
      <c r="D122" s="8">
        <v>0</v>
      </c>
      <c r="E122" s="7">
        <v>0</v>
      </c>
      <c r="F122" s="8">
        <v>0</v>
      </c>
      <c r="G122" s="7">
        <v>0</v>
      </c>
    </row>
    <row r="123" spans="1:7" hidden="1" outlineLevel="1" x14ac:dyDescent="0.25">
      <c r="A123" s="169" t="s">
        <v>176</v>
      </c>
      <c r="B123" s="169"/>
      <c r="C123" s="7">
        <v>20</v>
      </c>
      <c r="D123" s="7">
        <v>20</v>
      </c>
      <c r="E123" s="7">
        <v>0</v>
      </c>
      <c r="F123" s="7">
        <v>20</v>
      </c>
      <c r="G123" s="7">
        <v>20</v>
      </c>
    </row>
    <row r="124" spans="1:7" hidden="1" outlineLevel="1" x14ac:dyDescent="0.25">
      <c r="A124" s="169" t="s">
        <v>177</v>
      </c>
      <c r="B124" s="169"/>
      <c r="C124" s="7">
        <v>30</v>
      </c>
      <c r="D124" s="7">
        <v>30</v>
      </c>
      <c r="E124" s="7">
        <v>0</v>
      </c>
      <c r="F124" s="7">
        <v>30</v>
      </c>
      <c r="G124" s="7">
        <v>30</v>
      </c>
    </row>
    <row r="125" spans="1:7" hidden="1" outlineLevel="1" x14ac:dyDescent="0.25">
      <c r="A125" s="169" t="s">
        <v>178</v>
      </c>
      <c r="B125" s="169"/>
      <c r="C125" s="7">
        <v>30</v>
      </c>
      <c r="D125" s="7">
        <v>30</v>
      </c>
      <c r="E125" s="7">
        <v>30</v>
      </c>
      <c r="F125" s="7">
        <v>30</v>
      </c>
      <c r="G125" s="7">
        <v>30</v>
      </c>
    </row>
    <row r="126" spans="1:7" hidden="1" outlineLevel="1" x14ac:dyDescent="0.25">
      <c r="A126" s="169" t="s">
        <v>179</v>
      </c>
      <c r="B126" s="169"/>
      <c r="C126" s="7">
        <v>5</v>
      </c>
      <c r="D126" s="7">
        <v>5</v>
      </c>
      <c r="E126" s="7">
        <v>5</v>
      </c>
      <c r="F126" s="7">
        <v>5</v>
      </c>
      <c r="G126" s="7">
        <v>5</v>
      </c>
    </row>
    <row r="127" spans="1:7" hidden="1" outlineLevel="1" x14ac:dyDescent="0.25">
      <c r="A127" s="169" t="s">
        <v>180</v>
      </c>
      <c r="B127" s="169"/>
      <c r="C127" s="8">
        <v>0</v>
      </c>
      <c r="D127" s="8">
        <v>0</v>
      </c>
      <c r="E127" s="7">
        <v>5</v>
      </c>
      <c r="F127" s="8">
        <v>0</v>
      </c>
      <c r="G127" s="8">
        <v>0</v>
      </c>
    </row>
    <row r="128" spans="1:7" hidden="1" outlineLevel="1" x14ac:dyDescent="0.25">
      <c r="A128" s="169" t="s">
        <v>181</v>
      </c>
      <c r="B128" s="169"/>
      <c r="C128" s="7">
        <v>120</v>
      </c>
      <c r="D128" s="8">
        <v>0</v>
      </c>
      <c r="E128" s="7">
        <v>0</v>
      </c>
      <c r="F128" s="8">
        <v>0</v>
      </c>
      <c r="G128" s="8">
        <v>0</v>
      </c>
    </row>
    <row r="129" spans="1:7" hidden="1" outlineLevel="1" x14ac:dyDescent="0.25">
      <c r="A129" s="169" t="s">
        <v>182</v>
      </c>
      <c r="B129" s="169"/>
      <c r="C129" s="7">
        <v>20</v>
      </c>
      <c r="D129" s="8">
        <v>0</v>
      </c>
      <c r="E129" s="7">
        <v>0</v>
      </c>
      <c r="F129" s="8">
        <v>0</v>
      </c>
      <c r="G129" s="7">
        <v>0</v>
      </c>
    </row>
    <row r="130" spans="1:7" hidden="1" outlineLevel="1" x14ac:dyDescent="0.25">
      <c r="A130" s="169" t="s">
        <v>183</v>
      </c>
      <c r="B130" s="169"/>
      <c r="C130" s="7">
        <v>20</v>
      </c>
      <c r="D130" s="7">
        <v>20</v>
      </c>
      <c r="E130" s="7">
        <v>0</v>
      </c>
      <c r="F130" s="7">
        <v>60</v>
      </c>
      <c r="G130" s="7">
        <v>20</v>
      </c>
    </row>
    <row r="131" spans="1:7" hidden="1" outlineLevel="1" x14ac:dyDescent="0.25">
      <c r="A131" s="169" t="s">
        <v>184</v>
      </c>
      <c r="B131" s="169"/>
      <c r="C131" s="7">
        <v>0</v>
      </c>
      <c r="D131" s="7">
        <v>0</v>
      </c>
      <c r="E131" s="7">
        <v>60</v>
      </c>
      <c r="F131" s="7">
        <v>0</v>
      </c>
      <c r="G131" s="7">
        <v>0</v>
      </c>
    </row>
    <row r="132" spans="1:7" hidden="1" outlineLevel="1" x14ac:dyDescent="0.25">
      <c r="A132" s="169" t="s">
        <v>185</v>
      </c>
      <c r="B132" s="169"/>
      <c r="C132" s="7">
        <v>0</v>
      </c>
      <c r="D132" s="7">
        <v>0</v>
      </c>
      <c r="E132" s="7">
        <v>30</v>
      </c>
      <c r="F132" s="7">
        <v>0</v>
      </c>
      <c r="G132" s="7">
        <v>0</v>
      </c>
    </row>
    <row r="133" spans="1:7" hidden="1" outlineLevel="1" x14ac:dyDescent="0.25">
      <c r="A133" s="169" t="s">
        <v>186</v>
      </c>
      <c r="B133" s="169"/>
      <c r="C133" s="7">
        <v>30</v>
      </c>
      <c r="D133" s="7">
        <v>30</v>
      </c>
      <c r="E133" s="7">
        <v>30</v>
      </c>
      <c r="F133" s="7">
        <v>30</v>
      </c>
      <c r="G133" s="7">
        <v>30</v>
      </c>
    </row>
    <row r="134" spans="1:7" hidden="1" outlineLevel="1" x14ac:dyDescent="0.25">
      <c r="A134" s="169" t="s">
        <v>187</v>
      </c>
      <c r="B134" s="169"/>
      <c r="C134" s="7">
        <v>10</v>
      </c>
      <c r="D134" s="7">
        <v>10</v>
      </c>
      <c r="E134" s="7">
        <v>10</v>
      </c>
      <c r="F134" s="7">
        <v>10</v>
      </c>
      <c r="G134" s="7">
        <v>10</v>
      </c>
    </row>
    <row r="135" spans="1:7" hidden="1" outlineLevel="1" x14ac:dyDescent="0.25">
      <c r="A135" s="169" t="s">
        <v>188</v>
      </c>
      <c r="B135" s="169"/>
      <c r="C135" s="7">
        <v>5</v>
      </c>
      <c r="D135" s="7">
        <v>5</v>
      </c>
      <c r="E135" s="7">
        <v>5</v>
      </c>
      <c r="F135" s="7">
        <v>5</v>
      </c>
      <c r="G135" s="7">
        <v>5</v>
      </c>
    </row>
    <row r="136" spans="1:7" hidden="1" outlineLevel="1" x14ac:dyDescent="0.25">
      <c r="A136" s="169" t="s">
        <v>189</v>
      </c>
      <c r="B136" s="169"/>
      <c r="C136" s="7">
        <v>60</v>
      </c>
      <c r="D136" s="7">
        <v>60</v>
      </c>
      <c r="E136" s="7">
        <v>60</v>
      </c>
      <c r="F136" s="7">
        <v>60</v>
      </c>
      <c r="G136" s="7">
        <v>60</v>
      </c>
    </row>
    <row r="137" spans="1:7" hidden="1" outlineLevel="1" x14ac:dyDescent="0.25">
      <c r="A137" s="169" t="s">
        <v>190</v>
      </c>
      <c r="B137" s="169"/>
      <c r="C137" s="7">
        <v>45</v>
      </c>
      <c r="D137" s="7">
        <v>45</v>
      </c>
      <c r="E137" s="7">
        <v>45</v>
      </c>
      <c r="F137" s="7">
        <v>45</v>
      </c>
      <c r="G137" s="7">
        <v>45</v>
      </c>
    </row>
    <row r="138" spans="1:7" hidden="1" outlineLevel="1" x14ac:dyDescent="0.25">
      <c r="A138" s="169" t="s">
        <v>191</v>
      </c>
      <c r="B138" s="169"/>
      <c r="C138" s="7">
        <v>3</v>
      </c>
      <c r="D138" s="7">
        <v>3</v>
      </c>
      <c r="E138" s="7">
        <v>3</v>
      </c>
      <c r="F138" s="7">
        <v>3</v>
      </c>
      <c r="G138" s="7">
        <v>3</v>
      </c>
    </row>
    <row r="139" spans="1:7" hidden="1" outlineLevel="1" x14ac:dyDescent="0.25">
      <c r="A139" s="169" t="s">
        <v>192</v>
      </c>
      <c r="B139" s="169"/>
      <c r="C139" s="7">
        <v>10</v>
      </c>
      <c r="D139" s="7">
        <v>10</v>
      </c>
      <c r="E139" s="7">
        <v>10</v>
      </c>
      <c r="F139" s="7">
        <v>10</v>
      </c>
      <c r="G139" s="7">
        <v>10</v>
      </c>
    </row>
    <row r="140" spans="1:7" hidden="1" outlineLevel="1" x14ac:dyDescent="0.25">
      <c r="A140" s="169" t="s">
        <v>193</v>
      </c>
      <c r="B140" s="169"/>
      <c r="C140" s="7">
        <v>5</v>
      </c>
      <c r="D140" s="7">
        <v>5</v>
      </c>
      <c r="E140" s="7">
        <v>0</v>
      </c>
      <c r="F140" s="7">
        <v>5</v>
      </c>
      <c r="G140" s="7">
        <v>5</v>
      </c>
    </row>
    <row r="141" spans="1:7" hidden="1" outlineLevel="1" x14ac:dyDescent="0.25">
      <c r="A141" s="169" t="s">
        <v>194</v>
      </c>
      <c r="B141" s="169"/>
      <c r="C141" s="7">
        <v>5</v>
      </c>
      <c r="D141" s="7">
        <v>5</v>
      </c>
      <c r="E141" s="7">
        <v>5</v>
      </c>
      <c r="F141" s="7">
        <v>5</v>
      </c>
      <c r="G141" s="7">
        <v>5</v>
      </c>
    </row>
    <row r="142" spans="1:7" hidden="1" outlineLevel="1" x14ac:dyDescent="0.25">
      <c r="A142" s="169" t="s">
        <v>195</v>
      </c>
      <c r="B142" s="169"/>
      <c r="C142" s="8">
        <v>0</v>
      </c>
      <c r="D142" s="8">
        <v>0</v>
      </c>
      <c r="E142" s="7">
        <v>30</v>
      </c>
      <c r="F142" s="8">
        <v>0</v>
      </c>
      <c r="G142" s="8">
        <v>0</v>
      </c>
    </row>
    <row r="143" spans="1:7" hidden="1" outlineLevel="1" x14ac:dyDescent="0.25">
      <c r="A143" s="169" t="s">
        <v>196</v>
      </c>
      <c r="B143" s="169"/>
      <c r="C143" s="8">
        <v>0</v>
      </c>
      <c r="D143" s="8">
        <v>0</v>
      </c>
      <c r="E143" s="7">
        <v>30</v>
      </c>
      <c r="F143" s="8">
        <v>0</v>
      </c>
      <c r="G143" s="8">
        <v>0</v>
      </c>
    </row>
    <row r="144" spans="1:7" hidden="1" outlineLevel="1" x14ac:dyDescent="0.25">
      <c r="A144" s="169" t="s">
        <v>197</v>
      </c>
      <c r="B144" s="169"/>
      <c r="C144" s="7">
        <v>5</v>
      </c>
      <c r="D144" s="7">
        <v>5</v>
      </c>
      <c r="E144" s="7">
        <v>5</v>
      </c>
      <c r="F144" s="7">
        <v>5</v>
      </c>
      <c r="G144" s="7">
        <v>5</v>
      </c>
    </row>
    <row r="145" spans="1:7" hidden="1" outlineLevel="1" x14ac:dyDescent="0.25">
      <c r="A145" s="169" t="s">
        <v>198</v>
      </c>
      <c r="B145" s="169"/>
      <c r="C145" s="7">
        <v>5</v>
      </c>
      <c r="D145" s="7">
        <v>5</v>
      </c>
      <c r="E145" s="7">
        <v>5</v>
      </c>
      <c r="F145" s="7">
        <v>5</v>
      </c>
      <c r="G145" s="7">
        <v>5</v>
      </c>
    </row>
    <row r="146" spans="1:7" hidden="1" outlineLevel="1" x14ac:dyDescent="0.25">
      <c r="A146" s="169" t="s">
        <v>199</v>
      </c>
      <c r="B146" s="169"/>
      <c r="C146" s="7">
        <v>3</v>
      </c>
      <c r="D146" s="7">
        <v>3</v>
      </c>
      <c r="E146" s="7">
        <v>3</v>
      </c>
      <c r="F146" s="7">
        <v>3</v>
      </c>
      <c r="G146" s="7">
        <v>3</v>
      </c>
    </row>
    <row r="147" spans="1:7" hidden="1" outlineLevel="1" x14ac:dyDescent="0.25">
      <c r="A147" s="169" t="s">
        <v>200</v>
      </c>
      <c r="B147" s="169"/>
      <c r="C147" s="7">
        <v>0</v>
      </c>
      <c r="D147" s="7">
        <v>0</v>
      </c>
      <c r="E147" s="7">
        <v>0</v>
      </c>
      <c r="F147" s="7">
        <v>0</v>
      </c>
      <c r="G147" s="7">
        <v>0</v>
      </c>
    </row>
    <row r="148" spans="1:7" collapsed="1" x14ac:dyDescent="0.25"/>
  </sheetData>
  <autoFilter ref="A26:B26" xr:uid="{C67C8D8E-E5E2-4882-9088-647078EC0BDF}">
    <sortState xmlns:xlrd2="http://schemas.microsoft.com/office/spreadsheetml/2017/richdata2" ref="A27:B71">
      <sortCondition ref="A26"/>
    </sortState>
  </autoFilter>
  <mergeCells count="83">
    <mergeCell ref="A1:F1"/>
    <mergeCell ref="A77:B77"/>
    <mergeCell ref="A78:B78"/>
    <mergeCell ref="A79:B79"/>
    <mergeCell ref="A80:B80"/>
    <mergeCell ref="A75:F75"/>
    <mergeCell ref="A25:F25"/>
    <mergeCell ref="A8:F8"/>
    <mergeCell ref="A9:F12"/>
    <mergeCell ref="D2:F6"/>
    <mergeCell ref="A18:F18"/>
    <mergeCell ref="C21:E21"/>
    <mergeCell ref="C22:E22"/>
    <mergeCell ref="C23:E23"/>
    <mergeCell ref="C20:E20"/>
    <mergeCell ref="C19:E19"/>
    <mergeCell ref="A81:B81"/>
    <mergeCell ref="A82:B82"/>
    <mergeCell ref="A83:B83"/>
    <mergeCell ref="A84:B84"/>
    <mergeCell ref="A85:B85"/>
    <mergeCell ref="A86:B86"/>
    <mergeCell ref="A87:B87"/>
    <mergeCell ref="A88:B88"/>
    <mergeCell ref="A89:B89"/>
    <mergeCell ref="A90:B90"/>
    <mergeCell ref="A91:B91"/>
    <mergeCell ref="A92:B92"/>
    <mergeCell ref="A93:B93"/>
    <mergeCell ref="A94:B94"/>
    <mergeCell ref="A95:B95"/>
    <mergeCell ref="A96:B96"/>
    <mergeCell ref="A98:B98"/>
    <mergeCell ref="A99:B99"/>
    <mergeCell ref="A100:B100"/>
    <mergeCell ref="A101:B101"/>
    <mergeCell ref="A97:B97"/>
    <mergeCell ref="A102:B102"/>
    <mergeCell ref="A103:B103"/>
    <mergeCell ref="A104:B104"/>
    <mergeCell ref="A105:B105"/>
    <mergeCell ref="A106:B106"/>
    <mergeCell ref="A107:B107"/>
    <mergeCell ref="A109:B109"/>
    <mergeCell ref="A110:B110"/>
    <mergeCell ref="A111:B111"/>
    <mergeCell ref="A112:B112"/>
    <mergeCell ref="A108:B108"/>
    <mergeCell ref="A113:B113"/>
    <mergeCell ref="A114:B114"/>
    <mergeCell ref="A116:B116"/>
    <mergeCell ref="A117:B117"/>
    <mergeCell ref="A118:B118"/>
    <mergeCell ref="A115:B115"/>
    <mergeCell ref="A125:B125"/>
    <mergeCell ref="A126:B126"/>
    <mergeCell ref="A127:B127"/>
    <mergeCell ref="A128:B128"/>
    <mergeCell ref="A119:B119"/>
    <mergeCell ref="A120:B120"/>
    <mergeCell ref="A121:B121"/>
    <mergeCell ref="A122:B122"/>
    <mergeCell ref="A123:B123"/>
    <mergeCell ref="A124:B124"/>
    <mergeCell ref="A146:B146"/>
    <mergeCell ref="A147:B147"/>
    <mergeCell ref="A139:B139"/>
    <mergeCell ref="A140:B140"/>
    <mergeCell ref="A141:B141"/>
    <mergeCell ref="A142:B142"/>
    <mergeCell ref="A143:B143"/>
    <mergeCell ref="A144:B144"/>
    <mergeCell ref="A145:B145"/>
    <mergeCell ref="A134:B134"/>
    <mergeCell ref="A135:B135"/>
    <mergeCell ref="A136:B136"/>
    <mergeCell ref="A137:B137"/>
    <mergeCell ref="A138:B138"/>
    <mergeCell ref="A129:B129"/>
    <mergeCell ref="A130:B130"/>
    <mergeCell ref="A131:B131"/>
    <mergeCell ref="A132:B132"/>
    <mergeCell ref="A133:B133"/>
  </mergeCells>
  <conditionalFormatting sqref="A3:A6">
    <cfRule type="expression" dxfId="35" priority="6">
      <formula>$B3=""</formula>
    </cfRule>
  </conditionalFormatting>
  <conditionalFormatting sqref="B5:B6">
    <cfRule type="containsBlanks" dxfId="34" priority="3">
      <formula>LEN(TRIM(B5))=0</formula>
    </cfRule>
  </conditionalFormatting>
  <conditionalFormatting sqref="B3">
    <cfRule type="containsBlanks" dxfId="33" priority="7">
      <formula>LEN(TRIM(B3))=0</formula>
    </cfRule>
  </conditionalFormatting>
  <conditionalFormatting sqref="B4">
    <cfRule type="notContainsBlanks" dxfId="32" priority="1">
      <formula>LEN(TRIM(B4))&gt;0</formula>
    </cfRule>
    <cfRule type="expression" dxfId="31" priority="2">
      <formula>AND($A$4&lt;&gt;"",$B$4="")</formula>
    </cfRule>
  </conditionalFormatting>
  <dataValidations count="3">
    <dataValidation type="list" allowBlank="1" showInputMessage="1" showErrorMessage="1" sqref="B6" xr:uid="{C2ED7414-0A90-4C5E-9B92-1DA7C2EFA850}">
      <formula1>"CF,DMC,ELE,MSM"</formula1>
    </dataValidation>
    <dataValidation type="list" allowBlank="1" errorTitle="Character Limit Exceeded" error="The project name cannot exceed 10 characters " promptTitle="Character Limitation" prompt="The project name cannot exceed 10 characters " sqref="B3" xr:uid="{CE04CB42-11EA-4DC2-B222-252573AE3C56}">
      <formula1>"Supplier Name,Project Name,Project Manager"</formula1>
    </dataValidation>
    <dataValidation allowBlank="1" errorTitle="Character Limitat Exceeded" error="The subproject name cannot exceed 8 characters " promptTitle="Character Limitation" prompt="The subproject name cannot exceed 8 characters " sqref="B4" xr:uid="{0AC85E5A-AEF4-45BC-A730-C2F865DC8D64}"/>
  </dataValidations>
  <hyperlinks>
    <hyperlink ref="A16" r:id="rId1" xr:uid="{0790AD15-E0F2-4F60-920C-9709BC74DB99}"/>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59D1-990B-414B-80E5-82D25E13045E}">
  <sheetPr codeName="Sheet2"/>
  <dimension ref="A1:KY126"/>
  <sheetViews>
    <sheetView showGridLines="0" zoomScale="70" zoomScaleNormal="70" workbookViewId="0">
      <pane xSplit="7" ySplit="8" topLeftCell="CG23" activePane="bottomRight" state="frozen"/>
      <selection pane="topRight" activeCell="H1" sqref="H1"/>
      <selection pane="bottomLeft" activeCell="A9" sqref="A9"/>
      <selection pane="bottomRight" activeCell="A9" sqref="A9:XFD10"/>
    </sheetView>
  </sheetViews>
  <sheetFormatPr defaultRowHeight="15" outlineLevelRow="1" outlineLevelCol="1" x14ac:dyDescent="0.25"/>
  <cols>
    <col min="1" max="1" width="20.85546875" customWidth="1"/>
    <col min="2" max="2" width="9.85546875" customWidth="1"/>
    <col min="3" max="3" width="16.85546875" bestFit="1" customWidth="1"/>
    <col min="4" max="4" width="12.140625" style="104" customWidth="1"/>
    <col min="5" max="5" width="11.7109375" customWidth="1"/>
    <col min="6" max="6" width="23" customWidth="1"/>
    <col min="7" max="7" width="21" bestFit="1" customWidth="1"/>
    <col min="8" max="8" width="14.28515625" customWidth="1"/>
    <col min="9" max="9" width="11.7109375" customWidth="1"/>
    <col min="10" max="10" width="11.7109375" customWidth="1" outlineLevel="1"/>
    <col min="11" max="11" width="13.7109375" customWidth="1" outlineLevel="1"/>
    <col min="12" max="12" width="13.7109375" customWidth="1"/>
    <col min="13" max="13" width="13.7109375" customWidth="1" outlineLevel="1"/>
    <col min="14" max="14" width="13.28515625" customWidth="1" outlineLevel="1"/>
    <col min="15" max="15" width="13.28515625" customWidth="1"/>
    <col min="16" max="16" width="13" customWidth="1" outlineLevel="1"/>
    <col min="17" max="17" width="12.28515625" customWidth="1" outlineLevel="1"/>
    <col min="18" max="18" width="12.28515625" customWidth="1"/>
    <col min="19" max="20" width="10.7109375" customWidth="1" outlineLevel="1"/>
    <col min="21" max="21" width="10.7109375" customWidth="1"/>
    <col min="22" max="22" width="13" customWidth="1" outlineLevel="1"/>
    <col min="23" max="23" width="14.85546875" customWidth="1" outlineLevel="1"/>
    <col min="24" max="24" width="14.85546875" customWidth="1"/>
    <col min="25" max="25" width="13.140625" customWidth="1" outlineLevel="1"/>
    <col min="26" max="26" width="13.42578125" customWidth="1" outlineLevel="1"/>
    <col min="27" max="27" width="13.42578125" customWidth="1"/>
    <col min="28" max="29" width="13.42578125" customWidth="1" outlineLevel="1"/>
    <col min="30" max="30" width="13.42578125" customWidth="1"/>
    <col min="31" max="32" width="13.42578125" customWidth="1" outlineLevel="1"/>
    <col min="33" max="33" width="13.42578125" customWidth="1"/>
    <col min="34" max="35" width="10.7109375" customWidth="1" outlineLevel="1"/>
    <col min="36" max="36" width="10.7109375" customWidth="1"/>
    <col min="37" max="38" width="10.7109375" customWidth="1" outlineLevel="1"/>
    <col min="39" max="39" width="10.7109375" customWidth="1"/>
    <col min="40" max="41" width="10.7109375" customWidth="1" outlineLevel="1"/>
    <col min="42" max="42" width="10.7109375" customWidth="1"/>
    <col min="43" max="44" width="10.7109375" customWidth="1" outlineLevel="1"/>
    <col min="45" max="45" width="10.7109375" customWidth="1"/>
    <col min="46" max="47" width="10.7109375" customWidth="1" outlineLevel="1"/>
    <col min="48" max="48" width="10.7109375" customWidth="1"/>
    <col min="49" max="50" width="10.7109375" customWidth="1" outlineLevel="1"/>
    <col min="51" max="51" width="10.7109375" customWidth="1"/>
    <col min="52" max="53" width="10.7109375" customWidth="1" outlineLevel="1"/>
    <col min="54" max="54" width="10.7109375" customWidth="1"/>
    <col min="55" max="55" width="12.5703125" customWidth="1" outlineLevel="1"/>
    <col min="56" max="56" width="13.42578125" customWidth="1" outlineLevel="1"/>
    <col min="57" max="57" width="10.85546875" customWidth="1"/>
    <col min="58" max="59" width="10.7109375" customWidth="1" outlineLevel="1"/>
    <col min="60" max="60" width="11.28515625" customWidth="1"/>
    <col min="61" max="62" width="10.7109375" customWidth="1" outlineLevel="1"/>
    <col min="63" max="63" width="10.7109375" customWidth="1"/>
    <col min="64" max="65" width="10.7109375" customWidth="1" outlineLevel="1"/>
    <col min="66" max="66" width="10.7109375" customWidth="1"/>
    <col min="67" max="68" width="10.7109375" customWidth="1" outlineLevel="1"/>
    <col min="69" max="69" width="10.7109375" customWidth="1"/>
    <col min="70" max="71" width="10.7109375" customWidth="1" outlineLevel="1"/>
    <col min="72" max="72" width="10.7109375" customWidth="1"/>
    <col min="73" max="74" width="10.7109375" customWidth="1" outlineLevel="1"/>
    <col min="75" max="75" width="10.7109375" customWidth="1"/>
    <col min="76" max="76" width="13.28515625" customWidth="1" outlineLevel="1"/>
    <col min="77" max="77" width="13.5703125" customWidth="1" outlineLevel="1"/>
    <col min="78" max="78" width="13.5703125" customWidth="1"/>
    <col min="79" max="80" width="10.7109375" customWidth="1" outlineLevel="1"/>
    <col min="81" max="81" width="10.7109375" customWidth="1"/>
    <col min="82" max="82" width="12.7109375" customWidth="1" outlineLevel="1"/>
    <col min="83" max="83" width="13.28515625" customWidth="1" outlineLevel="1"/>
    <col min="84" max="84" width="13.28515625" customWidth="1"/>
    <col min="85" max="86" width="10.7109375" customWidth="1" outlineLevel="1"/>
    <col min="87" max="87" width="10.7109375" customWidth="1"/>
    <col min="88" max="88" width="13.28515625" customWidth="1" outlineLevel="1"/>
    <col min="89" max="89" width="14" customWidth="1" outlineLevel="1"/>
    <col min="90" max="90" width="14" customWidth="1"/>
    <col min="91" max="92" width="10.7109375" customWidth="1" outlineLevel="1"/>
    <col min="93" max="93" width="10.7109375" customWidth="1"/>
    <col min="94" max="94" width="13" customWidth="1" outlineLevel="1"/>
    <col min="95" max="95" width="12.28515625" customWidth="1" outlineLevel="1"/>
    <col min="96" max="96" width="12.28515625" customWidth="1"/>
    <col min="97" max="97" width="84" customWidth="1"/>
    <col min="98" max="99" width="10.7109375" customWidth="1" outlineLevel="1"/>
    <col min="100" max="100" width="10.7109375" customWidth="1"/>
    <col min="101" max="101" width="12.140625" customWidth="1" outlineLevel="1"/>
    <col min="102" max="102" width="10.7109375" customWidth="1" outlineLevel="1"/>
    <col min="103" max="103" width="10.7109375" customWidth="1"/>
    <col min="104" max="105" width="10.7109375" customWidth="1" outlineLevel="1"/>
    <col min="106" max="106" width="10.7109375" customWidth="1"/>
    <col min="107" max="107" width="13.42578125" customWidth="1" outlineLevel="1"/>
    <col min="108" max="108" width="12.5703125" customWidth="1" outlineLevel="1"/>
    <col min="109" max="109" width="12.5703125" customWidth="1"/>
    <col min="110" max="111" width="10.7109375" customWidth="1" outlineLevel="1"/>
    <col min="112" max="112" width="10.7109375" customWidth="1"/>
    <col min="113" max="115" width="11.7109375" customWidth="1" outlineLevel="1"/>
    <col min="116" max="116" width="12.28515625" customWidth="1"/>
    <col min="117" max="117" width="12.7109375" customWidth="1" outlineLevel="1"/>
    <col min="118" max="118" width="12.28515625" customWidth="1" outlineLevel="1"/>
    <col min="119" max="119" width="12.28515625" customWidth="1"/>
    <col min="120" max="120" width="12.28515625" customWidth="1" outlineLevel="1"/>
    <col min="121" max="121" width="10.85546875" customWidth="1" outlineLevel="1"/>
    <col min="122" max="122" width="10.85546875" customWidth="1"/>
    <col min="123" max="123" width="13" customWidth="1" outlineLevel="1"/>
    <col min="124" max="124" width="12.140625" customWidth="1" outlineLevel="1"/>
    <col min="125" max="125" width="12.5703125" customWidth="1" outlineLevel="1"/>
    <col min="126" max="126" width="13.7109375" customWidth="1"/>
    <col min="127" max="127" width="13.7109375" customWidth="1" outlineLevel="1"/>
    <col min="128" max="129" width="12.7109375" customWidth="1" outlineLevel="1"/>
    <col min="130" max="130" width="13.85546875" customWidth="1"/>
    <col min="131" max="131" width="13.85546875" customWidth="1" outlineLevel="1"/>
    <col min="132" max="132" width="13.42578125" customWidth="1" outlineLevel="1"/>
    <col min="133" max="133" width="14" customWidth="1" outlineLevel="1"/>
    <col min="134" max="134" width="14" customWidth="1"/>
    <col min="135" max="136" width="10.7109375" customWidth="1" outlineLevel="1"/>
    <col min="137" max="137" width="10.7109375" customWidth="1"/>
    <col min="138" max="139" width="10.7109375" customWidth="1" outlineLevel="1"/>
    <col min="140" max="140" width="10.7109375" customWidth="1"/>
    <col min="141" max="142" width="10.7109375" customWidth="1" outlineLevel="1"/>
    <col min="143" max="143" width="10.7109375" customWidth="1"/>
    <col min="144" max="145" width="10.7109375" customWidth="1" outlineLevel="1"/>
    <col min="146" max="146" width="10.7109375" customWidth="1"/>
    <col min="147" max="148" width="10.7109375" customWidth="1" outlineLevel="1"/>
    <col min="149" max="149" width="10.7109375" customWidth="1"/>
    <col min="150" max="151" width="10.7109375" customWidth="1" outlineLevel="1"/>
    <col min="152" max="152" width="10.7109375" customWidth="1"/>
    <col min="153" max="154" width="10.7109375" customWidth="1" outlineLevel="1"/>
    <col min="155" max="155" width="10.7109375" customWidth="1"/>
    <col min="156" max="157" width="10.7109375" customWidth="1" outlineLevel="1"/>
    <col min="158" max="158" width="10.7109375" customWidth="1"/>
    <col min="159" max="159" width="13.28515625" customWidth="1" outlineLevel="1"/>
    <col min="160" max="160" width="12.85546875" customWidth="1" outlineLevel="1"/>
    <col min="161" max="161" width="12.85546875" customWidth="1"/>
    <col min="162" max="163" width="12.85546875" customWidth="1" outlineLevel="1"/>
    <col min="164" max="164" width="12.85546875" customWidth="1"/>
    <col min="165" max="165" width="13.28515625" customWidth="1" outlineLevel="1"/>
    <col min="166" max="166" width="11.42578125" customWidth="1" outlineLevel="1"/>
    <col min="167" max="167" width="11.42578125" customWidth="1"/>
    <col min="168" max="168" width="13.7109375" customWidth="1" outlineLevel="1"/>
    <col min="169" max="169" width="13.85546875" customWidth="1" outlineLevel="1"/>
    <col min="170" max="170" width="13.85546875" customWidth="1"/>
    <col min="171" max="171" width="12.28515625" customWidth="1" outlineLevel="1"/>
    <col min="172" max="172" width="13.7109375" customWidth="1" outlineLevel="1"/>
    <col min="173" max="173" width="13.42578125" customWidth="1"/>
    <col min="174" max="174" width="17.85546875" customWidth="1"/>
    <col min="175" max="175" width="17.85546875" style="112" customWidth="1"/>
    <col min="176" max="178" width="13.85546875" customWidth="1"/>
    <col min="179" max="179" width="14.28515625" customWidth="1"/>
  </cols>
  <sheetData>
    <row r="1" spans="1:311" ht="15.75" customHeight="1" x14ac:dyDescent="0.25">
      <c r="A1" s="80" t="s">
        <v>201</v>
      </c>
      <c r="B1" s="13"/>
      <c r="C1" s="17" t="s">
        <v>202</v>
      </c>
      <c r="D1" s="94"/>
      <c r="E1" s="17"/>
      <c r="F1" s="18"/>
      <c r="G1" s="115"/>
      <c r="H1" s="115" t="s">
        <v>203</v>
      </c>
      <c r="I1" s="116" t="s">
        <v>204</v>
      </c>
      <c r="J1" s="116"/>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7"/>
      <c r="CQ1" s="117"/>
      <c r="CR1" s="117"/>
      <c r="CS1" s="117"/>
      <c r="CT1" s="117"/>
      <c r="CU1" s="117"/>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25">
      <c r="A2" s="18"/>
      <c r="B2" s="4"/>
      <c r="C2" s="17" t="s">
        <v>205</v>
      </c>
      <c r="D2" s="94"/>
      <c r="E2" s="17"/>
      <c r="F2" s="18"/>
      <c r="G2" s="115"/>
      <c r="H2" s="115"/>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17"/>
      <c r="CF2" s="117"/>
      <c r="CG2" s="117"/>
      <c r="CH2" s="117"/>
      <c r="CI2" s="117"/>
      <c r="CJ2" s="117"/>
      <c r="CK2" s="117"/>
      <c r="CL2" s="117"/>
      <c r="CM2" s="117"/>
      <c r="CN2" s="117"/>
      <c r="CO2" s="117"/>
      <c r="CP2" s="117"/>
      <c r="CQ2" s="117"/>
      <c r="CR2" s="117"/>
      <c r="CS2" s="117"/>
      <c r="CT2" s="117"/>
      <c r="CU2" s="117"/>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5.75" x14ac:dyDescent="0.25">
      <c r="A3" s="18"/>
      <c r="B3" s="10"/>
      <c r="C3" s="17" t="s">
        <v>206</v>
      </c>
      <c r="D3" s="94"/>
      <c r="E3" s="17"/>
      <c r="F3" s="19"/>
      <c r="G3" s="20"/>
      <c r="H3" s="20" t="s">
        <v>207</v>
      </c>
      <c r="I3" s="38" t="s">
        <v>208</v>
      </c>
      <c r="J3" s="118" t="s">
        <v>209</v>
      </c>
      <c r="K3" s="118"/>
      <c r="L3" s="118"/>
      <c r="M3" s="118"/>
      <c r="N3" s="118"/>
      <c r="O3" s="118"/>
      <c r="P3" s="118"/>
      <c r="Q3" s="118"/>
      <c r="R3" s="118"/>
      <c r="S3" s="118"/>
      <c r="T3" s="118"/>
      <c r="U3" s="118"/>
      <c r="V3" s="118"/>
      <c r="W3" s="118"/>
      <c r="X3" s="118"/>
      <c r="Y3" s="118"/>
      <c r="Z3" s="118"/>
      <c r="AA3" s="118"/>
      <c r="AB3" s="96"/>
      <c r="AC3" s="96"/>
      <c r="AD3" s="96"/>
      <c r="AE3" s="119" t="s">
        <v>210</v>
      </c>
      <c r="AF3" s="119"/>
      <c r="AG3" s="119"/>
      <c r="AH3" s="120" t="s">
        <v>211</v>
      </c>
      <c r="AI3" s="120"/>
      <c r="AJ3" s="120"/>
      <c r="AK3" s="120"/>
      <c r="AL3" s="120"/>
      <c r="AM3" s="120"/>
      <c r="AN3" s="120"/>
      <c r="AO3" s="120"/>
      <c r="AP3" s="120"/>
      <c r="AQ3" s="121" t="s">
        <v>212</v>
      </c>
      <c r="AR3" s="121"/>
      <c r="AS3" s="121"/>
      <c r="AT3" s="121"/>
      <c r="AU3" s="121"/>
      <c r="AV3" s="121"/>
      <c r="AW3" s="121"/>
      <c r="AX3" s="121"/>
      <c r="AY3" s="121"/>
      <c r="AZ3" s="121"/>
      <c r="BA3" s="121"/>
      <c r="BB3" s="50"/>
      <c r="BC3" s="122" t="s">
        <v>213</v>
      </c>
      <c r="BD3" s="122"/>
      <c r="BE3" s="122"/>
      <c r="BF3" s="122"/>
      <c r="BG3" s="122"/>
      <c r="BH3" s="122"/>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25">
      <c r="A4" s="21"/>
      <c r="B4" s="27"/>
      <c r="C4" s="17" t="s">
        <v>215</v>
      </c>
      <c r="D4" s="94"/>
      <c r="E4" s="17"/>
      <c r="F4" s="19"/>
      <c r="G4" s="20"/>
      <c r="H4" s="20" t="s">
        <v>216</v>
      </c>
      <c r="I4" s="32" t="s">
        <v>217</v>
      </c>
      <c r="J4" s="123" t="s">
        <v>218</v>
      </c>
      <c r="K4" s="123"/>
      <c r="L4" s="123"/>
      <c r="M4" s="123"/>
      <c r="N4" s="123"/>
      <c r="O4" s="123"/>
      <c r="P4" s="123"/>
      <c r="Q4" s="123"/>
      <c r="R4" s="123"/>
      <c r="S4" s="123"/>
      <c r="T4" s="123"/>
      <c r="U4" s="123"/>
      <c r="V4" s="123"/>
      <c r="W4" s="123"/>
      <c r="X4" s="123"/>
      <c r="Y4" s="123"/>
      <c r="Z4" s="123"/>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123"/>
      <c r="BC4" s="123"/>
      <c r="BD4" s="123"/>
      <c r="BE4" s="123"/>
      <c r="BF4" s="124" t="s">
        <v>219</v>
      </c>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5" t="s">
        <v>220</v>
      </c>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6" t="s">
        <v>221</v>
      </c>
      <c r="FA4" s="126"/>
      <c r="FB4" s="126"/>
      <c r="FC4" s="126"/>
      <c r="FD4" s="126"/>
      <c r="FE4" s="126"/>
      <c r="FF4" s="126"/>
      <c r="FG4" s="126"/>
      <c r="FH4" s="126"/>
      <c r="FI4" s="126"/>
      <c r="FJ4" s="126"/>
      <c r="FK4" s="126"/>
      <c r="FL4" s="126"/>
      <c r="FM4" s="126"/>
      <c r="FN4" s="126"/>
      <c r="FO4" s="126"/>
      <c r="FP4" s="126"/>
      <c r="FQ4" s="126"/>
      <c r="FR4" s="126"/>
      <c r="FS4" s="106"/>
      <c r="FT4" s="2"/>
      <c r="FU4" s="2"/>
      <c r="FV4" s="2"/>
      <c r="FW4" s="41"/>
      <c r="FX4" s="36"/>
      <c r="FY4" s="36"/>
      <c r="FZ4" s="36"/>
      <c r="GA4" s="36"/>
      <c r="GB4" s="36"/>
      <c r="GC4" s="36"/>
      <c r="GD4" s="36"/>
    </row>
    <row r="5" spans="1:311" x14ac:dyDescent="0.25">
      <c r="A5" s="21"/>
      <c r="B5" s="51"/>
      <c r="C5" s="17" t="s">
        <v>222</v>
      </c>
      <c r="D5" s="94"/>
      <c r="E5" s="17"/>
      <c r="F5" s="20"/>
      <c r="G5" s="20"/>
      <c r="H5" s="20" t="s">
        <v>223</v>
      </c>
      <c r="I5" s="127" t="s">
        <v>224</v>
      </c>
      <c r="J5" s="128"/>
      <c r="K5" s="128"/>
      <c r="L5" s="128"/>
      <c r="M5" s="128"/>
      <c r="N5" s="128"/>
      <c r="O5" s="128"/>
      <c r="P5" s="128"/>
      <c r="Q5" s="128"/>
      <c r="R5" s="128"/>
      <c r="S5" s="128"/>
      <c r="T5" s="128"/>
      <c r="U5" s="128"/>
      <c r="V5" s="128"/>
      <c r="W5" s="128"/>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8"/>
      <c r="AZ5" s="128"/>
      <c r="BA5" s="128"/>
      <c r="BB5" s="128"/>
      <c r="BC5" s="128"/>
      <c r="BD5" s="128"/>
      <c r="BE5" s="128"/>
      <c r="BF5" s="128"/>
      <c r="BG5" s="128"/>
      <c r="BH5" s="128"/>
      <c r="BI5" s="131" t="s">
        <v>225</v>
      </c>
      <c r="BJ5" s="132"/>
      <c r="BK5" s="132"/>
      <c r="BL5" s="132"/>
      <c r="BM5" s="132"/>
      <c r="BN5" s="132"/>
      <c r="BO5" s="132"/>
      <c r="BP5" s="132"/>
      <c r="BQ5" s="132"/>
      <c r="BR5" s="132"/>
      <c r="BS5" s="132"/>
      <c r="BT5" s="132"/>
      <c r="BU5" s="132"/>
      <c r="BV5" s="132"/>
      <c r="BW5" s="132"/>
      <c r="BX5" s="132"/>
      <c r="BY5" s="132"/>
      <c r="BZ5" s="132"/>
      <c r="CA5" s="132"/>
      <c r="CB5" s="132"/>
      <c r="CC5" s="132"/>
      <c r="CD5" s="132"/>
      <c r="CE5" s="132"/>
      <c r="CF5" s="132"/>
      <c r="CG5" s="132"/>
      <c r="CH5" s="132"/>
      <c r="CI5" s="132"/>
      <c r="CJ5" s="132"/>
      <c r="CK5" s="132"/>
      <c r="CL5" s="132"/>
      <c r="CM5" s="132"/>
      <c r="CN5" s="132"/>
      <c r="CO5" s="132"/>
      <c r="CP5" s="132"/>
      <c r="CQ5" s="132"/>
      <c r="CR5" s="132"/>
      <c r="CS5" s="132"/>
      <c r="CT5" s="132"/>
      <c r="CU5" s="132"/>
      <c r="CV5" s="132"/>
      <c r="CW5" s="132"/>
      <c r="CX5" s="132"/>
      <c r="CY5" s="132"/>
      <c r="CZ5" s="132"/>
      <c r="DA5" s="132"/>
      <c r="DB5" s="132"/>
      <c r="DC5" s="132"/>
      <c r="DD5" s="132"/>
      <c r="DE5" s="132"/>
      <c r="DF5" s="132"/>
      <c r="DG5" s="132"/>
      <c r="DH5" s="132"/>
      <c r="DI5" s="132"/>
      <c r="DJ5" s="132"/>
      <c r="DK5" s="132"/>
      <c r="DL5" s="132"/>
      <c r="DM5" s="132"/>
      <c r="DN5" s="132"/>
      <c r="DO5" s="132"/>
      <c r="DP5" s="132"/>
      <c r="DQ5" s="132"/>
      <c r="DR5" s="132"/>
      <c r="DS5" s="132"/>
      <c r="DT5" s="132"/>
      <c r="DU5" s="132"/>
      <c r="DV5" s="132"/>
      <c r="DW5" s="132"/>
      <c r="DX5" s="132"/>
      <c r="DY5" s="132"/>
      <c r="DZ5" s="132"/>
      <c r="EA5" s="132"/>
      <c r="EB5" s="132"/>
      <c r="EC5" s="132"/>
      <c r="ED5" s="132"/>
      <c r="EE5" s="132"/>
      <c r="EF5" s="132"/>
      <c r="EG5" s="132"/>
      <c r="EH5" s="132"/>
      <c r="EI5" s="132"/>
      <c r="EJ5" s="132"/>
      <c r="EK5" s="132"/>
      <c r="EL5" s="132"/>
      <c r="EM5" s="132"/>
      <c r="EN5" s="132"/>
      <c r="EO5" s="132"/>
      <c r="EP5" s="132"/>
      <c r="EQ5" s="132"/>
      <c r="ER5" s="132"/>
      <c r="ES5" s="132"/>
      <c r="ET5" s="132"/>
      <c r="EU5" s="132"/>
      <c r="EV5" s="132"/>
      <c r="EW5" s="132"/>
      <c r="EX5" s="132"/>
      <c r="EY5" s="132"/>
      <c r="EZ5" s="132"/>
      <c r="FA5" s="132"/>
      <c r="FB5" s="132"/>
      <c r="FC5" s="132"/>
      <c r="FD5" s="132"/>
      <c r="FE5" s="132"/>
      <c r="FF5" s="132"/>
      <c r="FG5" s="132"/>
      <c r="FH5" s="132"/>
      <c r="FI5" s="132"/>
      <c r="FJ5" s="132"/>
      <c r="FK5" s="133"/>
      <c r="FL5" s="137" t="s">
        <v>226</v>
      </c>
      <c r="FM5" s="138"/>
      <c r="FN5" s="138"/>
      <c r="FO5" s="138"/>
      <c r="FP5" s="138"/>
      <c r="FQ5" s="138"/>
      <c r="FR5" s="139"/>
      <c r="FS5" s="107"/>
      <c r="FT5" s="143" t="s">
        <v>227</v>
      </c>
      <c r="FU5" s="143"/>
      <c r="FV5" s="143"/>
      <c r="FW5" s="143"/>
      <c r="FX5" s="36"/>
      <c r="FY5" s="36"/>
      <c r="FZ5" s="36"/>
      <c r="GA5" s="36"/>
      <c r="GB5" s="36"/>
      <c r="GC5" s="36"/>
      <c r="GD5" s="36"/>
    </row>
    <row r="6" spans="1:311" x14ac:dyDescent="0.25">
      <c r="A6" s="22"/>
      <c r="B6" s="92"/>
      <c r="C6" s="17" t="s">
        <v>228</v>
      </c>
      <c r="D6" s="94"/>
      <c r="E6" s="17"/>
      <c r="F6" s="20"/>
      <c r="G6" s="20"/>
      <c r="H6" s="20"/>
      <c r="I6" s="129"/>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4"/>
      <c r="BJ6" s="135"/>
      <c r="BK6" s="135"/>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5"/>
      <c r="DR6" s="135"/>
      <c r="DS6" s="135"/>
      <c r="DT6" s="135"/>
      <c r="DU6" s="135"/>
      <c r="DV6" s="135"/>
      <c r="DW6" s="135"/>
      <c r="DX6" s="135"/>
      <c r="DY6" s="135"/>
      <c r="DZ6" s="135"/>
      <c r="EA6" s="135"/>
      <c r="EB6" s="135"/>
      <c r="EC6" s="135"/>
      <c r="ED6" s="135"/>
      <c r="EE6" s="135"/>
      <c r="EF6" s="135"/>
      <c r="EG6" s="135"/>
      <c r="EH6" s="135"/>
      <c r="EI6" s="135"/>
      <c r="EJ6" s="135"/>
      <c r="EK6" s="135"/>
      <c r="EL6" s="135"/>
      <c r="EM6" s="135"/>
      <c r="EN6" s="135"/>
      <c r="EO6" s="135"/>
      <c r="EP6" s="135"/>
      <c r="EQ6" s="135"/>
      <c r="ER6" s="135"/>
      <c r="ES6" s="135"/>
      <c r="ET6" s="135"/>
      <c r="EU6" s="135"/>
      <c r="EV6" s="135"/>
      <c r="EW6" s="135"/>
      <c r="EX6" s="135"/>
      <c r="EY6" s="135"/>
      <c r="EZ6" s="135"/>
      <c r="FA6" s="135"/>
      <c r="FB6" s="135"/>
      <c r="FC6" s="135"/>
      <c r="FD6" s="135"/>
      <c r="FE6" s="135"/>
      <c r="FF6" s="135"/>
      <c r="FG6" s="135"/>
      <c r="FH6" s="135"/>
      <c r="FI6" s="135"/>
      <c r="FJ6" s="135"/>
      <c r="FK6" s="136"/>
      <c r="FL6" s="140"/>
      <c r="FM6" s="141"/>
      <c r="FN6" s="141"/>
      <c r="FO6" s="141"/>
      <c r="FP6" s="141"/>
      <c r="FQ6" s="141"/>
      <c r="FR6" s="142"/>
      <c r="FS6" s="108"/>
      <c r="FT6" s="143"/>
      <c r="FU6" s="143"/>
      <c r="FV6" s="143"/>
      <c r="FW6" s="143"/>
      <c r="FX6" s="36"/>
      <c r="FY6" s="36"/>
      <c r="FZ6" s="36"/>
      <c r="GA6" s="36"/>
      <c r="GB6" s="36"/>
      <c r="GC6" s="36"/>
      <c r="GD6" s="36"/>
    </row>
    <row r="7" spans="1:311" s="23" customFormat="1" ht="38.25" customHeight="1" x14ac:dyDescent="0.25">
      <c r="A7" s="144" t="s">
        <v>229</v>
      </c>
      <c r="B7" s="144"/>
      <c r="C7" s="144"/>
      <c r="D7" s="144"/>
      <c r="E7" s="144"/>
      <c r="F7" s="144"/>
      <c r="G7" s="144"/>
      <c r="H7" s="52"/>
      <c r="I7" s="37" t="s">
        <v>230</v>
      </c>
      <c r="J7" s="145" t="s">
        <v>231</v>
      </c>
      <c r="K7" s="145"/>
      <c r="L7" s="145"/>
      <c r="M7" s="146" t="s">
        <v>232</v>
      </c>
      <c r="N7" s="146"/>
      <c r="O7" s="146"/>
      <c r="P7" s="146" t="s">
        <v>233</v>
      </c>
      <c r="Q7" s="146"/>
      <c r="R7" s="147"/>
      <c r="S7" s="145" t="s">
        <v>234</v>
      </c>
      <c r="T7" s="145"/>
      <c r="U7" s="145"/>
      <c r="V7" s="145" t="s">
        <v>235</v>
      </c>
      <c r="W7" s="145" t="s">
        <v>235</v>
      </c>
      <c r="X7" s="145"/>
      <c r="Y7" s="145" t="s">
        <v>236</v>
      </c>
      <c r="Z7" s="145" t="s">
        <v>236</v>
      </c>
      <c r="AA7" s="148"/>
      <c r="AB7" s="145" t="s">
        <v>237</v>
      </c>
      <c r="AC7" s="145"/>
      <c r="AD7" s="145"/>
      <c r="AE7" s="145" t="s">
        <v>238</v>
      </c>
      <c r="AF7" s="145" t="s">
        <v>239</v>
      </c>
      <c r="AG7" s="145"/>
      <c r="AH7" s="149" t="s">
        <v>240</v>
      </c>
      <c r="AI7" s="149" t="s">
        <v>241</v>
      </c>
      <c r="AJ7" s="150"/>
      <c r="AK7" s="145" t="s">
        <v>242</v>
      </c>
      <c r="AL7" s="145" t="s">
        <v>243</v>
      </c>
      <c r="AM7" s="145"/>
      <c r="AN7" s="145" t="s">
        <v>244</v>
      </c>
      <c r="AO7" s="145" t="s">
        <v>244</v>
      </c>
      <c r="AP7" s="145"/>
      <c r="AQ7" s="149" t="s">
        <v>245</v>
      </c>
      <c r="AR7" s="149" t="s">
        <v>245</v>
      </c>
      <c r="AS7" s="150"/>
      <c r="AT7" s="145" t="s">
        <v>246</v>
      </c>
      <c r="AU7" s="145" t="s">
        <v>246</v>
      </c>
      <c r="AV7" s="145"/>
      <c r="AW7" s="145" t="s">
        <v>247</v>
      </c>
      <c r="AX7" s="145" t="s">
        <v>247</v>
      </c>
      <c r="AY7" s="145"/>
      <c r="AZ7" s="151" t="s">
        <v>248</v>
      </c>
      <c r="BA7" s="151"/>
      <c r="BB7" s="151"/>
      <c r="BC7" s="149" t="s">
        <v>249</v>
      </c>
      <c r="BD7" s="149"/>
      <c r="BE7" s="150"/>
      <c r="BF7" s="145" t="s">
        <v>250</v>
      </c>
      <c r="BG7" s="145" t="s">
        <v>250</v>
      </c>
      <c r="BH7" s="145"/>
      <c r="BI7" s="145" t="s">
        <v>251</v>
      </c>
      <c r="BJ7" s="145" t="s">
        <v>251</v>
      </c>
      <c r="BK7" s="145"/>
      <c r="BL7" s="145" t="s">
        <v>252</v>
      </c>
      <c r="BM7" s="145" t="s">
        <v>252</v>
      </c>
      <c r="BN7" s="145"/>
      <c r="BO7" s="145" t="s">
        <v>253</v>
      </c>
      <c r="BP7" s="145" t="s">
        <v>253</v>
      </c>
      <c r="BQ7" s="145"/>
      <c r="BR7" s="145" t="s">
        <v>254</v>
      </c>
      <c r="BS7" s="145" t="s">
        <v>254</v>
      </c>
      <c r="BT7" s="145"/>
      <c r="BU7" s="145" t="s">
        <v>255</v>
      </c>
      <c r="BV7" s="145" t="s">
        <v>255</v>
      </c>
      <c r="BW7" s="145"/>
      <c r="BX7" s="145" t="s">
        <v>256</v>
      </c>
      <c r="BY7" s="145" t="s">
        <v>256</v>
      </c>
      <c r="BZ7" s="145"/>
      <c r="CA7" s="145" t="s">
        <v>257</v>
      </c>
      <c r="CB7" s="145" t="s">
        <v>257</v>
      </c>
      <c r="CC7" s="145"/>
      <c r="CD7" s="145" t="s">
        <v>258</v>
      </c>
      <c r="CE7" s="145" t="s">
        <v>258</v>
      </c>
      <c r="CF7" s="145"/>
      <c r="CG7" s="145" t="s">
        <v>259</v>
      </c>
      <c r="CH7" s="145" t="s">
        <v>259</v>
      </c>
      <c r="CI7" s="145"/>
      <c r="CJ7" s="145" t="s">
        <v>260</v>
      </c>
      <c r="CK7" s="145" t="s">
        <v>260</v>
      </c>
      <c r="CL7" s="145"/>
      <c r="CM7" s="152" t="s">
        <v>261</v>
      </c>
      <c r="CN7" s="152"/>
      <c r="CO7" s="153"/>
      <c r="CP7" s="153" t="s">
        <v>262</v>
      </c>
      <c r="CQ7" s="154"/>
      <c r="CR7" s="154"/>
      <c r="CS7" s="155"/>
      <c r="CT7" s="149" t="s">
        <v>263</v>
      </c>
      <c r="CU7" s="149"/>
      <c r="CV7" s="150"/>
      <c r="CW7" s="156" t="s">
        <v>264</v>
      </c>
      <c r="CX7" s="156"/>
      <c r="CY7" s="156"/>
      <c r="CZ7" s="145" t="s">
        <v>265</v>
      </c>
      <c r="DA7" s="145"/>
      <c r="DB7" s="145"/>
      <c r="DC7" s="157" t="s">
        <v>266</v>
      </c>
      <c r="DD7" s="157"/>
      <c r="DE7" s="157"/>
      <c r="DF7" s="158" t="s">
        <v>267</v>
      </c>
      <c r="DG7" s="158"/>
      <c r="DH7" s="158"/>
      <c r="DI7" s="159" t="s">
        <v>268</v>
      </c>
      <c r="DJ7" s="160"/>
      <c r="DK7" s="160"/>
      <c r="DL7" s="161"/>
      <c r="DM7" s="156" t="s">
        <v>269</v>
      </c>
      <c r="DN7" s="156"/>
      <c r="DO7" s="156"/>
      <c r="DP7" s="145" t="s">
        <v>270</v>
      </c>
      <c r="DQ7" s="145"/>
      <c r="DR7" s="145"/>
      <c r="DS7" s="162" t="s">
        <v>271</v>
      </c>
      <c r="DT7" s="163"/>
      <c r="DU7" s="163"/>
      <c r="DV7" s="164"/>
      <c r="DW7" s="162" t="s">
        <v>272</v>
      </c>
      <c r="DX7" s="163"/>
      <c r="DY7" s="163"/>
      <c r="DZ7" s="164"/>
      <c r="EA7" s="162" t="s">
        <v>273</v>
      </c>
      <c r="EB7" s="163"/>
      <c r="EC7" s="163"/>
      <c r="ED7" s="164"/>
      <c r="EE7" s="146" t="s">
        <v>274</v>
      </c>
      <c r="EF7" s="146"/>
      <c r="EG7" s="146"/>
      <c r="EH7" s="146" t="s">
        <v>275</v>
      </c>
      <c r="EI7" s="146"/>
      <c r="EJ7" s="147"/>
      <c r="EK7" s="156" t="s">
        <v>276</v>
      </c>
      <c r="EL7" s="156"/>
      <c r="EM7" s="156"/>
      <c r="EN7" s="145" t="s">
        <v>277</v>
      </c>
      <c r="EO7" s="145"/>
      <c r="EP7" s="145"/>
      <c r="EQ7" s="145" t="s">
        <v>278</v>
      </c>
      <c r="ER7" s="145"/>
      <c r="ES7" s="145"/>
      <c r="ET7" s="145" t="s">
        <v>279</v>
      </c>
      <c r="EU7" s="145"/>
      <c r="EV7" s="145"/>
      <c r="EW7" s="145" t="s">
        <v>280</v>
      </c>
      <c r="EX7" s="145"/>
      <c r="EY7" s="145"/>
      <c r="EZ7" s="167" t="s">
        <v>281</v>
      </c>
      <c r="FA7" s="167" t="s">
        <v>281</v>
      </c>
      <c r="FB7" s="167"/>
      <c r="FC7" s="145" t="s">
        <v>282</v>
      </c>
      <c r="FD7" s="145"/>
      <c r="FE7" s="145"/>
      <c r="FF7" s="148" t="s">
        <v>283</v>
      </c>
      <c r="FG7" s="168"/>
      <c r="FH7" s="168"/>
      <c r="FI7" s="165" t="s">
        <v>284</v>
      </c>
      <c r="FJ7" s="165"/>
      <c r="FK7" s="165"/>
      <c r="FL7" s="149" t="s">
        <v>285</v>
      </c>
      <c r="FM7" s="149"/>
      <c r="FN7" s="149"/>
      <c r="FO7" s="166" t="s">
        <v>286</v>
      </c>
      <c r="FP7" s="166"/>
      <c r="FQ7" s="166"/>
      <c r="FR7" s="75" t="s">
        <v>287</v>
      </c>
      <c r="FS7" s="75" t="s">
        <v>288</v>
      </c>
      <c r="FT7" s="143"/>
      <c r="FU7" s="143"/>
      <c r="FV7" s="143"/>
      <c r="FW7" s="143"/>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2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outlineLevel="1" x14ac:dyDescent="0.25">
      <c r="A9" s="23"/>
      <c r="B9" s="23"/>
      <c r="C9" s="24"/>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395</v>
      </c>
      <c r="FU9" s="54">
        <f>NETWORKDAYS($I10,FP10)</f>
        <v>395</v>
      </c>
      <c r="FV9" s="54">
        <f>IF(FQ10="",NETWORKDAYS($I10,FP10),NETWORKDAYS($I10,FQ10))</f>
        <v>395</v>
      </c>
      <c r="FW9" s="55" t="s">
        <v>464</v>
      </c>
    </row>
    <row r="10" spans="1:311" x14ac:dyDescent="0.25">
      <c r="A10" s="23" t="s">
        <v>465</v>
      </c>
      <c r="B10" s="23">
        <v>100000</v>
      </c>
      <c r="C10" s="23">
        <v>111</v>
      </c>
      <c r="D10" s="65"/>
      <c r="E10" s="23" t="str">
        <f>IF(D10="","Unknown",IF(D10&lt;=FM10+90,"Red",IF(AND(D10&gt;FM10+90,D10&lt;=FM10+180),"Yellow",IF(AND(D10&gt;FM10+180,D10&lt;=FM10+690),"Green","Covered"))))</f>
        <v>Unknown</v>
      </c>
      <c r="F10" s="25" t="s">
        <v>466</v>
      </c>
      <c r="G10" s="26"/>
      <c r="H10" s="26" t="str">
        <f>IF(CR10="","Pre-Execution","Execution")</f>
        <v>Pre-Execution</v>
      </c>
      <c r="I10" s="13">
        <v>45689</v>
      </c>
      <c r="J10" s="28"/>
      <c r="K10" s="28"/>
      <c r="L10" s="28"/>
      <c r="M10" s="10">
        <f>WORKDAY(I10,M9)</f>
        <v>45727</v>
      </c>
      <c r="N10" s="10">
        <f>WORKDAY(I10,N9)</f>
        <v>45727</v>
      </c>
      <c r="O10" s="56"/>
      <c r="P10" s="10">
        <f>WORKDAY(M10,P9)</f>
        <v>45727</v>
      </c>
      <c r="Q10" s="10">
        <f>IF(O10="",WORKDAY(N10,Q9),WORKDAY(O10,Q9))</f>
        <v>45727</v>
      </c>
      <c r="R10" s="56"/>
      <c r="S10" s="28"/>
      <c r="T10" s="28"/>
      <c r="U10" s="28"/>
      <c r="V10" s="10">
        <f>WORKDAY(P10, V9)</f>
        <v>45769</v>
      </c>
      <c r="W10" s="10">
        <f>IF(R10="",WORKDAY(Q10,W9),WORKDAY(R10,W9))</f>
        <v>45769</v>
      </c>
      <c r="X10" s="56"/>
      <c r="Y10" s="10">
        <f>WORKDAY(P10,Y9)</f>
        <v>45825</v>
      </c>
      <c r="Z10" s="10">
        <f>IF(R10="",WORKDAY(Q10,Z9),WORKDAY(R10,Z9))</f>
        <v>45825</v>
      </c>
      <c r="AA10" s="56"/>
      <c r="AB10" s="10">
        <f>WORKDAY(I10,AB9)</f>
        <v>45689</v>
      </c>
      <c r="AC10" s="10">
        <f>WORKDAY(I10,AC9)</f>
        <v>45689</v>
      </c>
      <c r="AD10" s="56"/>
      <c r="AE10" s="10">
        <f>WORKDAY(AB10,AE9)</f>
        <v>45793</v>
      </c>
      <c r="AF10" s="10">
        <f>IF(AD10="",WORKDAY(AC10,AF9),WORKDAY(AD10,AF9))</f>
        <v>45793</v>
      </c>
      <c r="AG10" s="56"/>
      <c r="AH10" s="10">
        <f>WORKDAY(IF(Y10&gt;AE10,Y10,AE10),AH9)</f>
        <v>45832</v>
      </c>
      <c r="AI10" s="10">
        <f>WORKDAY(IF(AA10="",IF(Z10&gt;AF10,Z10,AF10),IF(AA10&gt;AG10,AA10,AG10)),AI9)</f>
        <v>45832</v>
      </c>
      <c r="AJ10" s="56"/>
      <c r="AK10" s="10">
        <f>WORKDAY(AH10,AK9)</f>
        <v>45860</v>
      </c>
      <c r="AL10" s="10">
        <f>IF(AJ10="",WORKDAY(AI10,AL9),WORKDAY(AJ10,AL9))</f>
        <v>45860</v>
      </c>
      <c r="AM10" s="56"/>
      <c r="AN10" s="10">
        <f>WORKDAY(AK10,AN9)</f>
        <v>45860</v>
      </c>
      <c r="AO10" s="10">
        <f>IF(AM10="",WORKDAY(AL10,AO9),WORKDAY(AM10,AO9))</f>
        <v>45860</v>
      </c>
      <c r="AP10" s="56"/>
      <c r="AQ10" s="10">
        <f>WORKDAY(AN10,AQ9)</f>
        <v>45888</v>
      </c>
      <c r="AR10" s="10">
        <f>IF(AP10="",WORKDAY(AO10,AR9),WORKDAY(AP10,AR9))</f>
        <v>45888</v>
      </c>
      <c r="AS10" s="56"/>
      <c r="AT10" s="10">
        <f>WORKDAY(AN10,AT9)</f>
        <v>45867</v>
      </c>
      <c r="AU10" s="10">
        <f>IF(O10="",WORKDAY(AO10,AU9),WORKDAY(AP10,AU9))</f>
        <v>45867</v>
      </c>
      <c r="AV10" s="56"/>
      <c r="AW10" s="10">
        <f>IF(AQ10&gt;AT10,WORKDAY(AQ10,AW9),WORKDAY(AT10,AW9))</f>
        <v>45902</v>
      </c>
      <c r="AX10" s="10">
        <f>IF(AS10="",IF(AR10&gt;AU10,WORKDAY(AR10,AX9),WORKDAY(AU10,AX9)),IF(AS10&gt;AV10,WORKDAY(AS10,AX9),WORKDAY(AV10,AX9)))</f>
        <v>45902</v>
      </c>
      <c r="AY10" s="56"/>
      <c r="AZ10" s="10">
        <f>WORKDAY(AN10,AZ9)</f>
        <v>45902</v>
      </c>
      <c r="BA10" s="10">
        <f>IF(AP10="",WORKDAY(AO10,BA9),WORKDAY(AP10,BA9))</f>
        <v>45902</v>
      </c>
      <c r="BB10" s="56"/>
      <c r="BC10" s="10">
        <f>IF(AW10&gt;AZ10,WORKDAY(AW10,BC9),WORKDAY(AZ10,BC9))</f>
        <v>45909</v>
      </c>
      <c r="BD10" s="10">
        <f>IF(AY10="",IF(AX10&gt;BA10,WORKDAY(AX10,BD9),WORKDAY(BA10,BD9)),IF(AY10&gt;BB10,WORKDAY(AY10,BD9),WORKDAY(BB10,BD9)))</f>
        <v>45909</v>
      </c>
      <c r="BE10" s="56"/>
      <c r="BF10" s="10">
        <f>WORKDAY(BC10,BF9)</f>
        <v>45916</v>
      </c>
      <c r="BG10" s="10">
        <f>IF(BE10="",WORKDAY(BD10,BG9),WORKDAY(BE10,BG9))</f>
        <v>45916</v>
      </c>
      <c r="BH10" s="56"/>
      <c r="BI10" s="10">
        <f>WORKDAY(BF10,BI9)</f>
        <v>45923</v>
      </c>
      <c r="BJ10" s="10">
        <f>IF(BH10="",WORKDAY(BG10,BJ9),WORKDAY(BH10,BJ9))</f>
        <v>45923</v>
      </c>
      <c r="BK10" s="56"/>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f>WORKDAY(BI10,CM9)</f>
        <v>45926</v>
      </c>
      <c r="CN10" s="10">
        <f>IF(BK10="",WORKDAY(BJ10,CN9),WORKDAY(BK10,CN9))</f>
        <v>45926</v>
      </c>
      <c r="CO10" s="56"/>
      <c r="CP10" s="10">
        <f>WORKDAY(CM10,CP9)</f>
        <v>45933</v>
      </c>
      <c r="CQ10" s="10">
        <f>IF(CO10="",WORKDAY(CN10,CQ9),WORKDAY(CO10,CQ9))</f>
        <v>45933</v>
      </c>
      <c r="CR10" s="56"/>
      <c r="CS10" s="77" t="str">
        <f>IF(CR10="","No Action: Still in Pre-Execution","Execution schedule has been re-baselined w/ FAIR PO Ack ACD. Validate your durations before publishing")</f>
        <v>No Action: Still in Pre-Execution</v>
      </c>
      <c r="CT10" s="10">
        <f>IF(CR10="",WORKDAY(CP10,CT9),WORKDAY(CR10,CT9))</f>
        <v>46101</v>
      </c>
      <c r="CU10" s="10">
        <f>IF(CR10="",WORKDAY(CQ10,CU9),WORKDAY(CR10,CU9))</f>
        <v>46101</v>
      </c>
      <c r="CV10" s="56"/>
      <c r="CW10" s="10">
        <f>WORKDAY(AZ10,CW9)</f>
        <v>45916</v>
      </c>
      <c r="CX10" s="10">
        <f>IF(BB10="",WORKDAY(BA10,CX9),WORKDAY(BB10,CX9))</f>
        <v>45916</v>
      </c>
      <c r="CY10" s="56"/>
      <c r="CZ10" s="10">
        <f>WORKDAY(CW10,CZ9)</f>
        <v>45916</v>
      </c>
      <c r="DA10" s="10">
        <f>IF(CY10="",WORKDAY(CX10,DA9),WORKDAY(CY10,DA9))</f>
        <v>45916</v>
      </c>
      <c r="DB10" s="56"/>
      <c r="DC10" s="45"/>
      <c r="DD10" s="45"/>
      <c r="DE10" s="45"/>
      <c r="DF10" s="10">
        <f>IF($CT10&gt;$CZ10,WORKDAY($CT10,DF9),WORKDAY($CZ10,DF9))</f>
        <v>46129</v>
      </c>
      <c r="DG10" s="10">
        <f>IF($CV10="",IF($CU10&gt;$DA10,WORKDAY($CU10,DG9),WORKDAY($DA10,DG9)),IF($CV10&gt;$DB10,WORKDAY($CV10,DG9),WORKDAY($DB10,DG9)))</f>
        <v>46129</v>
      </c>
      <c r="DH10" s="56"/>
      <c r="DI10" s="46"/>
      <c r="DJ10" s="10">
        <f>WORKDAY(DF10,DJ9*$DI9)</f>
        <v>46157</v>
      </c>
      <c r="DK10" s="10">
        <f>IF(DH10="",WORKDAY(DG10,DK9*$DI9),WORKDAY(DH10,DK9*$DI9))</f>
        <v>46157</v>
      </c>
      <c r="DL10" s="56"/>
      <c r="DM10" s="46"/>
      <c r="DN10" s="46"/>
      <c r="DO10" s="46"/>
      <c r="DP10" s="46"/>
      <c r="DQ10" s="46"/>
      <c r="DR10" s="46"/>
      <c r="DS10" s="46"/>
      <c r="DT10" s="46"/>
      <c r="DU10" s="46"/>
      <c r="DV10" s="46"/>
      <c r="DW10" s="46"/>
      <c r="DX10" s="46"/>
      <c r="DY10" s="46"/>
      <c r="DZ10" s="46"/>
      <c r="EA10" s="46"/>
      <c r="EB10" s="46"/>
      <c r="EC10" s="46"/>
      <c r="ED10" s="46"/>
      <c r="EE10" s="10">
        <f>WORKDAY(DJ10,EE9)</f>
        <v>46157</v>
      </c>
      <c r="EF10" s="10">
        <f>IF(DL10="",WORKDAY(DK10,EF9),WORKDAY(DL10,EF9))</f>
        <v>46157</v>
      </c>
      <c r="EG10" s="56"/>
      <c r="EH10" s="10">
        <f>IF(CR10="",WORKDAY(BF10,EH9),WORKDAY(BH10,EH9))</f>
        <v>45958</v>
      </c>
      <c r="EI10" s="10">
        <f>IF(BH10="",WORKDAY(BG10,EI9),WORKDAY(BH10,EI9))</f>
        <v>45958</v>
      </c>
      <c r="EJ10" s="56"/>
      <c r="EK10" s="27"/>
      <c r="EL10" s="27"/>
      <c r="EM10" s="27"/>
      <c r="EN10" s="27"/>
      <c r="EO10" s="28"/>
      <c r="EP10" s="28"/>
      <c r="EQ10" s="28"/>
      <c r="ER10" s="28"/>
      <c r="ES10" s="28"/>
      <c r="ET10" s="28"/>
      <c r="EU10" s="28"/>
      <c r="EV10" s="28"/>
      <c r="EW10" s="28"/>
      <c r="EX10" s="28"/>
      <c r="EY10" s="28"/>
      <c r="EZ10" s="10">
        <f>WORKDAY(EE10,EZ9)</f>
        <v>46164</v>
      </c>
      <c r="FA10" s="10">
        <f>IF(EG10="",WORKDAY(EF10,FA9),WORKDAY(EG10,FA9))</f>
        <v>46164</v>
      </c>
      <c r="FB10" s="56"/>
      <c r="FC10" s="28"/>
      <c r="FD10" s="28"/>
      <c r="FE10" s="28"/>
      <c r="FF10" s="28"/>
      <c r="FG10" s="28"/>
      <c r="FH10" s="28"/>
      <c r="FI10" s="10">
        <f>WORKDAY(EZ10,FI9)</f>
        <v>46185</v>
      </c>
      <c r="FJ10" s="10">
        <f>IF(FB10="",WORKDAY(FA10,FJ9),WORKDAY(FB10,FJ9))</f>
        <v>46185</v>
      </c>
      <c r="FK10" s="56"/>
      <c r="FL10" s="10">
        <f>WORKDAY(FI10,FL9)</f>
        <v>46185</v>
      </c>
      <c r="FM10" s="10">
        <f>IF(FK10="",WORKDAY(FJ10,FM9),WORKDAY(FK10,FM9))</f>
        <v>46185</v>
      </c>
      <c r="FN10" s="56"/>
      <c r="FO10" s="10">
        <f>WORKDAY(FL10,FO9)</f>
        <v>46241</v>
      </c>
      <c r="FP10" s="10">
        <f>WORKDAY(FM10,FP9)</f>
        <v>46241</v>
      </c>
      <c r="FQ10" s="56"/>
      <c r="FR10" s="77" t="str">
        <f>IF(NETWORKDAYS(FJ10,FO10)&gt;=30,"On-Track",IF(AND(NETWORKDAYS(FJ10,FO10)&lt;30,FJ10&lt;=FO10),"At Risk","Missed TCD"))</f>
        <v>On-Track</v>
      </c>
      <c r="FS10" s="110"/>
      <c r="FT10" s="57">
        <f>NETWORKDAYS(CP10,FI10)</f>
        <v>181</v>
      </c>
      <c r="FU10" s="57">
        <f>NETWORKDAYS(CQ10,FJ10)</f>
        <v>181</v>
      </c>
      <c r="FV10" s="57">
        <f>IF(BH10="",NETWORKDAYS(BG10,FJ10),IF(FK10="",NETWORKDAYS(BH10,FJ10),NETWORKDAYS(BH10,FK10)))</f>
        <v>194</v>
      </c>
      <c r="FW10" s="58" t="s">
        <v>467</v>
      </c>
    </row>
    <row r="11" spans="1:311" outlineLevel="1" x14ac:dyDescent="0.25">
      <c r="A11" s="23"/>
      <c r="B11" s="23"/>
      <c r="C11" s="24"/>
      <c r="D11" s="95"/>
      <c r="E11" s="24"/>
      <c r="F11" s="25" t="s">
        <v>463</v>
      </c>
      <c r="G11" s="26"/>
      <c r="H11" s="26"/>
      <c r="I11" s="27"/>
      <c r="J11" s="27"/>
      <c r="K11" s="27"/>
      <c r="L11" s="27"/>
      <c r="M11" s="4">
        <v>5</v>
      </c>
      <c r="N11" s="4">
        <v>5</v>
      </c>
      <c r="O11" s="27"/>
      <c r="P11" s="4">
        <v>10</v>
      </c>
      <c r="Q11" s="4">
        <v>10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4">
        <v>10</v>
      </c>
      <c r="CK11" s="4">
        <v>10</v>
      </c>
      <c r="CL11" s="27"/>
      <c r="CM11" s="4">
        <v>3</v>
      </c>
      <c r="CN11" s="4">
        <v>3</v>
      </c>
      <c r="CO11" s="27"/>
      <c r="CP11" s="4">
        <v>5</v>
      </c>
      <c r="CQ11" s="4">
        <v>5</v>
      </c>
      <c r="CR11" s="27"/>
      <c r="CS11" s="27"/>
      <c r="CT11" s="5">
        <v>120</v>
      </c>
      <c r="CU11" s="5">
        <v>120</v>
      </c>
      <c r="CV11" s="27"/>
      <c r="CW11" s="5">
        <v>10</v>
      </c>
      <c r="CX11" s="5">
        <v>10</v>
      </c>
      <c r="CY11" s="27"/>
      <c r="CZ11" s="5">
        <v>60</v>
      </c>
      <c r="DA11" s="5">
        <v>60</v>
      </c>
      <c r="DB11" s="27"/>
      <c r="DC11" s="5">
        <v>30</v>
      </c>
      <c r="DD11" s="5">
        <v>30</v>
      </c>
      <c r="DE11" s="27"/>
      <c r="DF11" s="4">
        <v>20</v>
      </c>
      <c r="DG11" s="4">
        <v>20</v>
      </c>
      <c r="DH11" s="27"/>
      <c r="DI11" s="89">
        <v>1</v>
      </c>
      <c r="DJ11" s="4">
        <v>20</v>
      </c>
      <c r="DK11" s="4">
        <v>20</v>
      </c>
      <c r="DL11" s="27"/>
      <c r="DM11" s="4">
        <v>5</v>
      </c>
      <c r="DN11" s="4">
        <v>5</v>
      </c>
      <c r="DO11" s="27"/>
      <c r="DP11" s="4">
        <v>3</v>
      </c>
      <c r="DQ11" s="4">
        <v>3</v>
      </c>
      <c r="DR11" s="27"/>
      <c r="DS11" s="89">
        <v>1</v>
      </c>
      <c r="DT11" s="4">
        <v>60</v>
      </c>
      <c r="DU11" s="4">
        <v>60</v>
      </c>
      <c r="DV11" s="27"/>
      <c r="DW11" s="46"/>
      <c r="DX11" s="46"/>
      <c r="DY11" s="46"/>
      <c r="DZ11" s="46"/>
      <c r="EA11" s="89">
        <v>1</v>
      </c>
      <c r="EB11" s="4">
        <v>60</v>
      </c>
      <c r="EC11" s="4">
        <v>60</v>
      </c>
      <c r="ED11" s="27"/>
      <c r="EE11" s="4">
        <v>30</v>
      </c>
      <c r="EF11" s="4">
        <v>30</v>
      </c>
      <c r="EG11" s="27"/>
      <c r="EH11" s="4">
        <v>60</v>
      </c>
      <c r="EI11" s="4">
        <v>60</v>
      </c>
      <c r="EJ11" s="27"/>
      <c r="EK11" s="27"/>
      <c r="EL11" s="27"/>
      <c r="EM11" s="27"/>
      <c r="EN11" s="4">
        <v>60</v>
      </c>
      <c r="EO11" s="4">
        <v>60</v>
      </c>
      <c r="EP11" s="27"/>
      <c r="EQ11" s="4">
        <v>60</v>
      </c>
      <c r="ER11" s="4">
        <v>60</v>
      </c>
      <c r="ES11" s="27"/>
      <c r="ET11" s="4">
        <v>60</v>
      </c>
      <c r="EU11" s="4">
        <v>60</v>
      </c>
      <c r="EV11" s="27"/>
      <c r="EW11" s="4">
        <v>5</v>
      </c>
      <c r="EX11" s="4">
        <v>5</v>
      </c>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 t="shared" ref="FT11" si="0">NETWORKDAYS($I12,FO12)</f>
        <v>646</v>
      </c>
      <c r="FU11" s="54">
        <f t="shared" ref="FU11" si="1">NETWORKDAYS($I12,FP12)</f>
        <v>646</v>
      </c>
      <c r="FV11" s="54">
        <f t="shared" ref="FV11" si="2">IF(FQ12="",NETWORKDAYS($I12,FP12),NETWORKDAYS($I12,FQ12))</f>
        <v>646</v>
      </c>
      <c r="FW11" s="55" t="s">
        <v>464</v>
      </c>
    </row>
    <row r="12" spans="1:311" x14ac:dyDescent="0.25">
      <c r="A12" s="23" t="s">
        <v>465</v>
      </c>
      <c r="B12" s="23">
        <v>100001</v>
      </c>
      <c r="C12" s="23">
        <v>222</v>
      </c>
      <c r="D12" s="65"/>
      <c r="E12" s="23" t="str">
        <f>IF(D12="","Unknown",IF(D12&lt;=FM12+90,"Red",IF(AND(D12&gt;FM12+90,D12&lt;=FM12+180),"Yellow",IF(AND(D12&gt;FM12+180,D12&lt;=FM12+690),"Green","Covered"))))</f>
        <v>Unknown</v>
      </c>
      <c r="F12" s="25" t="s">
        <v>468</v>
      </c>
      <c r="G12" s="26"/>
      <c r="H12" s="26" t="str">
        <f>IF(CR12="","Pre-Execution","Execution")</f>
        <v>Pre-Execution</v>
      </c>
      <c r="I12" s="13">
        <v>45717</v>
      </c>
      <c r="J12" s="28"/>
      <c r="K12" s="28"/>
      <c r="L12" s="28"/>
      <c r="M12" s="10">
        <f>WORKDAY(I12,M11)</f>
        <v>45723</v>
      </c>
      <c r="N12" s="10">
        <f>WORKDAY(I12,N11)</f>
        <v>45723</v>
      </c>
      <c r="O12" s="56"/>
      <c r="P12" s="10">
        <f>WORKDAY(M12,P11)</f>
        <v>45737</v>
      </c>
      <c r="Q12" s="10">
        <f>IF(O12="",WORKDAY(N12,Q11),WORKDAY(O12,Q11))</f>
        <v>45737</v>
      </c>
      <c r="R12" s="56"/>
      <c r="S12" s="28"/>
      <c r="T12" s="28"/>
      <c r="U12" s="28"/>
      <c r="V12" s="10">
        <f>WORKDAY(P12, V11)</f>
        <v>45779</v>
      </c>
      <c r="W12" s="10">
        <f>IF(R12="",WORKDAY(Q12,W11),WORKDAY(R12,W11))</f>
        <v>45779</v>
      </c>
      <c r="X12" s="56"/>
      <c r="Y12" s="10">
        <f>WORKDAY(P12,Y11)</f>
        <v>45835</v>
      </c>
      <c r="Z12" s="10">
        <f>IF(R12="",WORKDAY(Q12,Z11),WORKDAY(R12,Z11))</f>
        <v>45835</v>
      </c>
      <c r="AA12" s="56"/>
      <c r="AB12" s="10">
        <f>WORKDAY(I12,AB11)</f>
        <v>45717</v>
      </c>
      <c r="AC12" s="10">
        <f>WORKDAY(I12,AC11)</f>
        <v>45717</v>
      </c>
      <c r="AD12" s="56"/>
      <c r="AE12" s="10">
        <f>WORKDAY(AB12,AE11)</f>
        <v>45821</v>
      </c>
      <c r="AF12" s="10">
        <f>IF(AD12="",WORKDAY(AC12,AF11),WORKDAY(AD12,AF11))</f>
        <v>45821</v>
      </c>
      <c r="AG12" s="56"/>
      <c r="AH12" s="10">
        <f>WORKDAY(IF(Y12&gt;AE12,Y12,AE12),AH11)</f>
        <v>45842</v>
      </c>
      <c r="AI12" s="10">
        <f>WORKDAY(IF(AA12="",IF(Z12&gt;AF12,Z12,AF12),IF(AA12&gt;AG12,AA12,AG12)),AI11)</f>
        <v>45842</v>
      </c>
      <c r="AJ12" s="56"/>
      <c r="AK12" s="10">
        <f>WORKDAY(AH12,AK11)</f>
        <v>45870</v>
      </c>
      <c r="AL12" s="10">
        <f>IF(AJ12="",WORKDAY(AI12,AL11),WORKDAY(AJ12,AL11))</f>
        <v>45870</v>
      </c>
      <c r="AM12" s="56"/>
      <c r="AN12" s="10">
        <f>WORKDAY(AK12,AN11)</f>
        <v>45870</v>
      </c>
      <c r="AO12" s="10">
        <f>IF(AM12="",WORKDAY(AL12,AO11),WORKDAY(AM12,AO11))</f>
        <v>45870</v>
      </c>
      <c r="AP12" s="56"/>
      <c r="AQ12" s="10">
        <f>WORKDAY(AN12,AQ11)</f>
        <v>45898</v>
      </c>
      <c r="AR12" s="10">
        <f>IF(AP12="",WORKDAY(AO12,AR11),WORKDAY(AP12,AR11))</f>
        <v>45898</v>
      </c>
      <c r="AS12" s="56"/>
      <c r="AT12" s="10">
        <f>WORKDAY(AN12,AT11)</f>
        <v>45877</v>
      </c>
      <c r="AU12" s="10">
        <f>IF(O12="",WORKDAY(AO12,AU11),WORKDAY(AP12,AU11))</f>
        <v>45877</v>
      </c>
      <c r="AV12" s="56"/>
      <c r="AW12" s="10">
        <f>IF(AQ12&gt;AT12,WORKDAY(AQ12,AW11),WORKDAY(AT12,AW11))</f>
        <v>45912</v>
      </c>
      <c r="AX12" s="10">
        <f>IF(AS12="",IF(AR12&gt;AU12,WORKDAY(AR12,AX11),WORKDAY(AU12,AX11)),IF(AS12&gt;AV12,WORKDAY(AS12,AX11),WORKDAY(AV12,AX11)))</f>
        <v>45912</v>
      </c>
      <c r="AY12" s="56"/>
      <c r="AZ12" s="10">
        <f>WORKDAY(AN12,AZ11)</f>
        <v>45912</v>
      </c>
      <c r="BA12" s="10">
        <f>IF(AP12="",WORKDAY(AO12,BA11),WORKDAY(AP12,BA11))</f>
        <v>45912</v>
      </c>
      <c r="BB12" s="56"/>
      <c r="BC12" s="10">
        <f>IF(AW12&gt;AZ12,WORKDAY(AW12,BC11),WORKDAY(AZ12,BC11))</f>
        <v>45919</v>
      </c>
      <c r="BD12" s="10">
        <f>IF(AY12="",IF(AX12&gt;BA12,WORKDAY(AX12,BD11),WORKDAY(BA12,BD11)),IF(AY12&gt;BB12,WORKDAY(AY12,BD11),WORKDAY(BB12,BD11)))</f>
        <v>45919</v>
      </c>
      <c r="BE12" s="56"/>
      <c r="BF12" s="10">
        <f>WORKDAY(BC12,BF11)</f>
        <v>45926</v>
      </c>
      <c r="BG12" s="10">
        <f>IF(BE12="",WORKDAY(BD12,BG11),WORKDAY(BE12,BG11))</f>
        <v>45926</v>
      </c>
      <c r="BH12" s="56"/>
      <c r="BI12" s="10">
        <f>WORKDAY(BF12,BI11)</f>
        <v>45933</v>
      </c>
      <c r="BJ12" s="10">
        <f>IF(BH12="",WORKDAY(BG12,BJ11),WORKDAY(BH12,BJ11))</f>
        <v>45933</v>
      </c>
      <c r="BK12" s="56"/>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10">
        <f>WORKDAY(BI12,CJ11)</f>
        <v>45947</v>
      </c>
      <c r="CK12" s="10">
        <f>IF(BK12="",WORKDAY(BJ12,CK11),WORKDAY(BK12,CK11))</f>
        <v>45947</v>
      </c>
      <c r="CL12" s="56"/>
      <c r="CM12" s="10">
        <f>WORKDAY(CJ12,CM11)</f>
        <v>45952</v>
      </c>
      <c r="CN12" s="10">
        <f>IF(CL12="",WORKDAY(CK12,CN11),WORKDAY(CL12,CN11))</f>
        <v>45952</v>
      </c>
      <c r="CO12" s="56"/>
      <c r="CP12" s="10">
        <f>WORKDAY(CM12,CP11)</f>
        <v>45959</v>
      </c>
      <c r="CQ12" s="10">
        <f>IF(CO12="",WORKDAY(CN12,CQ11),WORKDAY(CO12,CQ11))</f>
        <v>45959</v>
      </c>
      <c r="CR12" s="56"/>
      <c r="CS12" s="77" t="str">
        <f>IF(CR12="","No Action: Still in Pre-Execution","Execution schedule has been re-baselined w/ FAIR PO Ack ACD. Validate your durations before publishing")</f>
        <v>No Action: Still in Pre-Execution</v>
      </c>
      <c r="CT12" s="10">
        <f>IF(CR12="",WORKDAY(CP12,CT11),WORKDAY(CR12,CT11))</f>
        <v>46127</v>
      </c>
      <c r="CU12" s="10">
        <f>IF(CR12="",WORKDAY(CQ12,CU11),WORKDAY(CR12,CU11))</f>
        <v>46127</v>
      </c>
      <c r="CV12" s="56"/>
      <c r="CW12" s="10">
        <f>WORKDAY(AZ12,CW11)</f>
        <v>45926</v>
      </c>
      <c r="CX12" s="10">
        <f>IF(BB12="",WORKDAY(BA12,CX11),WORKDAY(BB12,CX11))</f>
        <v>45926</v>
      </c>
      <c r="CY12" s="56"/>
      <c r="CZ12" s="10">
        <f>WORKDAY(CW12,CZ11)</f>
        <v>46010</v>
      </c>
      <c r="DA12" s="10">
        <f>IF(CY12="",WORKDAY(CX12,DA11),WORKDAY(CY12,DA11))</f>
        <v>46010</v>
      </c>
      <c r="DB12" s="56"/>
      <c r="DC12" s="10">
        <f>IF($CU12&gt;$DA12,WORKDAY($CU12,DC11),WORKDAY($DA12,DC11))</f>
        <v>46169</v>
      </c>
      <c r="DD12" s="10">
        <f>IF(CV12="",IF($CU12&gt;$DA12,WORKDAY($CU12,DD11),WORKDAY($DA12,DD11)),IF($CV12&gt;$DB12,WORKDAY($CV12,DD11),WORKDAY($DB12,DD11)))</f>
        <v>46169</v>
      </c>
      <c r="DE12" s="56"/>
      <c r="DF12" s="10">
        <f>WORKDAY(DC12,DF11)</f>
        <v>46197</v>
      </c>
      <c r="DG12" s="10">
        <f>IF(DE12="",WORKDAY(DD12,DG11),WORKDAY(DE12,DG11))</f>
        <v>46197</v>
      </c>
      <c r="DH12" s="56"/>
      <c r="DI12" s="46"/>
      <c r="DJ12" s="10">
        <f>WORKDAY(DF12,DJ11*$DI11)</f>
        <v>46225</v>
      </c>
      <c r="DK12" s="10">
        <f>IF(DH12="",WORKDAY(DG12,DK11*$DI11),WORKDAY(DH12,DK11*$DI11))</f>
        <v>46225</v>
      </c>
      <c r="DL12" s="56"/>
      <c r="DM12" s="10">
        <f>WORKDAY(DJ12,DM11)</f>
        <v>46232</v>
      </c>
      <c r="DN12" s="10">
        <f>IF(DL12="",WORKDAY(DK12,DN11),WORKDAY(DL12,DN11))</f>
        <v>46232</v>
      </c>
      <c r="DO12" s="56"/>
      <c r="DP12" s="10">
        <f>WORKDAY(DM12,DP11)</f>
        <v>46237</v>
      </c>
      <c r="DQ12" s="10">
        <f>IF(DO12="",WORKDAY(DN12,DQ11),WORKDAY(DO12,DQ11))</f>
        <v>46237</v>
      </c>
      <c r="DR12" s="56"/>
      <c r="DS12" s="46"/>
      <c r="DT12" s="10">
        <f>WORKDAY(DP12,DT11*$DS11)</f>
        <v>46321</v>
      </c>
      <c r="DU12" s="10">
        <f>IF(DR12="",WORKDAY(DQ12,DU11*$DS11),WORKDAY(DR12,DU11*$DS11))</f>
        <v>46321</v>
      </c>
      <c r="DV12" s="56"/>
      <c r="DW12" s="46"/>
      <c r="DX12" s="46"/>
      <c r="DY12" s="46"/>
      <c r="DZ12" s="46"/>
      <c r="EA12" s="46"/>
      <c r="EB12" s="10">
        <f>WORKDAY(DT12,EB11*$EA11)</f>
        <v>46405</v>
      </c>
      <c r="EC12" s="10">
        <f>IF(DV12="",WORKDAY(DU12,EC11*$EA11),WORKDAY(DV12,EC11*$EA11))</f>
        <v>46405</v>
      </c>
      <c r="ED12" s="56"/>
      <c r="EE12" s="10">
        <f>WORKDAY(EB12,EE11)</f>
        <v>46447</v>
      </c>
      <c r="EF12" s="10">
        <f>IF(ED12="",WORKDAY(EC12,EF11),WORKDAY(ED12,EF11))</f>
        <v>46447</v>
      </c>
      <c r="EG12" s="56"/>
      <c r="EH12" s="10">
        <f>IF(CR12="",WORKDAY(BF12,EH11),WORKDAY(BH12,EH11))</f>
        <v>46010</v>
      </c>
      <c r="EI12" s="10">
        <f>IF(BH12="",WORKDAY(BG12,EI11),WORKDAY(BH12,EI11))</f>
        <v>46010</v>
      </c>
      <c r="EJ12" s="56"/>
      <c r="EK12" s="27"/>
      <c r="EL12" s="27"/>
      <c r="EM12" s="27"/>
      <c r="EN12" s="10">
        <f>WORKDAY(EE12,EN11)</f>
        <v>46531</v>
      </c>
      <c r="EO12" s="10">
        <f>IF(EG12="",WORKDAY(EF12,EO11),WORKDAY(EG12,EO11))</f>
        <v>46531</v>
      </c>
      <c r="EP12" s="56"/>
      <c r="EQ12" s="10">
        <f>WORKDAY(EE12,EQ11)</f>
        <v>46531</v>
      </c>
      <c r="ER12" s="10">
        <f>IF(EG12="",WORKDAY(EF12,ER11),WORKDAY(EG12,ER11))</f>
        <v>46531</v>
      </c>
      <c r="ES12" s="56"/>
      <c r="ET12" s="10">
        <f>WORKDAY(EE12,ET11)</f>
        <v>46531</v>
      </c>
      <c r="EU12" s="10">
        <f>IF(EG12="",WORKDAY(EF12,EU11),WORKDAY(EG12,EU11))</f>
        <v>46531</v>
      </c>
      <c r="EV12" s="56"/>
      <c r="EW12" s="10">
        <f>WORKDAY(IF(EN12&gt;EQ12,(IF(EN12&gt;ET12,EN12,ET12)),IF(EQ12&gt;ET12,EQ12,ET12)),EW11)</f>
        <v>46538</v>
      </c>
      <c r="EX12" s="10">
        <f>IF(EP12="",WORKDAY(IF(EO12&gt;ER12,(IF(EO12&gt;EU12,EO12,EU12)),IF(ER12&gt;EU12,ER12,EU12)),EX11),WORKDAY(IF(EP12&gt;ES12,(IF(EP12&gt;EV12,EP12,EV12)),IF(ES12&gt;EV12,ES12,EV12)),EX11))</f>
        <v>46538</v>
      </c>
      <c r="EY12" s="56"/>
      <c r="EZ12" s="10">
        <f>WORKDAY(EW12,EZ11)</f>
        <v>46545</v>
      </c>
      <c r="FA12" s="10">
        <f>IF(EY12="",WORKDAY(EX12,FA11),WORKDAY(EY12,FA11))</f>
        <v>46545</v>
      </c>
      <c r="FB12" s="56"/>
      <c r="FC12" s="28"/>
      <c r="FD12" s="28"/>
      <c r="FE12" s="28"/>
      <c r="FF12" s="28"/>
      <c r="FG12" s="28"/>
      <c r="FH12" s="28"/>
      <c r="FI12" s="10">
        <f>WORKDAY(EZ12,FI11)</f>
        <v>46566</v>
      </c>
      <c r="FJ12" s="10">
        <f>IF(FB12="",WORKDAY(FA12,FJ11),WORKDAY(FB12,FJ11))</f>
        <v>46566</v>
      </c>
      <c r="FK12" s="56"/>
      <c r="FL12" s="10">
        <f>WORKDAY(FI12,FL11)</f>
        <v>46566</v>
      </c>
      <c r="FM12" s="10">
        <f>IF(FK12="",WORKDAY(FJ12,FM11),WORKDAY(FK12,FM11))</f>
        <v>46566</v>
      </c>
      <c r="FN12" s="56"/>
      <c r="FO12" s="10">
        <f>WORKDAY(FL12,FO11)</f>
        <v>46622</v>
      </c>
      <c r="FP12" s="10">
        <f>WORKDAY(FM12,FP11)</f>
        <v>46622</v>
      </c>
      <c r="FQ12" s="56"/>
      <c r="FR12" s="77" t="str">
        <f>IF(NETWORKDAYS(FJ12,FO12)&gt;=30,"On-Track",IF(AND(NETWORKDAYS(FJ12,FO12)&lt;30,FJ12&lt;=FO12),"At Risk","Missed TCD"))</f>
        <v>On-Track</v>
      </c>
      <c r="FS12" s="110"/>
      <c r="FT12" s="57">
        <f t="shared" ref="FT12" si="3">NETWORKDAYS(CP12,FI12)</f>
        <v>434</v>
      </c>
      <c r="FU12" s="57">
        <f t="shared" ref="FU12" si="4">NETWORKDAYS(CQ12,FJ12)</f>
        <v>434</v>
      </c>
      <c r="FV12" s="57">
        <f t="shared" ref="FV12" si="5">IF(BH12="",NETWORKDAYS(BG12,FJ12),IF(FK12="",NETWORKDAYS(BH12,FJ12),NETWORKDAYS(BH12,FK12)))</f>
        <v>457</v>
      </c>
      <c r="FW12" s="58" t="s">
        <v>467</v>
      </c>
    </row>
    <row r="13" spans="1:311" outlineLevel="1" x14ac:dyDescent="0.25">
      <c r="A13" s="23"/>
      <c r="B13" s="23"/>
      <c r="C13" s="24"/>
      <c r="D13" s="95"/>
      <c r="E13" s="24"/>
      <c r="F13" s="25" t="s">
        <v>463</v>
      </c>
      <c r="G13" s="26"/>
      <c r="H13" s="26"/>
      <c r="I13" s="27"/>
      <c r="J13" s="4">
        <v>45</v>
      </c>
      <c r="K13" s="4">
        <v>45</v>
      </c>
      <c r="L13" s="27"/>
      <c r="M13" s="4">
        <v>0</v>
      </c>
      <c r="N13" s="4">
        <v>0</v>
      </c>
      <c r="O13" s="27"/>
      <c r="P13" s="4">
        <v>31</v>
      </c>
      <c r="Q13" s="4">
        <v>31</v>
      </c>
      <c r="R13" s="27"/>
      <c r="S13" s="4">
        <v>30</v>
      </c>
      <c r="T13" s="4">
        <v>30</v>
      </c>
      <c r="U13" s="27"/>
      <c r="V13" s="29"/>
      <c r="W13" s="29"/>
      <c r="X13" s="29"/>
      <c r="Y13" s="4">
        <v>50</v>
      </c>
      <c r="Z13" s="4">
        <v>50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0</v>
      </c>
      <c r="BA13" s="4">
        <v>0</v>
      </c>
      <c r="BB13" s="27"/>
      <c r="BC13" s="4">
        <v>5</v>
      </c>
      <c r="BD13" s="4">
        <v>5</v>
      </c>
      <c r="BE13" s="27"/>
      <c r="BF13" s="4">
        <v>5</v>
      </c>
      <c r="BG13" s="4">
        <v>5</v>
      </c>
      <c r="BH13" s="27"/>
      <c r="BI13" s="4">
        <v>5</v>
      </c>
      <c r="BJ13" s="4">
        <v>5</v>
      </c>
      <c r="BK13" s="27"/>
      <c r="BL13" s="4">
        <v>5</v>
      </c>
      <c r="BM13" s="4">
        <v>5</v>
      </c>
      <c r="BN13" s="27"/>
      <c r="BO13" s="4">
        <v>5</v>
      </c>
      <c r="BP13" s="4">
        <v>5</v>
      </c>
      <c r="BQ13" s="27"/>
      <c r="BR13" s="4">
        <v>5</v>
      </c>
      <c r="BS13" s="4">
        <v>5</v>
      </c>
      <c r="BT13" s="27"/>
      <c r="BU13" s="4">
        <v>5</v>
      </c>
      <c r="BV13" s="4">
        <v>5</v>
      </c>
      <c r="BW13" s="27"/>
      <c r="BX13" s="4">
        <v>5</v>
      </c>
      <c r="BY13" s="4">
        <v>5</v>
      </c>
      <c r="BZ13" s="27"/>
      <c r="CA13" s="4">
        <v>5</v>
      </c>
      <c r="CB13" s="4">
        <v>5</v>
      </c>
      <c r="CC13" s="27"/>
      <c r="CD13" s="4">
        <v>15</v>
      </c>
      <c r="CE13" s="4">
        <v>15</v>
      </c>
      <c r="CF13" s="27"/>
      <c r="CG13" s="4">
        <v>15</v>
      </c>
      <c r="CH13" s="4">
        <v>15</v>
      </c>
      <c r="CI13" s="27"/>
      <c r="CJ13" s="4">
        <v>10</v>
      </c>
      <c r="CK13" s="4">
        <v>10</v>
      </c>
      <c r="CL13" s="27"/>
      <c r="CM13" s="4">
        <v>3</v>
      </c>
      <c r="CN13" s="4">
        <v>3</v>
      </c>
      <c r="CO13" s="27"/>
      <c r="CP13" s="4">
        <v>5</v>
      </c>
      <c r="CQ13" s="4">
        <v>5</v>
      </c>
      <c r="CR13" s="27"/>
      <c r="CS13" s="27"/>
      <c r="CT13" s="5">
        <v>120</v>
      </c>
      <c r="CU13" s="5">
        <v>120</v>
      </c>
      <c r="CV13" s="27"/>
      <c r="CW13" s="5">
        <v>0</v>
      </c>
      <c r="CX13" s="5">
        <v>0</v>
      </c>
      <c r="CY13" s="27"/>
      <c r="CZ13" s="5">
        <v>0</v>
      </c>
      <c r="DA13" s="5">
        <v>0</v>
      </c>
      <c r="DB13" s="27"/>
      <c r="DC13" s="31"/>
      <c r="DD13" s="31"/>
      <c r="DE13" s="27"/>
      <c r="DF13" s="4">
        <v>120</v>
      </c>
      <c r="DG13" s="4">
        <v>120</v>
      </c>
      <c r="DH13" s="27"/>
      <c r="DI13" s="89">
        <v>1</v>
      </c>
      <c r="DJ13" s="4">
        <v>20</v>
      </c>
      <c r="DK13" s="4">
        <v>20</v>
      </c>
      <c r="DL13" s="27"/>
      <c r="DM13" s="4">
        <v>5</v>
      </c>
      <c r="DN13" s="4">
        <v>5</v>
      </c>
      <c r="DO13" s="27"/>
      <c r="DP13" s="4">
        <v>3</v>
      </c>
      <c r="DQ13" s="4">
        <v>3</v>
      </c>
      <c r="DR13" s="27"/>
      <c r="DS13" s="89">
        <v>1</v>
      </c>
      <c r="DT13" s="4">
        <v>60</v>
      </c>
      <c r="DU13" s="4">
        <v>60</v>
      </c>
      <c r="DV13" s="27"/>
      <c r="DW13" s="46"/>
      <c r="DX13" s="46"/>
      <c r="DY13" s="46"/>
      <c r="DZ13" s="46"/>
      <c r="EA13" s="89">
        <v>1</v>
      </c>
      <c r="EB13" s="4">
        <v>60</v>
      </c>
      <c r="EC13" s="4">
        <v>60</v>
      </c>
      <c r="ED13" s="27"/>
      <c r="EE13" s="4">
        <v>30</v>
      </c>
      <c r="EF13" s="4">
        <v>30</v>
      </c>
      <c r="EG13" s="27"/>
      <c r="EH13" s="4">
        <v>120</v>
      </c>
      <c r="EI13" s="4">
        <v>120</v>
      </c>
      <c r="EJ13" s="27"/>
      <c r="EK13" s="4">
        <v>3</v>
      </c>
      <c r="EL13" s="4">
        <v>3</v>
      </c>
      <c r="EM13" s="27"/>
      <c r="EN13" s="4">
        <v>60</v>
      </c>
      <c r="EO13" s="4">
        <v>60</v>
      </c>
      <c r="EP13" s="27"/>
      <c r="EQ13" s="4">
        <v>60</v>
      </c>
      <c r="ER13" s="4">
        <v>60</v>
      </c>
      <c r="ES13" s="27"/>
      <c r="ET13" s="4">
        <v>60</v>
      </c>
      <c r="EU13" s="4">
        <v>60</v>
      </c>
      <c r="EV13" s="27"/>
      <c r="EW13" s="4">
        <v>5</v>
      </c>
      <c r="EX13" s="4">
        <v>5</v>
      </c>
      <c r="EY13" s="27"/>
      <c r="EZ13" s="4">
        <v>5</v>
      </c>
      <c r="FA13" s="4">
        <v>5</v>
      </c>
      <c r="FB13" s="27"/>
      <c r="FC13" s="4">
        <v>20</v>
      </c>
      <c r="FD13" s="4">
        <v>20</v>
      </c>
      <c r="FE13" s="27"/>
      <c r="FF13" s="4">
        <v>5</v>
      </c>
      <c r="FG13" s="4">
        <v>5</v>
      </c>
      <c r="FH13" s="27"/>
      <c r="FI13" s="4">
        <v>5</v>
      </c>
      <c r="FJ13" s="4">
        <v>5</v>
      </c>
      <c r="FK13" s="27"/>
      <c r="FL13" s="4">
        <v>0</v>
      </c>
      <c r="FM13" s="4">
        <v>0</v>
      </c>
      <c r="FN13" s="27"/>
      <c r="FO13" s="4">
        <v>40</v>
      </c>
      <c r="FP13" s="4">
        <v>40</v>
      </c>
      <c r="FQ13" s="27"/>
      <c r="FR13" s="27"/>
      <c r="FS13" s="109"/>
      <c r="FT13" s="54">
        <f t="shared" ref="FT13" si="6">NETWORKDAYS($I14,FO14)</f>
        <v>812</v>
      </c>
      <c r="FU13" s="54">
        <f t="shared" ref="FU13" si="7">NETWORKDAYS($I14,FP14)</f>
        <v>812</v>
      </c>
      <c r="FV13" s="54">
        <f t="shared" ref="FV13" si="8">IF(FQ14="",NETWORKDAYS($I14,FP14),NETWORKDAYS($I14,FQ14))</f>
        <v>812</v>
      </c>
      <c r="FW13" s="55" t="s">
        <v>464</v>
      </c>
    </row>
    <row r="14" spans="1:311" x14ac:dyDescent="0.25">
      <c r="A14" s="23" t="s">
        <v>465</v>
      </c>
      <c r="B14" s="23">
        <v>100002</v>
      </c>
      <c r="C14" s="23">
        <v>333</v>
      </c>
      <c r="D14" s="65"/>
      <c r="E14" s="23" t="str">
        <f>IF(D14="","Unknown",IF(D14&lt;=FM14+90,"Red",IF(AND(D14&gt;FM14+90,D14&lt;=FM14+180),"Yellow",IF(AND(D14&gt;FM14+180,D14&lt;=FM14+690),"Green","Covered"))))</f>
        <v>Unknown</v>
      </c>
      <c r="F14" s="25" t="s">
        <v>469</v>
      </c>
      <c r="G14" s="26"/>
      <c r="H14" s="26" t="str">
        <f>IF(CR14="","Pre-Execution","Execution")</f>
        <v>Pre-Execution</v>
      </c>
      <c r="I14" s="13">
        <v>45717</v>
      </c>
      <c r="J14" s="10">
        <f>WORKDAY(I14,J13)</f>
        <v>45779</v>
      </c>
      <c r="K14" s="10">
        <f>WORKDAY(I14,K13)</f>
        <v>45779</v>
      </c>
      <c r="L14" s="56"/>
      <c r="M14" s="10">
        <f>WORKDAY(J14,M13)</f>
        <v>45779</v>
      </c>
      <c r="N14" s="10">
        <f>IF(L14="",WORKDAY(K14,N13),WORKDAY(L14,N13))</f>
        <v>45779</v>
      </c>
      <c r="O14" s="56"/>
      <c r="P14" s="10">
        <f>WORKDAY(M14,P13)</f>
        <v>45824</v>
      </c>
      <c r="Q14" s="10">
        <f>IF(O14="",WORKDAY(N14,Q13),WORKDAY(O14,Q13))</f>
        <v>45824</v>
      </c>
      <c r="R14" s="56"/>
      <c r="S14" s="10">
        <f>WORKDAY(P14, S13)</f>
        <v>45866</v>
      </c>
      <c r="T14" s="10">
        <f>IF(R14="",WORKDAY(Q14,T13),WORKDAY(R14,T13))</f>
        <v>45866</v>
      </c>
      <c r="U14" s="56"/>
      <c r="V14" s="47"/>
      <c r="W14" s="47"/>
      <c r="X14" s="47"/>
      <c r="Y14" s="10">
        <f>WORKDAY(P14,Y13)</f>
        <v>45894</v>
      </c>
      <c r="Z14" s="10">
        <f>IF(R14="",WORKDAY(Q14,Z13),WORKDAY(R14,Z13))</f>
        <v>45894</v>
      </c>
      <c r="AA14" s="56"/>
      <c r="AB14" s="10">
        <f>WORKDAY(I14,AB13)</f>
        <v>45717</v>
      </c>
      <c r="AC14" s="10">
        <f>WORKDAY(I14,AC13)</f>
        <v>45717</v>
      </c>
      <c r="AD14" s="56"/>
      <c r="AE14" s="10">
        <f>WORKDAY(AB14,AE13)</f>
        <v>45821</v>
      </c>
      <c r="AF14" s="10">
        <f>IF(AD14="",WORKDAY(AC14,AF13),WORKDAY(AD14,AF13))</f>
        <v>45821</v>
      </c>
      <c r="AG14" s="56"/>
      <c r="AH14" s="10">
        <f>WORKDAY(IF(S14&gt;Y14,(IF(S14&gt;AE14,S14,AE14)),IF(Y14&gt;AE14,Y14,AE14)),AH13)</f>
        <v>45901</v>
      </c>
      <c r="AI14" s="10">
        <f>IF(U14="",WORKDAY(IF(T14&gt;Z14,(IF(T14&gt;AF14,T14,AF14)),IF(Z14&gt;AF14,Z14,AF14)),AI13),WORKDAY(IF(U14&gt;AA14,(IF(U14&gt;AG14,U14,AG14)),IF(AA14&gt;AG14,AA14,AG14)),AI13))</f>
        <v>45901</v>
      </c>
      <c r="AJ14" s="56"/>
      <c r="AK14" s="10">
        <f>WORKDAY(AH14,AK13)</f>
        <v>45929</v>
      </c>
      <c r="AL14" s="10">
        <f>IF(AJ14="",WORKDAY(AI14,AL13),WORKDAY(AJ14,AL13))</f>
        <v>45929</v>
      </c>
      <c r="AM14" s="56"/>
      <c r="AN14" s="10">
        <f>WORKDAY(AK14,AN13)</f>
        <v>45929</v>
      </c>
      <c r="AO14" s="10">
        <f>IF(AM14="",WORKDAY(AL14,AO13),WORKDAY(AM14,AO13))</f>
        <v>45929</v>
      </c>
      <c r="AP14" s="56"/>
      <c r="AQ14" s="10">
        <f>WORKDAY(AN14,AQ13)</f>
        <v>45957</v>
      </c>
      <c r="AR14" s="10">
        <f>IF(AP14="",WORKDAY(AO14,AR13),WORKDAY(AP14,AR13))</f>
        <v>45957</v>
      </c>
      <c r="AS14" s="56"/>
      <c r="AT14" s="10">
        <f>WORKDAY(AN14,AT13)</f>
        <v>45936</v>
      </c>
      <c r="AU14" s="10">
        <f>IF(O14="",WORKDAY(AO14,AU13),WORKDAY(AP14,AU13))</f>
        <v>45936</v>
      </c>
      <c r="AV14" s="56"/>
      <c r="AW14" s="10">
        <f>IF(AQ14&gt;AT14,WORKDAY(AQ14,AW13),WORKDAY(AT14,AW13))</f>
        <v>45971</v>
      </c>
      <c r="AX14" s="10">
        <f>IF(AS14="",IF(AR14&gt;AU14,WORKDAY(AR14,AX13),WORKDAY(AU14,AX13)),IF(AS14&gt;AV14,WORKDAY(AS14,AX13),WORKDAY(AV14,AX13)))</f>
        <v>45971</v>
      </c>
      <c r="AY14" s="56"/>
      <c r="AZ14" s="10">
        <f>WORKDAY(AN14,AZ13)</f>
        <v>45929</v>
      </c>
      <c r="BA14" s="10">
        <f>IF(AP14="",WORKDAY(AO14,BA13),WORKDAY(AP14,BA13))</f>
        <v>45929</v>
      </c>
      <c r="BB14" s="56"/>
      <c r="BC14" s="10">
        <f>IF(AW14&gt;AZ14,WORKDAY(AW14,BC13),WORKDAY(AZ14,BC13))</f>
        <v>45978</v>
      </c>
      <c r="BD14" s="10">
        <f>IF(AY14="",IF(AX14&gt;BA14,WORKDAY(AX14,BD13),WORKDAY(BA14,BD13)),IF(AY14&gt;BB14,WORKDAY(AY14,BD13),WORKDAY(BB14,BD13)))</f>
        <v>45978</v>
      </c>
      <c r="BE14" s="56"/>
      <c r="BF14" s="10">
        <f>WORKDAY(BC14,BF13)</f>
        <v>45985</v>
      </c>
      <c r="BG14" s="10">
        <f>IF(BE14="",WORKDAY(BD14,BG13),WORKDAY(BE14,BG13))</f>
        <v>45985</v>
      </c>
      <c r="BH14" s="56"/>
      <c r="BI14" s="10">
        <f>WORKDAY(BF14,BI13)</f>
        <v>45992</v>
      </c>
      <c r="BJ14" s="10">
        <f>IF(BH14="",WORKDAY(BG14,BJ13),WORKDAY(BH14,BJ13))</f>
        <v>45992</v>
      </c>
      <c r="BK14" s="56"/>
      <c r="BL14" s="10">
        <f>WORKDAY(BI14,BL13)</f>
        <v>45999</v>
      </c>
      <c r="BM14" s="10">
        <f>IF(BK14="",WORKDAY(BJ14,BM13),WORKDAY(BK14,BM13))</f>
        <v>45999</v>
      </c>
      <c r="BN14" s="56"/>
      <c r="BO14" s="10">
        <f>WORKDAY(BL14,BO13)</f>
        <v>46006</v>
      </c>
      <c r="BP14" s="10">
        <f>IF(BN14="",WORKDAY(BM14,BP13),WORKDAY(BN14,BP13))</f>
        <v>46006</v>
      </c>
      <c r="BQ14" s="56"/>
      <c r="BR14" s="10">
        <f>WORKDAY(BO14,BR13)</f>
        <v>46013</v>
      </c>
      <c r="BS14" s="10">
        <f>IF(BQ14="",WORKDAY(BP14,BS13),WORKDAY(BQ14,BS13))</f>
        <v>46013</v>
      </c>
      <c r="BT14" s="56"/>
      <c r="BU14" s="10">
        <f>WORKDAY(BR14,BU13)</f>
        <v>46020</v>
      </c>
      <c r="BV14" s="10">
        <f>IF(BT14="",WORKDAY(BS14,BV13),WORKDAY(BT14,BV13))</f>
        <v>46020</v>
      </c>
      <c r="BW14" s="56"/>
      <c r="BX14" s="10">
        <f>WORKDAY(BU14,BX13)</f>
        <v>46027</v>
      </c>
      <c r="BY14" s="10">
        <f>IF(BW14="",WORKDAY(BV14,BY13),WORKDAY(BW14,BY13))</f>
        <v>46027</v>
      </c>
      <c r="BZ14" s="56"/>
      <c r="CA14" s="10">
        <f>WORKDAY(BX14,CA13)</f>
        <v>46034</v>
      </c>
      <c r="CB14" s="10">
        <f>IF(BZ14="",WORKDAY(BY14,CB13),WORKDAY(BZ14,CB13))</f>
        <v>46034</v>
      </c>
      <c r="CC14" s="56"/>
      <c r="CD14" s="10">
        <f>WORKDAY(BX14,CD13)</f>
        <v>46048</v>
      </c>
      <c r="CE14" s="10">
        <f>IF(BZ14="",WORKDAY(BY14,CE13),WORKDAY(BZ14,CE13))</f>
        <v>46048</v>
      </c>
      <c r="CF14" s="56"/>
      <c r="CG14" s="10">
        <f>WORKDAY(BX14,CG13)</f>
        <v>46048</v>
      </c>
      <c r="CH14" s="10">
        <f>IF(BZ14="",WORKDAY(BY14,CH13),WORKDAY(BZ14,CH13))</f>
        <v>46048</v>
      </c>
      <c r="CI14" s="56"/>
      <c r="CJ14" s="10">
        <f>WORKDAY(CD14,CJ13)</f>
        <v>46062</v>
      </c>
      <c r="CK14" s="10">
        <f>IF(CF14="",WORKDAY(CE14,CK13),WORKDAY(CF14,CK13))</f>
        <v>46062</v>
      </c>
      <c r="CL14" s="56"/>
      <c r="CM14" s="10">
        <f>WORKDAY(CJ14,CM13)</f>
        <v>46065</v>
      </c>
      <c r="CN14" s="10">
        <f>IF(CL14="",WORKDAY(CK14,CN13),WORKDAY(CL14,CN13))</f>
        <v>46065</v>
      </c>
      <c r="CO14" s="56"/>
      <c r="CP14" s="10">
        <f>WORKDAY(CM14,CP13)</f>
        <v>46072</v>
      </c>
      <c r="CQ14" s="10">
        <f>IF(CO14="",WORKDAY(CN14,CQ13),WORKDAY(CO14,CQ13))</f>
        <v>46072</v>
      </c>
      <c r="CR14" s="56"/>
      <c r="CS14" s="77" t="str">
        <f>IF(CR14="","No Action: Still in Pre-Execution","Execution schedule has been re-baselined w/ FAIR PO Ack ACD. Validate your durations before publishing")</f>
        <v>No Action: Still in Pre-Execution</v>
      </c>
      <c r="CT14" s="10">
        <f>IF(CR14="",WORKDAY(CP14,CT13),WORKDAY(CR14,CT13))</f>
        <v>46240</v>
      </c>
      <c r="CU14" s="10">
        <f>IF(CR14="",WORKDAY(CQ14,CU13),WORKDAY(CR14,CU13))</f>
        <v>46240</v>
      </c>
      <c r="CV14" s="56"/>
      <c r="CW14" s="10">
        <f>WORKDAY(AZ14,CW13)</f>
        <v>45929</v>
      </c>
      <c r="CX14" s="10">
        <f>IF(BB14="",WORKDAY(BA14,CX13),WORKDAY(BB14,CX13))</f>
        <v>45929</v>
      </c>
      <c r="CY14" s="56"/>
      <c r="CZ14" s="10">
        <f>WORKDAY(CW14,CZ13)</f>
        <v>45929</v>
      </c>
      <c r="DA14" s="10">
        <f>IF(CY14="",WORKDAY(CX14,DA13),WORKDAY(CY14,DA13))</f>
        <v>45929</v>
      </c>
      <c r="DB14" s="56"/>
      <c r="DC14" s="45"/>
      <c r="DD14" s="45"/>
      <c r="DE14" s="27"/>
      <c r="DF14" s="10">
        <f>WORKDAY(CT14,DF13)</f>
        <v>46408</v>
      </c>
      <c r="DG14" s="10">
        <f>IF(CV14="",WORKDAY(CU14,DG13),WORKDAY(CV14,DG13))</f>
        <v>46408</v>
      </c>
      <c r="DH14" s="56"/>
      <c r="DI14" s="46"/>
      <c r="DJ14" s="10">
        <f>WORKDAY(DF14,DJ13*DI13)</f>
        <v>46436</v>
      </c>
      <c r="DK14" s="10">
        <f>IF(DH14="",WORKDAY(DG14,DK13*DI13),WORKDAY(DH14,DK13*DI13))</f>
        <v>46436</v>
      </c>
      <c r="DL14" s="56"/>
      <c r="DM14" s="10">
        <f>WORKDAY(DJ14,DM13)</f>
        <v>46443</v>
      </c>
      <c r="DN14" s="10">
        <f>IF(DL14="",WORKDAY(DK14,DN13),WORKDAY(DL14,DN13))</f>
        <v>46443</v>
      </c>
      <c r="DO14" s="56"/>
      <c r="DP14" s="10">
        <f>WORKDAY(DM14,DP13)</f>
        <v>46448</v>
      </c>
      <c r="DQ14" s="10">
        <f>IF(DO14="",WORKDAY(DN14,DQ13),WORKDAY(DO14,DQ13))</f>
        <v>46448</v>
      </c>
      <c r="DR14" s="56"/>
      <c r="DS14" s="46"/>
      <c r="DT14" s="10">
        <f>WORKDAY(DP14,DT13*$DS13)</f>
        <v>46532</v>
      </c>
      <c r="DU14" s="10">
        <f>IF(DR14="",WORKDAY(DQ14,DU13*$DS13),WORKDAY(DR14,DU13*$DS13))</f>
        <v>46532</v>
      </c>
      <c r="DV14" s="56"/>
      <c r="DW14" s="46"/>
      <c r="DX14" s="46"/>
      <c r="DY14" s="46"/>
      <c r="DZ14" s="46"/>
      <c r="EA14" s="46"/>
      <c r="EB14" s="10">
        <f>WORKDAY(DT14,EB13*$EA13)</f>
        <v>46616</v>
      </c>
      <c r="EC14" s="10">
        <f>IF(DV14="",WORKDAY(DU14,EC13*$EA13),WORKDAY(DV14,EC13*$EA13))</f>
        <v>46616</v>
      </c>
      <c r="ED14" s="56"/>
      <c r="EE14" s="10">
        <f>WORKDAY(EB14,EE13)</f>
        <v>46658</v>
      </c>
      <c r="EF14" s="10">
        <f>IF(ED14="",WORKDAY(EC14,EF13),WORKDAY(ED14,EF13))</f>
        <v>46658</v>
      </c>
      <c r="EG14" s="56"/>
      <c r="EH14" s="10">
        <f>IF(CR14="",WORKDAY(BF14,EH13),WORKDAY(BH14,EH13))</f>
        <v>46153</v>
      </c>
      <c r="EI14" s="10">
        <f>IF(BH14="",WORKDAY(BG14,EI13),WORKDAY(BH14,EI13))</f>
        <v>46153</v>
      </c>
      <c r="EJ14" s="56"/>
      <c r="EK14" s="10">
        <f>WORKDAY(EE14,EK13)</f>
        <v>46661</v>
      </c>
      <c r="EL14" s="10">
        <f>IF(EG14="",WORKDAY(EF14,EL13),WORKDAY(EG14,EL13))</f>
        <v>46661</v>
      </c>
      <c r="EM14" s="56"/>
      <c r="EN14" s="10">
        <f>WORKDAY(EE14,EN13)</f>
        <v>46742</v>
      </c>
      <c r="EO14" s="10">
        <f>IF(EG14="",WORKDAY(EF14,EO13),WORKDAY(EG14,EO13))</f>
        <v>46742</v>
      </c>
      <c r="EP14" s="56"/>
      <c r="EQ14" s="10">
        <f>WORKDAY(EE14,EQ13)</f>
        <v>46742</v>
      </c>
      <c r="ER14" s="10">
        <f>IF(EG14="",WORKDAY(EF14,ER13),WORKDAY(EG14,ER13))</f>
        <v>46742</v>
      </c>
      <c r="ES14" s="56"/>
      <c r="ET14" s="10">
        <f>WORKDAY(EE14,ET13)</f>
        <v>46742</v>
      </c>
      <c r="EU14" s="10">
        <f>IF(EG14="",WORKDAY(EF14,EU13),WORKDAY(EG14,EU13))</f>
        <v>46742</v>
      </c>
      <c r="EV14" s="56"/>
      <c r="EW14" s="11">
        <f>WORKDAY(IF(EN14&gt;EQ14,(IF(EN14&gt;ET14,EN14,ET14)),IF(EQ14&gt;ET14,EQ14,ET14)),EW13)</f>
        <v>46749</v>
      </c>
      <c r="EX14" s="11">
        <f>IF(EP14="",WORKDAY(IF(EO14&gt;ER14,(IF(EO14&gt;EU14,EO14,EU14)),IF(ER14&gt;EU14,ER14,EU14)),EX13),WORKDAY(IF(EP14&gt;ES14,(IF(EP14&gt;EV14,EP14,EV14)),IF(ES14&gt;EV14,ES14,EV14)),EX13))</f>
        <v>46749</v>
      </c>
      <c r="EY14" s="56"/>
      <c r="EZ14" s="12">
        <f>WORKDAY(EW14,EZ13)</f>
        <v>46756</v>
      </c>
      <c r="FA14" s="12">
        <f>IF(EY14="",WORKDAY(EX14,FA13),WORKDAY(EY14,FA13))</f>
        <v>46756</v>
      </c>
      <c r="FB14" s="56"/>
      <c r="FC14" s="11">
        <f>WORKDAY(EZ14,FC13)</f>
        <v>46784</v>
      </c>
      <c r="FD14" s="11">
        <f>IF(FB14="",WORKDAY(FA14,FD13),WORKDAY(FB14,FD13))</f>
        <v>46784</v>
      </c>
      <c r="FE14" s="56"/>
      <c r="FF14" s="42">
        <f>WORKDAY(FC14,FF13)</f>
        <v>46791</v>
      </c>
      <c r="FG14" s="42">
        <f>IF(FE14="",WORKDAY(FD14,FG13),WORKDAY(FE14,FG13))</f>
        <v>46791</v>
      </c>
      <c r="FH14" s="59"/>
      <c r="FI14" s="12">
        <f>WORKDAY(FF14,FI13)</f>
        <v>46798</v>
      </c>
      <c r="FJ14" s="12">
        <f>IF(FH14="",WORKDAY(FG14,FJ13),WORKDAY(FH14,FJ13))</f>
        <v>46798</v>
      </c>
      <c r="FK14" s="56"/>
      <c r="FL14" s="10">
        <f>WORKDAY(FI14,FL13)</f>
        <v>46798</v>
      </c>
      <c r="FM14" s="10">
        <f>IF(FK14="",WORKDAY(FJ14,FM13),WORKDAY(FK14,FM13))</f>
        <v>46798</v>
      </c>
      <c r="FN14" s="56"/>
      <c r="FO14" s="10">
        <f>WORKDAY(FL14,FO13)</f>
        <v>46854</v>
      </c>
      <c r="FP14" s="10">
        <f>WORKDAY(FM14,FP13)</f>
        <v>46854</v>
      </c>
      <c r="FQ14" s="56"/>
      <c r="FR14" s="77" t="str">
        <f>IF(NETWORKDAYS(FJ14,FO14)&gt;=30,"On-Track",IF(AND(NETWORKDAYS(FJ14,FO14)&lt;30,FJ14&lt;=FO14),"At Risk","Missed TCD"))</f>
        <v>On-Track</v>
      </c>
      <c r="FS14" s="110"/>
      <c r="FT14" s="57">
        <f t="shared" ref="FT14" si="9">NETWORKDAYS(CP14,FI14)</f>
        <v>519</v>
      </c>
      <c r="FU14" s="57">
        <f t="shared" ref="FU14" si="10">NETWORKDAYS(CQ14,FJ14)</f>
        <v>519</v>
      </c>
      <c r="FV14" s="57">
        <f t="shared" ref="FV14" si="11">IF(BH14="",NETWORKDAYS(BG14,FJ14),IF(FK14="",NETWORKDAYS(BH14,FJ14),NETWORKDAYS(BH14,FK14)))</f>
        <v>582</v>
      </c>
      <c r="FW14" s="58" t="s">
        <v>467</v>
      </c>
    </row>
    <row r="15" spans="1:311" outlineLevel="1" x14ac:dyDescent="0.25">
      <c r="A15" s="23"/>
      <c r="B15" s="23"/>
      <c r="C15" s="24"/>
      <c r="D15" s="95"/>
      <c r="E15" s="24"/>
      <c r="F15" s="25" t="s">
        <v>463</v>
      </c>
      <c r="G15" s="26"/>
      <c r="H15" s="26"/>
      <c r="I15" s="27"/>
      <c r="J15" s="27"/>
      <c r="K15" s="27"/>
      <c r="L15" s="27"/>
      <c r="M15" s="4">
        <v>10</v>
      </c>
      <c r="N15" s="4">
        <v>10</v>
      </c>
      <c r="O15" s="27"/>
      <c r="P15" s="4">
        <v>21</v>
      </c>
      <c r="Q15" s="4">
        <v>21</v>
      </c>
      <c r="R15" s="27"/>
      <c r="S15" s="27"/>
      <c r="T15" s="27"/>
      <c r="U15" s="27"/>
      <c r="V15" s="4">
        <v>30</v>
      </c>
      <c r="W15" s="4">
        <v>30</v>
      </c>
      <c r="X15" s="27"/>
      <c r="Y15" s="4">
        <v>50</v>
      </c>
      <c r="Z15" s="4">
        <v>50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4">
        <v>5</v>
      </c>
      <c r="BP15" s="4">
        <v>5</v>
      </c>
      <c r="BQ15" s="28"/>
      <c r="BR15" s="28"/>
      <c r="BS15" s="28"/>
      <c r="BT15" s="28"/>
      <c r="BU15" s="28"/>
      <c r="BV15" s="28"/>
      <c r="BW15" s="28"/>
      <c r="BX15" s="28"/>
      <c r="BY15" s="28"/>
      <c r="BZ15" s="28"/>
      <c r="CA15" s="28"/>
      <c r="CB15" s="28"/>
      <c r="CC15" s="28"/>
      <c r="CD15" s="28"/>
      <c r="CE15" s="28"/>
      <c r="CF15" s="28"/>
      <c r="CG15" s="28"/>
      <c r="CH15" s="28"/>
      <c r="CI15" s="28"/>
      <c r="CJ15" s="4">
        <v>10</v>
      </c>
      <c r="CK15" s="4">
        <v>10</v>
      </c>
      <c r="CL15" s="27"/>
      <c r="CM15" s="4">
        <v>3</v>
      </c>
      <c r="CN15" s="4">
        <v>3</v>
      </c>
      <c r="CO15" s="27"/>
      <c r="CP15" s="4">
        <v>5</v>
      </c>
      <c r="CQ15" s="4">
        <v>5</v>
      </c>
      <c r="CR15" s="27"/>
      <c r="CS15" s="27"/>
      <c r="CT15" s="5">
        <v>120</v>
      </c>
      <c r="CU15" s="5">
        <v>120</v>
      </c>
      <c r="CV15" s="27"/>
      <c r="CW15" s="5">
        <v>10</v>
      </c>
      <c r="CX15" s="5">
        <v>10</v>
      </c>
      <c r="CY15" s="27"/>
      <c r="CZ15" s="5">
        <v>60</v>
      </c>
      <c r="DA15" s="5">
        <v>60</v>
      </c>
      <c r="DB15" s="27"/>
      <c r="DC15" s="5">
        <v>60</v>
      </c>
      <c r="DD15" s="5">
        <v>60</v>
      </c>
      <c r="DE15" s="27"/>
      <c r="DF15" s="4">
        <v>20</v>
      </c>
      <c r="DG15" s="4">
        <v>20</v>
      </c>
      <c r="DH15" s="27"/>
      <c r="DI15" s="89">
        <v>1</v>
      </c>
      <c r="DJ15" s="4">
        <v>20</v>
      </c>
      <c r="DK15" s="4">
        <v>20</v>
      </c>
      <c r="DL15" s="27"/>
      <c r="DM15" s="4">
        <v>5</v>
      </c>
      <c r="DN15" s="4">
        <v>5</v>
      </c>
      <c r="DO15" s="27"/>
      <c r="DP15" s="4">
        <v>3</v>
      </c>
      <c r="DQ15" s="4">
        <v>3</v>
      </c>
      <c r="DR15" s="27"/>
      <c r="DS15" s="89">
        <v>1</v>
      </c>
      <c r="DT15" s="4">
        <v>60</v>
      </c>
      <c r="DU15" s="4">
        <v>60</v>
      </c>
      <c r="DV15" s="27"/>
      <c r="DW15" s="89">
        <v>1</v>
      </c>
      <c r="DX15" s="4">
        <v>30</v>
      </c>
      <c r="DY15" s="4">
        <v>30</v>
      </c>
      <c r="DZ15" s="27"/>
      <c r="EA15" s="89">
        <v>1</v>
      </c>
      <c r="EB15" s="4">
        <v>60</v>
      </c>
      <c r="EC15" s="4">
        <v>60</v>
      </c>
      <c r="ED15" s="27"/>
      <c r="EE15" s="4">
        <v>30</v>
      </c>
      <c r="EF15" s="4">
        <v>30</v>
      </c>
      <c r="EG15" s="27"/>
      <c r="EH15" s="4">
        <v>120</v>
      </c>
      <c r="EI15" s="4">
        <v>120</v>
      </c>
      <c r="EJ15" s="27"/>
      <c r="EK15" s="27"/>
      <c r="EL15" s="27"/>
      <c r="EM15" s="27"/>
      <c r="EN15" s="4">
        <v>60</v>
      </c>
      <c r="EO15" s="4">
        <v>60</v>
      </c>
      <c r="EP15" s="27"/>
      <c r="EQ15" s="4">
        <v>60</v>
      </c>
      <c r="ER15" s="4">
        <v>60</v>
      </c>
      <c r="ES15" s="27"/>
      <c r="ET15" s="4">
        <v>60</v>
      </c>
      <c r="EU15" s="4">
        <v>60</v>
      </c>
      <c r="EV15" s="27"/>
      <c r="EW15" s="4">
        <v>5</v>
      </c>
      <c r="EX15" s="4">
        <v>5</v>
      </c>
      <c r="EY15" s="27"/>
      <c r="EZ15" s="4">
        <v>5</v>
      </c>
      <c r="FA15" s="4">
        <v>5</v>
      </c>
      <c r="FB15" s="27"/>
      <c r="FC15" s="28"/>
      <c r="FD15" s="28"/>
      <c r="FE15" s="28"/>
      <c r="FF15" s="28"/>
      <c r="FG15" s="28"/>
      <c r="FH15" s="28"/>
      <c r="FI15" s="4">
        <v>5</v>
      </c>
      <c r="FJ15" s="4">
        <v>5</v>
      </c>
      <c r="FK15" s="27"/>
      <c r="FL15" s="4">
        <v>0</v>
      </c>
      <c r="FM15" s="4">
        <v>0</v>
      </c>
      <c r="FN15" s="27"/>
      <c r="FO15" s="4">
        <v>40</v>
      </c>
      <c r="FP15" s="4">
        <v>40</v>
      </c>
      <c r="FQ15" s="27"/>
      <c r="FR15" s="27"/>
      <c r="FS15" s="109"/>
      <c r="FT15" s="54">
        <f t="shared" ref="FT15" si="12">NETWORKDAYS($I16,FO16)</f>
        <v>692</v>
      </c>
      <c r="FU15" s="54">
        <f t="shared" ref="FU15" si="13">NETWORKDAYS($I16,FP16)</f>
        <v>692</v>
      </c>
      <c r="FV15" s="54">
        <f t="shared" ref="FV15" si="14">IF(FQ16="",NETWORKDAYS($I16,FP16),NETWORKDAYS($I16,FQ16))</f>
        <v>692</v>
      </c>
      <c r="FW15" s="55" t="s">
        <v>464</v>
      </c>
    </row>
    <row r="16" spans="1:311" x14ac:dyDescent="0.25">
      <c r="A16" s="23" t="s">
        <v>465</v>
      </c>
      <c r="B16" s="23">
        <v>100003</v>
      </c>
      <c r="C16" s="23">
        <v>444</v>
      </c>
      <c r="D16" s="65"/>
      <c r="E16" s="23" t="str">
        <f>IF(D16="","Unknown",IF(D16&lt;=FM16+90,"Red",IF(AND(D16&gt;FM16+90,D16&lt;=FM16+180),"Yellow",IF(AND(D16&gt;FM16+180,D16&lt;=FM16+690),"Green","Covered"))))</f>
        <v>Unknown</v>
      </c>
      <c r="F16" s="25" t="s">
        <v>470</v>
      </c>
      <c r="G16" s="26"/>
      <c r="H16" s="26" t="str">
        <f>IF(CR16="","Pre-Execution","Execution")</f>
        <v>Pre-Execution</v>
      </c>
      <c r="I16" s="13">
        <v>45717</v>
      </c>
      <c r="J16" s="28"/>
      <c r="K16" s="28"/>
      <c r="L16" s="28"/>
      <c r="M16" s="42">
        <f>WORKDAY(I16,M15)</f>
        <v>45730</v>
      </c>
      <c r="N16" s="42">
        <f>WORKDAY(I16,N15)</f>
        <v>45730</v>
      </c>
      <c r="O16" s="59"/>
      <c r="P16" s="42">
        <f>WORKDAY(M16,P15)</f>
        <v>45761</v>
      </c>
      <c r="Q16" s="42">
        <f>IF(O16="",WORKDAY(N16,Q15),WORKDAY(O16,Q15))</f>
        <v>45761</v>
      </c>
      <c r="R16" s="59"/>
      <c r="S16" s="28"/>
      <c r="T16" s="28"/>
      <c r="U16" s="28"/>
      <c r="V16" s="10">
        <f>WORKDAY(P16, V15)</f>
        <v>45803</v>
      </c>
      <c r="W16" s="10">
        <f>IF(R16="",WORKDAY(Q16,W15),WORKDAY(R16,W15))</f>
        <v>45803</v>
      </c>
      <c r="X16" s="56"/>
      <c r="Y16" s="10">
        <f>WORKDAY(P16,Y15)</f>
        <v>45831</v>
      </c>
      <c r="Z16" s="10">
        <f>IF(R16="",WORKDAY(Q16,Z15),WORKDAY(R16,Z15))</f>
        <v>45831</v>
      </c>
      <c r="AA16" s="56"/>
      <c r="AB16" s="10">
        <f>WORKDAY(I16,AB15)</f>
        <v>45717</v>
      </c>
      <c r="AC16" s="10">
        <f>WORKDAY(I16,AC15)</f>
        <v>45717</v>
      </c>
      <c r="AD16" s="56"/>
      <c r="AE16" s="10">
        <f>WORKDAY(AB16,AE15)</f>
        <v>45821</v>
      </c>
      <c r="AF16" s="10">
        <f>IF(AD16="",WORKDAY(AC16,AF15),WORKDAY(AD16,AF15))</f>
        <v>45821</v>
      </c>
      <c r="AG16" s="56"/>
      <c r="AH16" s="42">
        <f>WORKDAY(IF(Y16&gt;AE16,Y16,AE16),AH15)</f>
        <v>45838</v>
      </c>
      <c r="AI16" s="42">
        <f>WORKDAY(IF(AA16="",IF(Z16&gt;AF16,Z16,AF16),IF(AA16&gt;AG16,AA16,AG16)),AI15)</f>
        <v>45838</v>
      </c>
      <c r="AJ16" s="59"/>
      <c r="AK16" s="10">
        <f>WORKDAY(AH16,AK15)</f>
        <v>45866</v>
      </c>
      <c r="AL16" s="10">
        <f>IF(AJ16="",WORKDAY(AI16,AL15),WORKDAY(AJ16,AL15))</f>
        <v>45866</v>
      </c>
      <c r="AM16" s="56"/>
      <c r="AN16" s="10">
        <f>WORKDAY(AK16,AN15)</f>
        <v>45866</v>
      </c>
      <c r="AO16" s="10">
        <f>IF(AM16="",WORKDAY(AL16,AO15),WORKDAY(AM16,AO15))</f>
        <v>45866</v>
      </c>
      <c r="AP16" s="56"/>
      <c r="AQ16" s="42">
        <f>WORKDAY(AN16,AQ15)</f>
        <v>45894</v>
      </c>
      <c r="AR16" s="42">
        <f>IF(AP16="",WORKDAY(AO16,AR15),WORKDAY(AP16,AR15))</f>
        <v>45894</v>
      </c>
      <c r="AS16" s="59"/>
      <c r="AT16" s="10">
        <f>WORKDAY(AN16,AT15)</f>
        <v>45873</v>
      </c>
      <c r="AU16" s="10">
        <f>IF(O16="",WORKDAY(AO16,AU15),WORKDAY(AP16,AU15))</f>
        <v>45873</v>
      </c>
      <c r="AV16" s="56"/>
      <c r="AW16" s="10">
        <f>IF(AQ16&gt;AT16,WORKDAY(AQ16,AW15),WORKDAY(AT16,AW15))</f>
        <v>45908</v>
      </c>
      <c r="AX16" s="10">
        <f>IF(AS16="",IF(AR16&gt;AU16,WORKDAY(AR16,AX15),WORKDAY(AU16,AX15)),IF(AS16&gt;AV16,WORKDAY(AS16,AX15),WORKDAY(AV16,AX15)))</f>
        <v>45908</v>
      </c>
      <c r="AY16" s="56"/>
      <c r="AZ16" s="10">
        <f>WORKDAY(AN16,AZ15)</f>
        <v>45908</v>
      </c>
      <c r="BA16" s="10">
        <f>IF(AP16="",WORKDAY(AO16,BA15),WORKDAY(AP16,BA15))</f>
        <v>45908</v>
      </c>
      <c r="BB16" s="56"/>
      <c r="BC16" s="10">
        <f>IF(AW16&gt;AZ16,WORKDAY(AW16,BC15),WORKDAY(AZ16,BC15))</f>
        <v>45915</v>
      </c>
      <c r="BD16" s="10">
        <f>IF(AY16="",IF(AX16&gt;BA16,WORKDAY(AX16,BD15),WORKDAY(BA16,BD15)),IF(AY16&gt;BB16,WORKDAY(AY16,BD15),WORKDAY(BB16,BD15)))</f>
        <v>45915</v>
      </c>
      <c r="BE16" s="56"/>
      <c r="BF16" s="42">
        <f>WORKDAY(BC16,BF15)</f>
        <v>45922</v>
      </c>
      <c r="BG16" s="42">
        <f>IF(BE16="",WORKDAY(BD16,BG15),WORKDAY(BE16,BG15))</f>
        <v>45922</v>
      </c>
      <c r="BH16" s="56"/>
      <c r="BI16" s="10">
        <f>WORKDAY(BF16,BI15)</f>
        <v>45929</v>
      </c>
      <c r="BJ16" s="10">
        <f>IF(BH16="",WORKDAY(BG16,BJ15),WORKDAY(BH16,BJ15))</f>
        <v>45929</v>
      </c>
      <c r="BK16" s="56"/>
      <c r="BL16" s="28"/>
      <c r="BM16" s="28"/>
      <c r="BN16" s="28"/>
      <c r="BO16" s="10">
        <f>WORKDAY(BI16,BO15)</f>
        <v>45936</v>
      </c>
      <c r="BP16" s="10">
        <f>IF(BK16="",WORKDAY(BJ16,BP15),WORKDAY(BK16,BP15))</f>
        <v>45936</v>
      </c>
      <c r="BQ16" s="56"/>
      <c r="BR16" s="28"/>
      <c r="BS16" s="28"/>
      <c r="BT16" s="28"/>
      <c r="BU16" s="28"/>
      <c r="BV16" s="28"/>
      <c r="BW16" s="28"/>
      <c r="BX16" s="28"/>
      <c r="BY16" s="28"/>
      <c r="BZ16" s="28"/>
      <c r="CA16" s="28"/>
      <c r="CB16" s="28"/>
      <c r="CC16" s="28"/>
      <c r="CD16" s="28"/>
      <c r="CE16" s="28"/>
      <c r="CF16" s="28"/>
      <c r="CG16" s="28"/>
      <c r="CH16" s="28"/>
      <c r="CI16" s="28"/>
      <c r="CJ16" s="10">
        <f>WORKDAY(BI16,CJ15)</f>
        <v>45943</v>
      </c>
      <c r="CK16" s="10">
        <f>IF(BK16="",WORKDAY(BJ16,CK15),WORKDAY(BK16,CK15))</f>
        <v>45943</v>
      </c>
      <c r="CL16" s="56"/>
      <c r="CM16" s="42">
        <f>WORKDAY(CJ16,CM15)</f>
        <v>45946</v>
      </c>
      <c r="CN16" s="42">
        <f>IF(CL16="",WORKDAY(CK16,CN15),WORKDAY(CL16,CN15))</f>
        <v>45946</v>
      </c>
      <c r="CO16" s="56"/>
      <c r="CP16" s="42">
        <f>WORKDAY(CM16,CP15)</f>
        <v>45953</v>
      </c>
      <c r="CQ16" s="42">
        <f>IF(CO16="",WORKDAY(CN16,CQ15),WORKDAY(CO16,CQ15))</f>
        <v>45953</v>
      </c>
      <c r="CR16" s="59"/>
      <c r="CS16" s="77" t="str">
        <f>IF(CR16="","No Action: Still in Pre-Execution","Execution schedule has been re-baselined w/ FAIR PO Ack ACD. Validate your durations before publishing")</f>
        <v>No Action: Still in Pre-Execution</v>
      </c>
      <c r="CT16" s="42">
        <f>IF(CR16="",WORKDAY(CP16,CT15),WORKDAY(CR16,CT15))</f>
        <v>46121</v>
      </c>
      <c r="CU16" s="42">
        <f>IF(CR16="",WORKDAY(CQ16,CU15),WORKDAY(CR16,CU15))</f>
        <v>46121</v>
      </c>
      <c r="CV16" s="56"/>
      <c r="CW16" s="10">
        <f>WORKDAY(AZ16,CW15)</f>
        <v>45922</v>
      </c>
      <c r="CX16" s="10">
        <f>IF(BB16="",WORKDAY(BA16,CX15),WORKDAY(BB16,CX15))</f>
        <v>45922</v>
      </c>
      <c r="CY16" s="56"/>
      <c r="CZ16" s="10">
        <f>WORKDAY(CW16,CZ15)</f>
        <v>46006</v>
      </c>
      <c r="DA16" s="10">
        <f>IF(CY16="",WORKDAY(CX16,DA15),WORKDAY(CY16,DA15))</f>
        <v>46006</v>
      </c>
      <c r="DB16" s="56"/>
      <c r="DC16" s="10">
        <f>IF($CU16&gt;$DA16,WORKDAY($CU16,DC15),WORKDAY($DA16,DC15))</f>
        <v>46205</v>
      </c>
      <c r="DD16" s="10">
        <f>IF(CV16="",IF($CU16&gt;$DA16,WORKDAY($CU16,DD15),WORKDAY($DA16,DD15)),IF($CV16&gt;$DB16,WORKDAY($CV16,DD15),WORKDAY($DB16,DD15)))</f>
        <v>46205</v>
      </c>
      <c r="DE16" s="56"/>
      <c r="DF16" s="10">
        <f>WORKDAY(DC16,DF15)</f>
        <v>46233</v>
      </c>
      <c r="DG16" s="10">
        <f>IF(DE16="",WORKDAY(DD16,DG15),WORKDAY(DE16,DG15))</f>
        <v>46233</v>
      </c>
      <c r="DH16" s="56"/>
      <c r="DI16" s="46"/>
      <c r="DJ16" s="10">
        <f>WORKDAY(DF16,DJ15*DI15)</f>
        <v>46261</v>
      </c>
      <c r="DK16" s="10">
        <f>IF(DH16="",WORKDAY(DG16,DK15*DI15),WORKDAY(DH16,DK15*DI15))</f>
        <v>46261</v>
      </c>
      <c r="DL16" s="56"/>
      <c r="DM16" s="10">
        <f>WORKDAY(DJ16,DM15)</f>
        <v>46268</v>
      </c>
      <c r="DN16" s="10">
        <f>IF(DL16="",WORKDAY(DK16,DN15),WORKDAY(DL16,DN15))</f>
        <v>46268</v>
      </c>
      <c r="DO16" s="56"/>
      <c r="DP16" s="10">
        <f t="shared" ref="DP16" si="15">WORKDAY(DM16,DP15)</f>
        <v>46273</v>
      </c>
      <c r="DQ16" s="10">
        <f t="shared" ref="DQ16" si="16">IF(DO16="",WORKDAY(DN16,DQ15),WORKDAY(DO16,DQ15))</f>
        <v>46273</v>
      </c>
      <c r="DR16" s="56"/>
      <c r="DS16" s="46"/>
      <c r="DT16" s="10">
        <f>WORKDAY(DP16,DT15*$DS15)</f>
        <v>46357</v>
      </c>
      <c r="DU16" s="10">
        <f>IF(DR16="",WORKDAY(DQ16,DU15*$DS15),WORKDAY(DR16,DU15*$DS15))</f>
        <v>46357</v>
      </c>
      <c r="DV16" s="56"/>
      <c r="DW16" s="46"/>
      <c r="DX16" s="10">
        <f>WORKDAY(DT16,DX15*$DW15)</f>
        <v>46399</v>
      </c>
      <c r="DY16" s="10">
        <f>IF(DV16="",WORKDAY(DU16,DY15*$DW15),WORKDAY(DV16,DY15*$DW15))</f>
        <v>46399</v>
      </c>
      <c r="DZ16" s="56"/>
      <c r="EA16" s="46"/>
      <c r="EB16" s="10">
        <f>WORKDAY(DX16,EB15*$EA15)</f>
        <v>46483</v>
      </c>
      <c r="EC16" s="10">
        <f>IF(DZ16="",WORKDAY(DY16,EC15*$EA15),WORKDAY(DZ16,EC15*$EA15))</f>
        <v>46483</v>
      </c>
      <c r="ED16" s="56"/>
      <c r="EE16" s="10">
        <f>WORKDAY(EB16,EE15)</f>
        <v>46525</v>
      </c>
      <c r="EF16" s="10">
        <f>IF(ED16="",WORKDAY(EC16,EF15),WORKDAY(ED16,EF15))</f>
        <v>46525</v>
      </c>
      <c r="EG16" s="56"/>
      <c r="EH16" s="10">
        <f>IF(CR16="",WORKDAY(BF16,EH15),WORKDAY(BH16,EH15))</f>
        <v>46090</v>
      </c>
      <c r="EI16" s="10">
        <f>IF(BH16="",WORKDAY(BG16,EI15),WORKDAY(BH16,EI15))</f>
        <v>46090</v>
      </c>
      <c r="EJ16" s="56"/>
      <c r="EK16" s="27"/>
      <c r="EL16" s="27"/>
      <c r="EM16" s="27"/>
      <c r="EN16" s="10">
        <f>WORKDAY(EE16,EN15)</f>
        <v>46609</v>
      </c>
      <c r="EO16" s="10">
        <f>IF(EG16="",WORKDAY(EF16,EO15),WORKDAY(EG16,EO15))</f>
        <v>46609</v>
      </c>
      <c r="EP16" s="56"/>
      <c r="EQ16" s="10">
        <f>WORKDAY(EE16,EQ15)</f>
        <v>46609</v>
      </c>
      <c r="ER16" s="10">
        <f>IF(EG16="",WORKDAY(EF16,ER15),WORKDAY(EG16,ER15))</f>
        <v>46609</v>
      </c>
      <c r="ES16" s="56"/>
      <c r="ET16" s="10">
        <f>WORKDAY(EE16,ET15)</f>
        <v>46609</v>
      </c>
      <c r="EU16" s="10">
        <f>IF(EG16="",WORKDAY(EF16,EU15),WORKDAY(EG16,EU15))</f>
        <v>46609</v>
      </c>
      <c r="EV16" s="56"/>
      <c r="EW16" s="11">
        <f>WORKDAY(IF(EN16&gt;EQ16,(IF(EN16&gt;ET16,EN16,ET16)),IF(EQ16&gt;ET16,EQ16,ET16)),EW15)</f>
        <v>46616</v>
      </c>
      <c r="EX16" s="11">
        <f>IF(EP16="",WORKDAY(IF(EO16&gt;ER16,(IF(EO16&gt;EU16,EO16,EU16)),IF(ER16&gt;EU16,ER16,EU16)),EX15),WORKDAY(IF(EP16&gt;ES16,(IF(EP16&gt;EV16,EP16,EV16)),IF(ES16&gt;EV16,ES16,EV16)),EX15))</f>
        <v>46616</v>
      </c>
      <c r="EY16" s="56"/>
      <c r="EZ16" s="12">
        <f>WORKDAY(EW16,EZ15)</f>
        <v>46623</v>
      </c>
      <c r="FA16" s="12">
        <f>IF(EY16="",WORKDAY(EX16,FA15),WORKDAY(EY16,FA15))</f>
        <v>46623</v>
      </c>
      <c r="FB16" s="56"/>
      <c r="FC16" s="28"/>
      <c r="FD16" s="28"/>
      <c r="FE16" s="28"/>
      <c r="FF16" s="60"/>
      <c r="FG16" s="60"/>
      <c r="FH16" s="60"/>
      <c r="FI16" s="12">
        <f>WORKDAY(EZ16,FI15)</f>
        <v>46630</v>
      </c>
      <c r="FJ16" s="12">
        <f>IF(FB16="",WORKDAY(FA16,FJ15),WORKDAY(FB16,FJ15))</f>
        <v>46630</v>
      </c>
      <c r="FK16" s="56"/>
      <c r="FL16" s="10">
        <f>WORKDAY(FI16,FL15)</f>
        <v>46630</v>
      </c>
      <c r="FM16" s="10">
        <f>IF(FK16="",WORKDAY(FJ16,FM15),WORKDAY(FK16,FM15))</f>
        <v>46630</v>
      </c>
      <c r="FN16" s="56"/>
      <c r="FO16" s="10">
        <f>WORKDAY(FL16,FO15)</f>
        <v>46686</v>
      </c>
      <c r="FP16" s="10">
        <f>WORKDAY(FM16,FP15)</f>
        <v>46686</v>
      </c>
      <c r="FQ16" s="56"/>
      <c r="FR16" s="77" t="str">
        <f>IF(NETWORKDAYS(FJ16,FO16)&gt;=30,"On-Track",IF(AND(NETWORKDAYS(FJ16,FO16)&lt;30,FJ16&lt;=FO16),"At Risk","Missed TCD"))</f>
        <v>On-Track</v>
      </c>
      <c r="FS16" s="110"/>
      <c r="FT16" s="57">
        <f t="shared" ref="FT16" si="17">NETWORKDAYS(CP16,FI16)</f>
        <v>484</v>
      </c>
      <c r="FU16" s="57">
        <f t="shared" ref="FU16" si="18">NETWORKDAYS(CQ16,FJ16)</f>
        <v>484</v>
      </c>
      <c r="FV16" s="57">
        <f t="shared" ref="FV16" si="19">IF(BH16="",NETWORKDAYS(BG16,FJ16),IF(FK16="",NETWORKDAYS(BH16,FJ16),NETWORKDAYS(BH16,FK16)))</f>
        <v>507</v>
      </c>
      <c r="FW16" s="58" t="s">
        <v>467</v>
      </c>
    </row>
    <row r="17" spans="1:179" outlineLevel="1" x14ac:dyDescent="0.25">
      <c r="A17" s="23"/>
      <c r="B17" s="23"/>
      <c r="C17" s="24"/>
      <c r="D17" s="95"/>
      <c r="E17" s="24"/>
      <c r="F17" s="25" t="s">
        <v>463</v>
      </c>
      <c r="G17" s="26"/>
      <c r="H17" s="26"/>
      <c r="I17" s="27"/>
      <c r="J17" s="27"/>
      <c r="K17" s="27"/>
      <c r="L17" s="27"/>
      <c r="M17" s="4">
        <v>10</v>
      </c>
      <c r="N17" s="4">
        <v>10</v>
      </c>
      <c r="O17" s="27"/>
      <c r="P17" s="4">
        <v>21</v>
      </c>
      <c r="Q17" s="4">
        <v>21</v>
      </c>
      <c r="R17" s="27"/>
      <c r="S17" s="27"/>
      <c r="T17" s="27"/>
      <c r="U17" s="27"/>
      <c r="V17" s="4">
        <v>30</v>
      </c>
      <c r="W17" s="4">
        <v>30</v>
      </c>
      <c r="X17" s="27"/>
      <c r="Y17" s="4">
        <v>50</v>
      </c>
      <c r="Z17" s="4">
        <v>50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61"/>
      <c r="BP17" s="61"/>
      <c r="BQ17" s="28"/>
      <c r="BR17" s="28"/>
      <c r="BS17" s="28"/>
      <c r="BT17" s="28"/>
      <c r="BU17" s="28"/>
      <c r="BV17" s="28"/>
      <c r="BW17" s="28"/>
      <c r="BX17" s="28"/>
      <c r="BY17" s="28"/>
      <c r="BZ17" s="28"/>
      <c r="CA17" s="28"/>
      <c r="CB17" s="28"/>
      <c r="CC17" s="28"/>
      <c r="CD17" s="28"/>
      <c r="CE17" s="28"/>
      <c r="CF17" s="28"/>
      <c r="CG17" s="28"/>
      <c r="CH17" s="28"/>
      <c r="CI17" s="28"/>
      <c r="CJ17" s="4">
        <v>10</v>
      </c>
      <c r="CK17" s="4">
        <v>10</v>
      </c>
      <c r="CL17" s="27"/>
      <c r="CM17" s="4">
        <v>3</v>
      </c>
      <c r="CN17" s="4">
        <v>3</v>
      </c>
      <c r="CO17" s="27"/>
      <c r="CP17" s="4">
        <v>5</v>
      </c>
      <c r="CQ17" s="4">
        <v>5</v>
      </c>
      <c r="CR17" s="27"/>
      <c r="CS17" s="27"/>
      <c r="CT17" s="5">
        <v>120</v>
      </c>
      <c r="CU17" s="5">
        <v>120</v>
      </c>
      <c r="CV17" s="27"/>
      <c r="CW17" s="5">
        <v>10</v>
      </c>
      <c r="CX17" s="5">
        <v>10</v>
      </c>
      <c r="CY17" s="27"/>
      <c r="CZ17" s="5">
        <v>60</v>
      </c>
      <c r="DA17" s="5">
        <v>60</v>
      </c>
      <c r="DB17" s="27"/>
      <c r="DC17" s="5">
        <v>60</v>
      </c>
      <c r="DD17" s="5">
        <v>60</v>
      </c>
      <c r="DE17" s="27"/>
      <c r="DF17" s="4">
        <v>20</v>
      </c>
      <c r="DG17" s="4">
        <v>20</v>
      </c>
      <c r="DH17" s="27"/>
      <c r="DI17" s="89">
        <v>1</v>
      </c>
      <c r="DJ17" s="4">
        <v>20</v>
      </c>
      <c r="DK17" s="4">
        <v>20</v>
      </c>
      <c r="DL17" s="27"/>
      <c r="DM17" s="4">
        <v>5</v>
      </c>
      <c r="DN17" s="4">
        <v>5</v>
      </c>
      <c r="DO17" s="27"/>
      <c r="DP17" s="4">
        <v>3</v>
      </c>
      <c r="DQ17" s="4">
        <v>3</v>
      </c>
      <c r="DR17" s="27"/>
      <c r="DS17" s="89">
        <v>1</v>
      </c>
      <c r="DT17" s="4">
        <v>60</v>
      </c>
      <c r="DU17" s="4">
        <v>60</v>
      </c>
      <c r="DV17" s="27"/>
      <c r="DW17" s="89">
        <v>1</v>
      </c>
      <c r="DX17" s="4">
        <v>30</v>
      </c>
      <c r="DY17" s="4">
        <v>30</v>
      </c>
      <c r="DZ17" s="27"/>
      <c r="EA17" s="89">
        <v>1</v>
      </c>
      <c r="EB17" s="4">
        <v>60</v>
      </c>
      <c r="EC17" s="4">
        <v>60</v>
      </c>
      <c r="ED17" s="27"/>
      <c r="EE17" s="4">
        <v>30</v>
      </c>
      <c r="EF17" s="4">
        <v>30</v>
      </c>
      <c r="EG17" s="27"/>
      <c r="EH17" s="4">
        <v>120</v>
      </c>
      <c r="EI17" s="4">
        <v>120</v>
      </c>
      <c r="EJ17" s="27"/>
      <c r="EK17" s="27"/>
      <c r="EL17" s="27"/>
      <c r="EM17" s="27"/>
      <c r="EN17" s="4">
        <v>60</v>
      </c>
      <c r="EO17" s="4">
        <v>60</v>
      </c>
      <c r="EP17" s="27"/>
      <c r="EQ17" s="4">
        <v>60</v>
      </c>
      <c r="ER17" s="4">
        <v>60</v>
      </c>
      <c r="ES17" s="27"/>
      <c r="ET17" s="4">
        <v>60</v>
      </c>
      <c r="EU17" s="4">
        <v>60</v>
      </c>
      <c r="EV17" s="27"/>
      <c r="EW17" s="4">
        <v>5</v>
      </c>
      <c r="EX17" s="4">
        <v>5</v>
      </c>
      <c r="EY17" s="27"/>
      <c r="EZ17" s="4">
        <v>5</v>
      </c>
      <c r="FA17" s="4">
        <v>5</v>
      </c>
      <c r="FB17" s="27"/>
      <c r="FC17" s="28"/>
      <c r="FD17" s="28"/>
      <c r="FE17" s="28"/>
      <c r="FF17" s="28"/>
      <c r="FG17" s="28"/>
      <c r="FH17" s="28"/>
      <c r="FI17" s="4">
        <v>5</v>
      </c>
      <c r="FJ17" s="4">
        <v>5</v>
      </c>
      <c r="FK17" s="27"/>
      <c r="FL17" s="4">
        <v>0</v>
      </c>
      <c r="FM17" s="4">
        <v>0</v>
      </c>
      <c r="FN17" s="27"/>
      <c r="FO17" s="4">
        <v>40</v>
      </c>
      <c r="FP17" s="4">
        <v>40</v>
      </c>
      <c r="FQ17" s="27"/>
      <c r="FR17" s="27"/>
      <c r="FS17" s="109"/>
      <c r="FT17" s="54">
        <f t="shared" ref="FT17" si="20">NETWORKDAYS($I18,FO18)</f>
        <v>692</v>
      </c>
      <c r="FU17" s="54">
        <f t="shared" ref="FU17" si="21">NETWORKDAYS($I18,FP18)</f>
        <v>692</v>
      </c>
      <c r="FV17" s="54">
        <f t="shared" ref="FV17" si="22">IF(FQ18="",NETWORKDAYS($I18,FP18),NETWORKDAYS($I18,FQ18))</f>
        <v>692</v>
      </c>
      <c r="FW17" s="55" t="s">
        <v>464</v>
      </c>
    </row>
    <row r="18" spans="1:179" ht="15.75" thickBot="1" x14ac:dyDescent="0.3">
      <c r="A18" s="23" t="s">
        <v>465</v>
      </c>
      <c r="B18" s="23">
        <v>100004</v>
      </c>
      <c r="C18" s="23">
        <v>555</v>
      </c>
      <c r="D18" s="65"/>
      <c r="E18" s="23" t="str">
        <f>IF(D18="","Unknown",IF(D18&lt;=FM18+90,"Red",IF(AND(D18&gt;FM18+90,D18&lt;=FM18+180),"Yellow",IF(AND(D18&gt;FM18+180,D18&lt;=FM18+690),"Green","Covered"))))</f>
        <v>Unknown</v>
      </c>
      <c r="F18" s="25" t="s">
        <v>471</v>
      </c>
      <c r="G18" s="26"/>
      <c r="H18" s="26" t="str">
        <f>IF(CR18="","Pre-Execution","Execution")</f>
        <v>Pre-Execution</v>
      </c>
      <c r="I18" s="13">
        <v>45717</v>
      </c>
      <c r="J18" s="28"/>
      <c r="K18" s="28"/>
      <c r="L18" s="28"/>
      <c r="M18" s="42">
        <f>WORKDAY(I18,M17)</f>
        <v>45730</v>
      </c>
      <c r="N18" s="42">
        <f>WORKDAY(I18,N17)</f>
        <v>45730</v>
      </c>
      <c r="O18" s="59"/>
      <c r="P18" s="42">
        <f>WORKDAY(M18,P17)</f>
        <v>45761</v>
      </c>
      <c r="Q18" s="42">
        <f>IF(O18="",WORKDAY(N18,Q17),WORKDAY(O18,Q17))</f>
        <v>45761</v>
      </c>
      <c r="R18" s="59"/>
      <c r="S18" s="28"/>
      <c r="T18" s="28"/>
      <c r="U18" s="28"/>
      <c r="V18" s="10">
        <f>WORKDAY(P18, V17)</f>
        <v>45803</v>
      </c>
      <c r="W18" s="10">
        <f>IF(R18="",WORKDAY(Q18,W17),WORKDAY(R18,W17))</f>
        <v>45803</v>
      </c>
      <c r="X18" s="56"/>
      <c r="Y18" s="10">
        <f>WORKDAY(P18,Y17)</f>
        <v>45831</v>
      </c>
      <c r="Z18" s="10">
        <f>IF(R18="",WORKDAY(Q18,Z17),WORKDAY(R18,Z17))</f>
        <v>45831</v>
      </c>
      <c r="AA18" s="56"/>
      <c r="AB18" s="10">
        <f>WORKDAY(I18,AB17)</f>
        <v>45717</v>
      </c>
      <c r="AC18" s="10">
        <f>WORKDAY(I18,AC17)</f>
        <v>45717</v>
      </c>
      <c r="AD18" s="56"/>
      <c r="AE18" s="10">
        <f>WORKDAY(AB18,AE17)</f>
        <v>45821</v>
      </c>
      <c r="AF18" s="10">
        <f>IF(AD18="",WORKDAY(AC18,AF17),WORKDAY(AD18,AF17))</f>
        <v>45821</v>
      </c>
      <c r="AG18" s="56"/>
      <c r="AH18" s="42">
        <f>WORKDAY(IF(Y18&gt;AE18,Y18,AE18),AH17)</f>
        <v>45838</v>
      </c>
      <c r="AI18" s="42">
        <f>WORKDAY(IF(AA18="",IF(Z18&gt;AF18,Z18,AF18),IF(AA18&gt;AG18,AA18,AG18)),AI17)</f>
        <v>45838</v>
      </c>
      <c r="AJ18" s="59"/>
      <c r="AK18" s="10">
        <f>WORKDAY(AH18,AK17)</f>
        <v>45866</v>
      </c>
      <c r="AL18" s="10">
        <f>IF(AJ18="",WORKDAY(AI18,AL17),WORKDAY(AJ18,AL17))</f>
        <v>45866</v>
      </c>
      <c r="AM18" s="56"/>
      <c r="AN18" s="10">
        <f>WORKDAY(AK18,AN17)</f>
        <v>45866</v>
      </c>
      <c r="AO18" s="10">
        <f>IF(AM18="",WORKDAY(AL18,AO17),WORKDAY(AM18,AO17))</f>
        <v>45866</v>
      </c>
      <c r="AP18" s="56"/>
      <c r="AQ18" s="42">
        <f>WORKDAY(AN18,AQ17)</f>
        <v>45894</v>
      </c>
      <c r="AR18" s="42">
        <f>IF(AP18="",WORKDAY(AO18,AR17),WORKDAY(AP18,AR17))</f>
        <v>45894</v>
      </c>
      <c r="AS18" s="59"/>
      <c r="AT18" s="10">
        <f>WORKDAY(AN18,AT17)</f>
        <v>45873</v>
      </c>
      <c r="AU18" s="10">
        <f>IF(O18="",WORKDAY(AO18,AU17),WORKDAY(AP18,AU17))</f>
        <v>45873</v>
      </c>
      <c r="AV18" s="56"/>
      <c r="AW18" s="10">
        <f>IF(AQ18&gt;AT18,WORKDAY(AQ18,AW17),WORKDAY(AT18,AW17))</f>
        <v>45908</v>
      </c>
      <c r="AX18" s="10">
        <f>IF(AS18="",IF(AR18&gt;AU18,WORKDAY(AR18,AX17),WORKDAY(AU18,AX17)),IF(AS18&gt;AV18,WORKDAY(AS18,AX17),WORKDAY(AV18,AX17)))</f>
        <v>45908</v>
      </c>
      <c r="AY18" s="56"/>
      <c r="AZ18" s="10">
        <f>WORKDAY(AN18,AZ17)</f>
        <v>45908</v>
      </c>
      <c r="BA18" s="10">
        <f>IF(AP18="",WORKDAY(AO18,BA17),WORKDAY(AP18,BA17))</f>
        <v>45908</v>
      </c>
      <c r="BB18" s="56"/>
      <c r="BC18" s="10">
        <f>IF(AW18&gt;AZ18,WORKDAY(AW18,BC17),WORKDAY(AZ18,BC17))</f>
        <v>45915</v>
      </c>
      <c r="BD18" s="10">
        <f>IF(AY18="",IF(AX18&gt;BA18,WORKDAY(AX18,BD17),WORKDAY(BA18,BD17)),IF(AY18&gt;BB18,WORKDAY(AY18,BD17),WORKDAY(BB18,BD17)))</f>
        <v>45915</v>
      </c>
      <c r="BE18" s="56"/>
      <c r="BF18" s="42">
        <f>WORKDAY(BC18,BF17)</f>
        <v>45922</v>
      </c>
      <c r="BG18" s="42">
        <f>IF(BE18="",WORKDAY(BD18,BG17),WORKDAY(BE18,BG17))</f>
        <v>45922</v>
      </c>
      <c r="BH18" s="56"/>
      <c r="BI18" s="10">
        <f>WORKDAY(BF18,BI17)</f>
        <v>45929</v>
      </c>
      <c r="BJ18" s="10">
        <f>IF(BH18="",WORKDAY(BG18,BJ17),WORKDAY(BH18,BJ17))</f>
        <v>45929</v>
      </c>
      <c r="BK18" s="56"/>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10">
        <f>WORKDAY(BI18,CJ17)</f>
        <v>45943</v>
      </c>
      <c r="CK18" s="10">
        <f>IF(BK18="",WORKDAY(BJ18,CK17),WORKDAY(BK18,CK17))</f>
        <v>45943</v>
      </c>
      <c r="CL18" s="56"/>
      <c r="CM18" s="42">
        <f>WORKDAY(CJ18,CM17)</f>
        <v>45946</v>
      </c>
      <c r="CN18" s="42">
        <f>IF(CL18="",WORKDAY(CK18,CN17),WORKDAY(CL18,CN17))</f>
        <v>45946</v>
      </c>
      <c r="CO18" s="56"/>
      <c r="CP18" s="42">
        <f>WORKDAY(CM18,CP17)</f>
        <v>45953</v>
      </c>
      <c r="CQ18" s="42">
        <f>IF(CO18="",WORKDAY(CN18,CQ17),WORKDAY(CO18,CQ17))</f>
        <v>45953</v>
      </c>
      <c r="CR18" s="59"/>
      <c r="CS18" s="77" t="str">
        <f>IF(CR18="","No Action: Still in Pre-Execution","Execution schedule has been re-baselined w/ FAIR PO Ack ACD. Validate your durations before publishing")</f>
        <v>No Action: Still in Pre-Execution</v>
      </c>
      <c r="CT18" s="42">
        <f>IF(CR18="",WORKDAY(CP18,CT17),WORKDAY(CR18,CT17))</f>
        <v>46121</v>
      </c>
      <c r="CU18" s="42">
        <f>IF(CR18="",WORKDAY(CQ18,CU17),WORKDAY(CR18,CU17))</f>
        <v>46121</v>
      </c>
      <c r="CV18" s="56"/>
      <c r="CW18" s="10">
        <f>WORKDAY(AZ18,CW17)</f>
        <v>45922</v>
      </c>
      <c r="CX18" s="10">
        <f>IF(BB18="",WORKDAY(BA18,CX17),WORKDAY(BB18,CX17))</f>
        <v>45922</v>
      </c>
      <c r="CY18" s="56"/>
      <c r="CZ18" s="10">
        <f>WORKDAY(CW18,CZ17)</f>
        <v>46006</v>
      </c>
      <c r="DA18" s="10">
        <f>IF(CY18="",WORKDAY(CX18,DA17),WORKDAY(CY18,DA17))</f>
        <v>46006</v>
      </c>
      <c r="DB18" s="56"/>
      <c r="DC18" s="10">
        <f>IF($CU18&gt;$DA18,WORKDAY($CU18,DC17),WORKDAY($DA18,DC17))</f>
        <v>46205</v>
      </c>
      <c r="DD18" s="10">
        <f>IF(CV18="",IF($CU18&gt;$DA18,WORKDAY($CU18,DD17),WORKDAY($DA18,DD17)),IF($CV18&gt;$DB18,WORKDAY($CV18,DD17),WORKDAY($DB18,DD17)))</f>
        <v>46205</v>
      </c>
      <c r="DE18" s="56"/>
      <c r="DF18" s="10">
        <f>WORKDAY(DC18,DF17)</f>
        <v>46233</v>
      </c>
      <c r="DG18" s="10">
        <f>IF(DE18="",WORKDAY(DD18,DG17),WORKDAY(DE18,DG17))</f>
        <v>46233</v>
      </c>
      <c r="DH18" s="56"/>
      <c r="DI18" s="46"/>
      <c r="DJ18" s="42">
        <f>WORKDAY(DF18,DJ17*DI17)</f>
        <v>46261</v>
      </c>
      <c r="DK18" s="42">
        <f>IF(DH18="",WORKDAY(DG18,DK17*DI17),WORKDAY(DH18,DK17*DI17))</f>
        <v>46261</v>
      </c>
      <c r="DL18" s="59"/>
      <c r="DM18" s="10">
        <f>WORKDAY(DJ18,DM17)</f>
        <v>46268</v>
      </c>
      <c r="DN18" s="10">
        <f>IF(DL18="",WORKDAY(DK18,DN17),WORKDAY(DL18,DN17))</f>
        <v>46268</v>
      </c>
      <c r="DO18" s="56"/>
      <c r="DP18" s="10">
        <f t="shared" ref="DP18" si="23">WORKDAY(DM18,DP17)</f>
        <v>46273</v>
      </c>
      <c r="DQ18" s="10">
        <f t="shared" ref="DQ18" si="24">IF(DO18="",WORKDAY(DN18,DQ17),WORKDAY(DO18,DQ17))</f>
        <v>46273</v>
      </c>
      <c r="DR18" s="56"/>
      <c r="DS18" s="90"/>
      <c r="DT18" s="42">
        <f>WORKDAY(DP18,DT17*$DS17)</f>
        <v>46357</v>
      </c>
      <c r="DU18" s="42">
        <f>IF(DR18="",WORKDAY(DQ18,DU17*$DS17),WORKDAY(DR18,DU17*$DS17))</f>
        <v>46357</v>
      </c>
      <c r="DV18" s="59"/>
      <c r="DW18" s="90"/>
      <c r="DX18" s="42">
        <f>WORKDAY(DT18,DX17*$DW17)</f>
        <v>46399</v>
      </c>
      <c r="DY18" s="42">
        <f>IF(DV18="",WORKDAY(DU18,DY17*$DW17),WORKDAY(DV18,DY17*$DW17))</f>
        <v>46399</v>
      </c>
      <c r="DZ18" s="59"/>
      <c r="EA18" s="90"/>
      <c r="EB18" s="10">
        <f>WORKDAY(DX18,EB17*$EA17)</f>
        <v>46483</v>
      </c>
      <c r="EC18" s="10">
        <f>IF(DZ18="",WORKDAY(DY18,EC17*$EA17),WORKDAY(DZ18,EC17*$EA17))</f>
        <v>46483</v>
      </c>
      <c r="ED18" s="56"/>
      <c r="EE18" s="10">
        <f>WORKDAY(EB18,EE17)</f>
        <v>46525</v>
      </c>
      <c r="EF18" s="10">
        <f>IF(ED18="",WORKDAY(EC18,EF17),WORKDAY(ED18,EF17))</f>
        <v>46525</v>
      </c>
      <c r="EG18" s="56"/>
      <c r="EH18" s="10">
        <f>IF(CR18="",WORKDAY(BF18,EH17),WORKDAY(BH18,EH17))</f>
        <v>46090</v>
      </c>
      <c r="EI18" s="10">
        <f>IF(BH18="",WORKDAY(BG18,EI17),WORKDAY(BH18,EI17))</f>
        <v>46090</v>
      </c>
      <c r="EJ18" s="56"/>
      <c r="EK18" s="27"/>
      <c r="EL18" s="27"/>
      <c r="EM18" s="27"/>
      <c r="EN18" s="10">
        <f>WORKDAY(EE18,EN17)</f>
        <v>46609</v>
      </c>
      <c r="EO18" s="10">
        <f>IF(EG18="",WORKDAY(EF18,EO17),WORKDAY(EG18,EO17))</f>
        <v>46609</v>
      </c>
      <c r="EP18" s="56"/>
      <c r="EQ18" s="10">
        <f>WORKDAY(EE18,EQ17)</f>
        <v>46609</v>
      </c>
      <c r="ER18" s="10">
        <f>IF(EG18="",WORKDAY(EF18,ER17),WORKDAY(EG18,ER17))</f>
        <v>46609</v>
      </c>
      <c r="ES18" s="56"/>
      <c r="ET18" s="10">
        <f>WORKDAY(EE18,ET17)</f>
        <v>46609</v>
      </c>
      <c r="EU18" s="10">
        <f>IF(EG18="",WORKDAY(EF18,EU17),WORKDAY(EG18,EU17))</f>
        <v>46609</v>
      </c>
      <c r="EV18" s="56"/>
      <c r="EW18" s="11">
        <f>WORKDAY(IF(EN18&gt;EQ18,(IF(EN18&gt;ET18,EN18,ET18)),IF(EQ18&gt;ET18,EQ18,ET18)),EW17)</f>
        <v>46616</v>
      </c>
      <c r="EX18" s="11">
        <f>IF(EP18="",WORKDAY(IF(EO18&gt;ER18,(IF(EO18&gt;EU18,EO18,EU18)),IF(ER18&gt;EU18,ER18,EU18)),EX17),WORKDAY(IF(EP18&gt;ES18,(IF(EP18&gt;EV18,EP18,EV18)),IF(ES18&gt;EV18,ES18,EV18)),EX17))</f>
        <v>46616</v>
      </c>
      <c r="EY18" s="56"/>
      <c r="EZ18" s="12">
        <f>WORKDAY(EW18,EZ17)</f>
        <v>46623</v>
      </c>
      <c r="FA18" s="12">
        <f>IF(EY18="",WORKDAY(EX18,FA17),WORKDAY(EY18,FA17))</f>
        <v>46623</v>
      </c>
      <c r="FB18" s="56"/>
      <c r="FC18" s="28"/>
      <c r="FD18" s="28"/>
      <c r="FE18" s="28"/>
      <c r="FF18" s="60"/>
      <c r="FG18" s="60"/>
      <c r="FH18" s="60"/>
      <c r="FI18" s="12">
        <f>WORKDAY(EZ18,FI17)</f>
        <v>46630</v>
      </c>
      <c r="FJ18" s="12">
        <f>IF(FB18="",WORKDAY(FA18,FJ17),WORKDAY(FB18,FJ17))</f>
        <v>46630</v>
      </c>
      <c r="FK18" s="56"/>
      <c r="FL18" s="10">
        <f>WORKDAY(FI18,FL17)</f>
        <v>46630</v>
      </c>
      <c r="FM18" s="10">
        <f>IF(FK18="",WORKDAY(FJ18,FM17),WORKDAY(FK18,FM17))</f>
        <v>46630</v>
      </c>
      <c r="FN18" s="56"/>
      <c r="FO18" s="10">
        <f>WORKDAY(FL18,FO17)</f>
        <v>46686</v>
      </c>
      <c r="FP18" s="10">
        <f>WORKDAY(FM18,FP17)</f>
        <v>46686</v>
      </c>
      <c r="FQ18" s="56"/>
      <c r="FR18" s="77" t="str">
        <f>IF(NETWORKDAYS(FJ18,FO18)&gt;=30,"On-Track",IF(AND(NETWORKDAYS(FJ18,FO18)&lt;30,FJ18&lt;=FO18),"At Risk","Missed TCD"))</f>
        <v>On-Track</v>
      </c>
      <c r="FS18" s="110"/>
      <c r="FT18" s="57">
        <f t="shared" ref="FT18:FU18" si="25">NETWORKDAYS(CP18,FI18)</f>
        <v>484</v>
      </c>
      <c r="FU18" s="57">
        <f t="shared" si="25"/>
        <v>484</v>
      </c>
      <c r="FV18" s="57">
        <f t="shared" ref="FV18" si="26">IF(BH18="",NETWORKDAYS(BG18,FJ18),IF(FK18="",NETWORKDAYS(BH18,FJ18),NETWORKDAYS(BH18,FK18)))</f>
        <v>507</v>
      </c>
      <c r="FW18" s="58" t="s">
        <v>467</v>
      </c>
    </row>
    <row r="19" spans="1:179" ht="15.75" thickBot="1" x14ac:dyDescent="0.3">
      <c r="A19" t="s">
        <v>472</v>
      </c>
      <c r="D19" s="9"/>
      <c r="I19" s="76" t="s">
        <v>473</v>
      </c>
      <c r="J19" s="30"/>
      <c r="M19" s="197" t="s">
        <v>474</v>
      </c>
      <c r="N19" s="198"/>
      <c r="O19" s="198"/>
      <c r="P19" s="197" t="s">
        <v>474</v>
      </c>
      <c r="Q19" s="198"/>
      <c r="R19" s="199"/>
      <c r="Y19" s="6"/>
      <c r="AH19" s="191" t="s">
        <v>475</v>
      </c>
      <c r="AI19" s="192"/>
      <c r="AJ19" s="193"/>
      <c r="AQ19" s="191" t="s">
        <v>475</v>
      </c>
      <c r="AR19" s="192"/>
      <c r="AS19" s="193"/>
      <c r="BA19" s="6"/>
      <c r="BB19" s="6"/>
      <c r="BC19" s="191" t="s">
        <v>475</v>
      </c>
      <c r="BD19" s="192"/>
      <c r="BE19" s="193"/>
      <c r="BF19" s="43"/>
      <c r="BG19" s="44"/>
      <c r="BH19" s="44"/>
      <c r="CM19" s="202" t="s">
        <v>473</v>
      </c>
      <c r="CN19" s="203"/>
      <c r="CO19" s="203"/>
      <c r="CP19" s="202" t="s">
        <v>473</v>
      </c>
      <c r="CQ19" s="203"/>
      <c r="CR19" s="203"/>
      <c r="CS19" s="204"/>
      <c r="CT19" s="191" t="s">
        <v>475</v>
      </c>
      <c r="CU19" s="192"/>
      <c r="CV19" s="193"/>
      <c r="DC19" s="200"/>
      <c r="DD19" s="200"/>
      <c r="DE19" s="200"/>
      <c r="DF19" s="191" t="s">
        <v>475</v>
      </c>
      <c r="DG19" s="192"/>
      <c r="DH19" s="193"/>
      <c r="DI19" s="194" t="s">
        <v>28</v>
      </c>
      <c r="DJ19" s="195"/>
      <c r="DK19" s="195"/>
      <c r="DL19" s="196"/>
      <c r="DS19" s="194" t="s">
        <v>28</v>
      </c>
      <c r="DT19" s="195"/>
      <c r="DU19" s="195"/>
      <c r="DV19" s="196"/>
      <c r="DW19" s="194" t="s">
        <v>28</v>
      </c>
      <c r="DX19" s="195"/>
      <c r="DY19" s="195"/>
      <c r="DZ19" s="196"/>
      <c r="EA19" s="194" t="s">
        <v>28</v>
      </c>
      <c r="EB19" s="195"/>
      <c r="EC19" s="195"/>
      <c r="ED19" s="196"/>
      <c r="EE19" s="185" t="s">
        <v>474</v>
      </c>
      <c r="EF19" s="186"/>
      <c r="EG19" s="186"/>
      <c r="EH19" s="185" t="s">
        <v>474</v>
      </c>
      <c r="EI19" s="186"/>
      <c r="EJ19" s="187"/>
      <c r="EZ19" s="185" t="s">
        <v>474</v>
      </c>
      <c r="FA19" s="186"/>
      <c r="FB19" s="187"/>
      <c r="FI19" s="188" t="s">
        <v>475</v>
      </c>
      <c r="FJ19" s="189"/>
      <c r="FK19" s="190"/>
      <c r="FL19" s="188" t="s">
        <v>475</v>
      </c>
      <c r="FM19" s="189"/>
      <c r="FN19" s="190"/>
      <c r="FO19" s="185" t="s">
        <v>474</v>
      </c>
      <c r="FP19" s="186"/>
      <c r="FQ19" s="187"/>
      <c r="FR19" s="79"/>
      <c r="FS19" s="111"/>
    </row>
    <row r="20" spans="1:179" x14ac:dyDescent="0.25">
      <c r="D20" s="9"/>
      <c r="Y20" s="6"/>
      <c r="BA20" s="6"/>
      <c r="BB20" s="6"/>
    </row>
    <row r="21" spans="1:179" x14ac:dyDescent="0.25">
      <c r="D21" s="9"/>
      <c r="F21" s="97"/>
    </row>
    <row r="22" spans="1:179" x14ac:dyDescent="0.25">
      <c r="D22" s="9"/>
      <c r="F22" s="97"/>
      <c r="Y22" s="6"/>
      <c r="BA22" s="6"/>
      <c r="BB22" s="6"/>
    </row>
    <row r="23" spans="1:179" ht="14.45" customHeight="1" x14ac:dyDescent="0.25">
      <c r="A23" s="201" t="s">
        <v>476</v>
      </c>
      <c r="B23" s="201"/>
      <c r="C23" s="201"/>
      <c r="D23" s="201"/>
      <c r="E23" s="201"/>
      <c r="Y23" s="6"/>
      <c r="BA23" s="6"/>
      <c r="BB23" s="6"/>
    </row>
    <row r="24" spans="1:179" ht="14.45" customHeight="1" x14ac:dyDescent="0.25">
      <c r="A24" s="201"/>
      <c r="B24" s="201"/>
      <c r="C24" s="201"/>
      <c r="D24" s="201"/>
      <c r="E24" s="201"/>
    </row>
    <row r="25" spans="1:179" x14ac:dyDescent="0.25">
      <c r="D25" s="9"/>
    </row>
    <row r="26" spans="1:179" ht="45" x14ac:dyDescent="0.25">
      <c r="A26" s="99" t="s">
        <v>466</v>
      </c>
      <c r="B26" s="100" t="s">
        <v>468</v>
      </c>
      <c r="C26" s="100" t="s">
        <v>469</v>
      </c>
      <c r="D26" s="100" t="s">
        <v>470</v>
      </c>
      <c r="E26" s="101" t="s">
        <v>471</v>
      </c>
    </row>
    <row r="27" spans="1:179" x14ac:dyDescent="0.25">
      <c r="A27" s="113"/>
      <c r="B27" s="102"/>
      <c r="C27" s="102"/>
      <c r="D27" s="103"/>
      <c r="E27" s="102"/>
    </row>
    <row r="28" spans="1:179" x14ac:dyDescent="0.25">
      <c r="A28" s="114"/>
      <c r="B28" s="102"/>
      <c r="C28" s="102"/>
      <c r="D28" s="103"/>
      <c r="E28" s="102"/>
    </row>
    <row r="29" spans="1:179" x14ac:dyDescent="0.25">
      <c r="A29" s="113"/>
      <c r="B29" s="102"/>
      <c r="C29" s="102"/>
      <c r="D29" s="103"/>
      <c r="E29" s="102"/>
    </row>
    <row r="30" spans="1:179" x14ac:dyDescent="0.25">
      <c r="A30" s="114"/>
      <c r="B30" s="102"/>
      <c r="C30" s="102"/>
      <c r="D30" s="103"/>
      <c r="E30" s="102"/>
    </row>
    <row r="31" spans="1:179" x14ac:dyDescent="0.25">
      <c r="A31" s="113"/>
      <c r="B31" s="102"/>
      <c r="C31" s="102"/>
      <c r="D31" s="103"/>
      <c r="E31" s="102"/>
    </row>
    <row r="32" spans="1:179" x14ac:dyDescent="0.25">
      <c r="A32" s="114"/>
      <c r="B32" s="102"/>
      <c r="C32" s="102"/>
      <c r="D32" s="103"/>
      <c r="E32" s="102"/>
    </row>
    <row r="33" spans="1:5" x14ac:dyDescent="0.25">
      <c r="A33" s="113"/>
      <c r="B33" s="102"/>
      <c r="C33" s="102"/>
      <c r="D33" s="103"/>
      <c r="E33" s="102"/>
    </row>
    <row r="34" spans="1:5" x14ac:dyDescent="0.25">
      <c r="A34" s="114"/>
      <c r="B34" s="102"/>
      <c r="C34" s="102"/>
      <c r="D34" s="103"/>
      <c r="E34" s="102"/>
    </row>
    <row r="35" spans="1:5" x14ac:dyDescent="0.25">
      <c r="A35" s="113"/>
      <c r="B35" s="102"/>
      <c r="C35" s="102"/>
      <c r="D35" s="103"/>
      <c r="E35" s="102"/>
    </row>
    <row r="36" spans="1:5" x14ac:dyDescent="0.25">
      <c r="A36" s="114"/>
      <c r="B36" s="102"/>
      <c r="C36" s="102"/>
      <c r="D36" s="103"/>
      <c r="E36" s="102"/>
    </row>
    <row r="37" spans="1:5" x14ac:dyDescent="0.25">
      <c r="A37" s="113"/>
      <c r="B37" s="102"/>
      <c r="C37" s="102"/>
      <c r="D37" s="103"/>
      <c r="E37" s="102"/>
    </row>
    <row r="38" spans="1:5" x14ac:dyDescent="0.25">
      <c r="A38" s="114"/>
      <c r="B38" s="102"/>
      <c r="C38" s="102"/>
      <c r="D38" s="103"/>
      <c r="E38" s="102"/>
    </row>
    <row r="39" spans="1:5" x14ac:dyDescent="0.25">
      <c r="A39" s="113"/>
      <c r="B39" s="102"/>
      <c r="C39" s="102"/>
      <c r="D39" s="103"/>
      <c r="E39" s="102"/>
    </row>
    <row r="40" spans="1:5" x14ac:dyDescent="0.25">
      <c r="A40" s="114"/>
      <c r="B40" s="102"/>
      <c r="C40" s="102"/>
      <c r="D40" s="103"/>
      <c r="E40" s="102"/>
    </row>
    <row r="41" spans="1:5" x14ac:dyDescent="0.25">
      <c r="A41" s="113"/>
      <c r="B41" s="102"/>
      <c r="C41" s="102"/>
      <c r="D41" s="103"/>
      <c r="E41" s="102"/>
    </row>
    <row r="42" spans="1:5" x14ac:dyDescent="0.25">
      <c r="A42" s="114"/>
      <c r="B42" s="102"/>
      <c r="C42" s="102"/>
      <c r="D42" s="103"/>
      <c r="E42" s="102"/>
    </row>
    <row r="43" spans="1:5" x14ac:dyDescent="0.25">
      <c r="A43" s="113"/>
      <c r="B43" s="102"/>
      <c r="C43" s="102"/>
      <c r="D43" s="103"/>
      <c r="E43" s="102"/>
    </row>
    <row r="44" spans="1:5" x14ac:dyDescent="0.25">
      <c r="A44" s="114"/>
      <c r="B44" s="102"/>
      <c r="C44" s="102"/>
      <c r="D44" s="103"/>
      <c r="E44" s="102"/>
    </row>
    <row r="45" spans="1:5" x14ac:dyDescent="0.25">
      <c r="A45" s="113"/>
      <c r="B45" s="102"/>
      <c r="C45" s="102"/>
      <c r="D45" s="103"/>
      <c r="E45" s="102"/>
    </row>
    <row r="46" spans="1:5" x14ac:dyDescent="0.25">
      <c r="A46" s="114"/>
      <c r="B46" s="102"/>
      <c r="C46" s="102"/>
      <c r="D46" s="103"/>
      <c r="E46" s="102"/>
    </row>
    <row r="47" spans="1:5" x14ac:dyDescent="0.25">
      <c r="A47" s="113"/>
      <c r="B47" s="102"/>
      <c r="C47" s="102"/>
      <c r="D47" s="103"/>
      <c r="E47" s="102"/>
    </row>
    <row r="48" spans="1:5" x14ac:dyDescent="0.25">
      <c r="A48" s="114"/>
      <c r="B48" s="102"/>
      <c r="C48" s="102"/>
      <c r="D48" s="103"/>
      <c r="E48" s="102"/>
    </row>
    <row r="49" spans="1:5" x14ac:dyDescent="0.25">
      <c r="A49" s="113"/>
      <c r="B49" s="102"/>
      <c r="C49" s="102"/>
      <c r="D49" s="103"/>
      <c r="E49" s="102"/>
    </row>
    <row r="50" spans="1:5" x14ac:dyDescent="0.25">
      <c r="A50" s="114"/>
      <c r="B50" s="102"/>
      <c r="C50" s="102"/>
      <c r="D50" s="103"/>
      <c r="E50" s="102"/>
    </row>
    <row r="51" spans="1:5" x14ac:dyDescent="0.25">
      <c r="A51" s="113"/>
      <c r="B51" s="102"/>
      <c r="C51" s="102"/>
      <c r="D51" s="103"/>
      <c r="E51" s="102"/>
    </row>
    <row r="52" spans="1:5" x14ac:dyDescent="0.25">
      <c r="A52" s="102"/>
      <c r="B52" s="102"/>
      <c r="C52" s="102"/>
      <c r="D52" s="103"/>
      <c r="E52" s="102"/>
    </row>
    <row r="53" spans="1:5" x14ac:dyDescent="0.25">
      <c r="A53" s="102"/>
      <c r="B53" s="102"/>
      <c r="C53" s="102"/>
      <c r="D53" s="103"/>
      <c r="E53" s="102"/>
    </row>
    <row r="54" spans="1:5" x14ac:dyDescent="0.25">
      <c r="A54" s="102"/>
      <c r="B54" s="102"/>
      <c r="C54" s="102"/>
      <c r="D54" s="103"/>
      <c r="E54" s="102"/>
    </row>
    <row r="55" spans="1:5" x14ac:dyDescent="0.25">
      <c r="A55" s="102"/>
      <c r="B55" s="102"/>
      <c r="C55" s="102"/>
      <c r="D55" s="103"/>
      <c r="E55" s="102"/>
    </row>
    <row r="56" spans="1:5" x14ac:dyDescent="0.25">
      <c r="A56" s="102"/>
      <c r="B56" s="102"/>
      <c r="C56" s="102"/>
      <c r="D56" s="103"/>
      <c r="E56" s="102"/>
    </row>
    <row r="57" spans="1:5" x14ac:dyDescent="0.25">
      <c r="A57" s="102"/>
      <c r="B57" s="102"/>
      <c r="C57" s="102"/>
      <c r="D57" s="103"/>
      <c r="E57" s="102"/>
    </row>
    <row r="58" spans="1:5" x14ac:dyDescent="0.25">
      <c r="A58" s="102"/>
      <c r="B58" s="102"/>
      <c r="C58" s="102"/>
      <c r="D58" s="103"/>
      <c r="E58" s="102"/>
    </row>
    <row r="59" spans="1:5" x14ac:dyDescent="0.25">
      <c r="A59" s="102"/>
      <c r="B59" s="102"/>
      <c r="C59" s="102"/>
      <c r="D59" s="103"/>
      <c r="E59" s="102"/>
    </row>
    <row r="60" spans="1:5" x14ac:dyDescent="0.25">
      <c r="A60" s="102"/>
      <c r="B60" s="102"/>
      <c r="C60" s="102"/>
      <c r="D60" s="103"/>
      <c r="E60" s="102"/>
    </row>
    <row r="61" spans="1:5" x14ac:dyDescent="0.25">
      <c r="A61" s="102"/>
      <c r="B61" s="102"/>
      <c r="C61" s="102"/>
      <c r="D61" s="103"/>
      <c r="E61" s="102"/>
    </row>
    <row r="62" spans="1:5" x14ac:dyDescent="0.25">
      <c r="A62" s="102"/>
      <c r="B62" s="102"/>
      <c r="C62" s="102"/>
      <c r="D62" s="103"/>
      <c r="E62" s="102"/>
    </row>
    <row r="63" spans="1:5" x14ac:dyDescent="0.25">
      <c r="A63" s="102"/>
      <c r="B63" s="102"/>
      <c r="C63" s="102"/>
      <c r="D63" s="103"/>
      <c r="E63" s="102"/>
    </row>
    <row r="64" spans="1:5" x14ac:dyDescent="0.25">
      <c r="A64" s="102"/>
      <c r="B64" s="102"/>
      <c r="C64" s="102"/>
      <c r="D64" s="103"/>
      <c r="E64" s="102"/>
    </row>
    <row r="65" spans="1:5" x14ac:dyDescent="0.25">
      <c r="A65" s="102"/>
      <c r="B65" s="102"/>
      <c r="C65" s="102"/>
      <c r="D65" s="103"/>
      <c r="E65" s="102"/>
    </row>
    <row r="66" spans="1:5" x14ac:dyDescent="0.25">
      <c r="A66" s="102"/>
      <c r="B66" s="102"/>
      <c r="C66" s="102"/>
      <c r="D66" s="103"/>
      <c r="E66" s="102"/>
    </row>
    <row r="67" spans="1:5" x14ac:dyDescent="0.25">
      <c r="A67" s="102"/>
      <c r="B67" s="102"/>
      <c r="C67" s="102"/>
      <c r="D67" s="103"/>
      <c r="E67" s="102"/>
    </row>
    <row r="68" spans="1:5" x14ac:dyDescent="0.25">
      <c r="A68" s="102"/>
      <c r="B68" s="102"/>
      <c r="C68" s="102"/>
      <c r="D68" s="103"/>
      <c r="E68" s="102"/>
    </row>
    <row r="69" spans="1:5" x14ac:dyDescent="0.25">
      <c r="A69" s="102"/>
      <c r="B69" s="102"/>
      <c r="C69" s="102"/>
      <c r="D69" s="103"/>
      <c r="E69" s="102"/>
    </row>
    <row r="70" spans="1:5" x14ac:dyDescent="0.25">
      <c r="A70" s="102"/>
      <c r="B70" s="102"/>
      <c r="C70" s="102"/>
      <c r="D70" s="103"/>
      <c r="E70" s="102"/>
    </row>
    <row r="71" spans="1:5" x14ac:dyDescent="0.25">
      <c r="A71" s="102"/>
      <c r="B71" s="102"/>
      <c r="C71" s="102"/>
      <c r="D71" s="103"/>
      <c r="E71" s="102"/>
    </row>
    <row r="72" spans="1:5" x14ac:dyDescent="0.25">
      <c r="A72" s="102"/>
      <c r="B72" s="102"/>
      <c r="C72" s="102"/>
      <c r="D72" s="103"/>
      <c r="E72" s="102"/>
    </row>
    <row r="73" spans="1:5" x14ac:dyDescent="0.25">
      <c r="A73" s="102"/>
      <c r="B73" s="102"/>
      <c r="C73" s="102"/>
      <c r="D73" s="103"/>
      <c r="E73" s="102"/>
    </row>
    <row r="74" spans="1:5" x14ac:dyDescent="0.25">
      <c r="A74" s="102"/>
      <c r="B74" s="102"/>
      <c r="C74" s="102"/>
      <c r="D74" s="103"/>
      <c r="E74" s="102"/>
    </row>
    <row r="75" spans="1:5" x14ac:dyDescent="0.25">
      <c r="A75" s="102"/>
      <c r="B75" s="102"/>
      <c r="C75" s="102"/>
      <c r="D75" s="103"/>
      <c r="E75" s="102"/>
    </row>
    <row r="76" spans="1:5" x14ac:dyDescent="0.25">
      <c r="A76" s="102"/>
      <c r="B76" s="102"/>
      <c r="C76" s="102"/>
      <c r="D76" s="103"/>
      <c r="E76" s="102"/>
    </row>
    <row r="77" spans="1:5" x14ac:dyDescent="0.25">
      <c r="A77" s="102"/>
      <c r="B77" s="102"/>
      <c r="C77" s="102"/>
      <c r="D77" s="103"/>
      <c r="E77" s="102"/>
    </row>
    <row r="78" spans="1:5" x14ac:dyDescent="0.25">
      <c r="A78" s="102"/>
      <c r="B78" s="102"/>
      <c r="C78" s="102"/>
      <c r="D78" s="103"/>
      <c r="E78" s="102"/>
    </row>
    <row r="79" spans="1:5" x14ac:dyDescent="0.25">
      <c r="A79" s="102"/>
      <c r="B79" s="102"/>
      <c r="C79" s="102"/>
      <c r="D79" s="103"/>
      <c r="E79" s="102"/>
    </row>
    <row r="80" spans="1:5" x14ac:dyDescent="0.25">
      <c r="A80" s="102"/>
      <c r="B80" s="102"/>
      <c r="C80" s="102"/>
      <c r="D80" s="103"/>
      <c r="E80" s="102"/>
    </row>
    <row r="81" spans="1:5" x14ac:dyDescent="0.25">
      <c r="A81" s="102"/>
      <c r="B81" s="102"/>
      <c r="C81" s="102"/>
      <c r="D81" s="103"/>
      <c r="E81" s="102"/>
    </row>
    <row r="82" spans="1:5" x14ac:dyDescent="0.25">
      <c r="A82" s="102"/>
      <c r="B82" s="102"/>
      <c r="C82" s="102"/>
      <c r="D82" s="103"/>
      <c r="E82" s="102"/>
    </row>
    <row r="83" spans="1:5" x14ac:dyDescent="0.25">
      <c r="A83" s="102"/>
      <c r="B83" s="102"/>
      <c r="C83" s="102"/>
      <c r="D83" s="103"/>
      <c r="E83" s="102"/>
    </row>
    <row r="84" spans="1:5" x14ac:dyDescent="0.25">
      <c r="A84" s="102"/>
      <c r="B84" s="102"/>
      <c r="C84" s="102"/>
      <c r="D84" s="103"/>
      <c r="E84" s="102"/>
    </row>
    <row r="85" spans="1:5" x14ac:dyDescent="0.25">
      <c r="A85" s="102"/>
      <c r="B85" s="102"/>
      <c r="C85" s="102"/>
      <c r="D85" s="103"/>
      <c r="E85" s="102"/>
    </row>
    <row r="86" spans="1:5" x14ac:dyDescent="0.25">
      <c r="A86" s="102"/>
      <c r="B86" s="102"/>
      <c r="C86" s="102"/>
      <c r="D86" s="103"/>
      <c r="E86" s="102"/>
    </row>
    <row r="87" spans="1:5" x14ac:dyDescent="0.25">
      <c r="A87" s="102"/>
      <c r="B87" s="102"/>
      <c r="C87" s="102"/>
      <c r="D87" s="103"/>
      <c r="E87" s="102"/>
    </row>
    <row r="88" spans="1:5" x14ac:dyDescent="0.25">
      <c r="A88" s="102"/>
      <c r="B88" s="102"/>
      <c r="C88" s="102"/>
      <c r="D88" s="103"/>
      <c r="E88" s="102"/>
    </row>
    <row r="89" spans="1:5" x14ac:dyDescent="0.25">
      <c r="A89" s="102"/>
      <c r="B89" s="102"/>
      <c r="C89" s="102"/>
      <c r="D89" s="103"/>
      <c r="E89" s="102"/>
    </row>
    <row r="90" spans="1:5" x14ac:dyDescent="0.25">
      <c r="A90" s="102"/>
      <c r="B90" s="102"/>
      <c r="C90" s="102"/>
      <c r="D90" s="103"/>
      <c r="E90" s="102"/>
    </row>
    <row r="91" spans="1:5" x14ac:dyDescent="0.25">
      <c r="A91" s="102"/>
      <c r="B91" s="102"/>
      <c r="C91" s="102"/>
      <c r="D91" s="103"/>
      <c r="E91" s="102"/>
    </row>
    <row r="92" spans="1:5" x14ac:dyDescent="0.25">
      <c r="A92" s="102"/>
      <c r="B92" s="102"/>
      <c r="C92" s="102"/>
      <c r="D92" s="103"/>
      <c r="E92" s="102"/>
    </row>
    <row r="93" spans="1:5" x14ac:dyDescent="0.25">
      <c r="A93" s="102"/>
      <c r="B93" s="102"/>
      <c r="C93" s="102"/>
      <c r="D93" s="103"/>
      <c r="E93" s="102"/>
    </row>
    <row r="94" spans="1:5" x14ac:dyDescent="0.25">
      <c r="A94" s="102"/>
      <c r="B94" s="102"/>
      <c r="C94" s="102"/>
      <c r="D94" s="103"/>
      <c r="E94" s="102"/>
    </row>
    <row r="95" spans="1:5" x14ac:dyDescent="0.25">
      <c r="A95" s="102"/>
      <c r="B95" s="102"/>
      <c r="C95" s="102"/>
      <c r="D95" s="103"/>
      <c r="E95" s="102"/>
    </row>
    <row r="96" spans="1:5" x14ac:dyDescent="0.25">
      <c r="A96" s="102"/>
      <c r="B96" s="102"/>
      <c r="C96" s="102"/>
      <c r="D96" s="103"/>
      <c r="E96" s="102"/>
    </row>
    <row r="97" spans="1:5" x14ac:dyDescent="0.25">
      <c r="A97" s="102"/>
      <c r="B97" s="102"/>
      <c r="C97" s="102"/>
      <c r="D97" s="103"/>
      <c r="E97" s="102"/>
    </row>
    <row r="98" spans="1:5" x14ac:dyDescent="0.25">
      <c r="A98" s="102"/>
      <c r="B98" s="102"/>
      <c r="C98" s="102"/>
      <c r="D98" s="103"/>
      <c r="E98" s="102"/>
    </row>
    <row r="99" spans="1:5" x14ac:dyDescent="0.25">
      <c r="A99" s="102"/>
      <c r="B99" s="102"/>
      <c r="C99" s="102"/>
      <c r="D99" s="103"/>
      <c r="E99" s="102"/>
    </row>
    <row r="100" spans="1:5" x14ac:dyDescent="0.25">
      <c r="A100" s="102"/>
      <c r="B100" s="102"/>
      <c r="C100" s="102"/>
      <c r="D100" s="103"/>
      <c r="E100" s="102"/>
    </row>
    <row r="101" spans="1:5" x14ac:dyDescent="0.25">
      <c r="A101" s="102"/>
      <c r="B101" s="102"/>
      <c r="C101" s="102"/>
      <c r="D101" s="103"/>
      <c r="E101" s="102"/>
    </row>
    <row r="102" spans="1:5" x14ac:dyDescent="0.25">
      <c r="A102" s="102"/>
      <c r="B102" s="102"/>
      <c r="C102" s="102"/>
      <c r="D102" s="103"/>
      <c r="E102" s="102"/>
    </row>
    <row r="103" spans="1:5" x14ac:dyDescent="0.25">
      <c r="A103" s="102"/>
      <c r="B103" s="102"/>
      <c r="C103" s="102"/>
      <c r="D103" s="103"/>
      <c r="E103" s="102"/>
    </row>
    <row r="104" spans="1:5" x14ac:dyDescent="0.25">
      <c r="A104" s="102"/>
      <c r="B104" s="102"/>
      <c r="C104" s="102"/>
      <c r="D104" s="103"/>
      <c r="E104" s="102"/>
    </row>
    <row r="105" spans="1:5" x14ac:dyDescent="0.25">
      <c r="A105" s="102"/>
      <c r="B105" s="102"/>
      <c r="C105" s="102"/>
      <c r="D105" s="103"/>
      <c r="E105" s="102"/>
    </row>
    <row r="106" spans="1:5" x14ac:dyDescent="0.25">
      <c r="A106" s="102"/>
      <c r="B106" s="102"/>
      <c r="C106" s="102"/>
      <c r="D106" s="103"/>
      <c r="E106" s="102"/>
    </row>
    <row r="107" spans="1:5" x14ac:dyDescent="0.25">
      <c r="A107" s="102"/>
      <c r="B107" s="102"/>
      <c r="C107" s="102"/>
      <c r="D107" s="103"/>
      <c r="E107" s="102"/>
    </row>
    <row r="108" spans="1:5" x14ac:dyDescent="0.25">
      <c r="A108" s="102"/>
      <c r="B108" s="102"/>
      <c r="C108" s="102"/>
      <c r="D108" s="103"/>
      <c r="E108" s="102"/>
    </row>
    <row r="109" spans="1:5" x14ac:dyDescent="0.25">
      <c r="A109" s="102"/>
      <c r="B109" s="102"/>
      <c r="C109" s="102"/>
      <c r="D109" s="103"/>
      <c r="E109" s="102"/>
    </row>
    <row r="110" spans="1:5" x14ac:dyDescent="0.25">
      <c r="A110" s="102"/>
      <c r="B110" s="102"/>
      <c r="C110" s="102"/>
      <c r="D110" s="103"/>
      <c r="E110" s="102"/>
    </row>
    <row r="111" spans="1:5" x14ac:dyDescent="0.25">
      <c r="A111" s="102"/>
      <c r="B111" s="102"/>
      <c r="C111" s="102"/>
      <c r="D111" s="103"/>
      <c r="E111" s="102"/>
    </row>
    <row r="112" spans="1:5" x14ac:dyDescent="0.25">
      <c r="A112" s="102"/>
      <c r="B112" s="102"/>
      <c r="C112" s="102"/>
      <c r="D112" s="103"/>
      <c r="E112" s="102"/>
    </row>
    <row r="113" spans="1:5" x14ac:dyDescent="0.25">
      <c r="A113" s="102"/>
      <c r="B113" s="102"/>
      <c r="C113" s="102"/>
      <c r="D113" s="103"/>
      <c r="E113" s="102"/>
    </row>
    <row r="114" spans="1:5" x14ac:dyDescent="0.25">
      <c r="A114" s="102"/>
      <c r="B114" s="102"/>
      <c r="C114" s="102"/>
      <c r="D114" s="103"/>
      <c r="E114" s="102"/>
    </row>
    <row r="115" spans="1:5" x14ac:dyDescent="0.25">
      <c r="A115" s="102"/>
      <c r="B115" s="102"/>
      <c r="C115" s="102"/>
      <c r="D115" s="103"/>
      <c r="E115" s="102"/>
    </row>
    <row r="116" spans="1:5" x14ac:dyDescent="0.25">
      <c r="A116" s="102"/>
      <c r="B116" s="102"/>
      <c r="C116" s="102"/>
      <c r="D116" s="103"/>
      <c r="E116" s="102"/>
    </row>
    <row r="117" spans="1:5" x14ac:dyDescent="0.25">
      <c r="A117" s="102"/>
      <c r="B117" s="102"/>
      <c r="C117" s="102"/>
      <c r="D117" s="103"/>
      <c r="E117" s="102"/>
    </row>
    <row r="118" spans="1:5" x14ac:dyDescent="0.25">
      <c r="A118" s="102"/>
      <c r="B118" s="102"/>
      <c r="C118" s="102"/>
      <c r="D118" s="103"/>
      <c r="E118" s="102"/>
    </row>
    <row r="119" spans="1:5" x14ac:dyDescent="0.25">
      <c r="A119" s="102"/>
      <c r="B119" s="102"/>
      <c r="C119" s="102"/>
      <c r="D119" s="103"/>
      <c r="E119" s="102"/>
    </row>
    <row r="120" spans="1:5" x14ac:dyDescent="0.25">
      <c r="A120" s="102"/>
      <c r="B120" s="102"/>
      <c r="C120" s="102"/>
      <c r="D120" s="103"/>
      <c r="E120" s="102"/>
    </row>
    <row r="121" spans="1:5" x14ac:dyDescent="0.25">
      <c r="A121" s="102"/>
      <c r="B121" s="102"/>
      <c r="C121" s="102"/>
      <c r="D121" s="103"/>
      <c r="E121" s="102"/>
    </row>
    <row r="122" spans="1:5" x14ac:dyDescent="0.25">
      <c r="A122" s="102"/>
      <c r="B122" s="102"/>
      <c r="C122" s="102"/>
      <c r="D122" s="103"/>
      <c r="E122" s="102"/>
    </row>
    <row r="123" spans="1:5" x14ac:dyDescent="0.25">
      <c r="A123" s="102"/>
      <c r="B123" s="102"/>
      <c r="C123" s="102"/>
      <c r="D123" s="103"/>
      <c r="E123" s="102"/>
    </row>
    <row r="124" spans="1:5" x14ac:dyDescent="0.25">
      <c r="A124" s="102"/>
      <c r="B124" s="102"/>
      <c r="C124" s="102"/>
      <c r="D124" s="103"/>
      <c r="E124" s="102"/>
    </row>
    <row r="125" spans="1:5" x14ac:dyDescent="0.25">
      <c r="A125" s="102"/>
      <c r="B125" s="102"/>
      <c r="C125" s="102"/>
      <c r="D125" s="103"/>
      <c r="E125" s="102"/>
    </row>
    <row r="126" spans="1:5" x14ac:dyDescent="0.25">
      <c r="A126" s="102"/>
      <c r="B126" s="102"/>
      <c r="C126" s="102"/>
      <c r="D126" s="103"/>
      <c r="E126" s="102"/>
    </row>
  </sheetData>
  <protectedRanges>
    <protectedRange sqref="A27:A51" name="Range1" securityDescriptor="O:WDG:WDD:(A;;CC;;;S-1-5-21-3588447096-1463914-869570945-3636980)"/>
  </protectedRanges>
  <autoFilter ref="A8:FW19" xr:uid="{7988B55A-02E0-4163-AAFE-D6E093B4BA9A}"/>
  <mergeCells count="91">
    <mergeCell ref="A23:E24"/>
    <mergeCell ref="FL7:FN7"/>
    <mergeCell ref="CP19:CS19"/>
    <mergeCell ref="CP7:CS7"/>
    <mergeCell ref="EZ4:FR4"/>
    <mergeCell ref="CM4:EY4"/>
    <mergeCell ref="DF7:DH7"/>
    <mergeCell ref="EE7:EG7"/>
    <mergeCell ref="EH7:EJ7"/>
    <mergeCell ref="EQ7:ES7"/>
    <mergeCell ref="DS7:DV7"/>
    <mergeCell ref="DW7:DZ7"/>
    <mergeCell ref="EN7:EP7"/>
    <mergeCell ref="EK7:EM7"/>
    <mergeCell ref="CM19:CO19"/>
    <mergeCell ref="CT19:CV19"/>
    <mergeCell ref="DC19:DE19"/>
    <mergeCell ref="BF4:CL4"/>
    <mergeCell ref="J4:BE4"/>
    <mergeCell ref="I5:BH6"/>
    <mergeCell ref="AZ7:BB7"/>
    <mergeCell ref="BC7:BE7"/>
    <mergeCell ref="BF7:BH7"/>
    <mergeCell ref="BI7:BK7"/>
    <mergeCell ref="BL7:BN7"/>
    <mergeCell ref="BO7:BQ7"/>
    <mergeCell ref="BU7:BW7"/>
    <mergeCell ref="V7:X7"/>
    <mergeCell ref="Y7:AA7"/>
    <mergeCell ref="AE7:AG7"/>
    <mergeCell ref="AH7:AJ7"/>
    <mergeCell ref="BR7:BT7"/>
    <mergeCell ref="H1:H2"/>
    <mergeCell ref="G1:G2"/>
    <mergeCell ref="I1:CU2"/>
    <mergeCell ref="J3:AA3"/>
    <mergeCell ref="AE3:AG3"/>
    <mergeCell ref="AH3:AP3"/>
    <mergeCell ref="AQ3:BA3"/>
    <mergeCell ref="BC3:BH3"/>
    <mergeCell ref="AK7:AM7"/>
    <mergeCell ref="AN7:AP7"/>
    <mergeCell ref="AQ7:AS7"/>
    <mergeCell ref="AT7:AV7"/>
    <mergeCell ref="AW7:AY7"/>
    <mergeCell ref="AB7:AD7"/>
    <mergeCell ref="A7:G7"/>
    <mergeCell ref="J7:L7"/>
    <mergeCell ref="M7:O7"/>
    <mergeCell ref="P7:R7"/>
    <mergeCell ref="S7:U7"/>
    <mergeCell ref="CA7:CC7"/>
    <mergeCell ref="CD7:CF7"/>
    <mergeCell ref="CG7:CI7"/>
    <mergeCell ref="CJ7:CL7"/>
    <mergeCell ref="FT5:FW7"/>
    <mergeCell ref="BI5:FK6"/>
    <mergeCell ref="EW7:EY7"/>
    <mergeCell ref="EZ7:FB7"/>
    <mergeCell ref="BX7:BZ7"/>
    <mergeCell ref="FL5:FR6"/>
    <mergeCell ref="FC7:FE7"/>
    <mergeCell ref="FF7:FH7"/>
    <mergeCell ref="FI7:FK7"/>
    <mergeCell ref="FO7:FQ7"/>
    <mergeCell ref="ET7:EV7"/>
    <mergeCell ref="DP7:DR7"/>
    <mergeCell ref="M19:O19"/>
    <mergeCell ref="P19:R19"/>
    <mergeCell ref="AH19:AJ19"/>
    <mergeCell ref="AQ19:AS19"/>
    <mergeCell ref="BC19:BE19"/>
    <mergeCell ref="CM7:CO7"/>
    <mergeCell ref="CT7:CV7"/>
    <mergeCell ref="CW7:CY7"/>
    <mergeCell ref="CZ7:DB7"/>
    <mergeCell ref="DC7:DE7"/>
    <mergeCell ref="DI7:DL7"/>
    <mergeCell ref="DS19:DV19"/>
    <mergeCell ref="DW19:DZ19"/>
    <mergeCell ref="DM7:DO7"/>
    <mergeCell ref="EA7:ED7"/>
    <mergeCell ref="FO19:FQ19"/>
    <mergeCell ref="FL19:FN19"/>
    <mergeCell ref="DF19:DH19"/>
    <mergeCell ref="DI19:DL19"/>
    <mergeCell ref="EE19:EG19"/>
    <mergeCell ref="EH19:EJ19"/>
    <mergeCell ref="EZ19:FB19"/>
    <mergeCell ref="FI19:FK19"/>
    <mergeCell ref="EA19:ED19"/>
  </mergeCells>
  <conditionalFormatting sqref="L10 O10 U10 X10 AA10 AG10 AJ10 AM10 AP10 AS10 AV10 AY10 BB10 BE10 BH10 BK10 BN10 BQ10 BT10 BW10 BZ10 CC10 CF10 CI10 CL10 CO10 CV10 CY10 DB10 DE10 DH10 DO10 DZ10:EA10 ED10 EJ10 EM10 EP10 ES10 EV10 EY10 FB10 FE10 FH10 FQ10 FK10 L12 O12 R12 U12 X12 AA12 AG12 AJ12 AM12 AP12 AS12 AV12 AY12 BB12 BE12 BH12 BK12 BN12 BQ12 BT12 BW12 BZ12 CC12 CF12 CI12 CL12 CO12 CV12 CY12 DB12 DE12 DH12 DL12 DO12 DZ12 ED12 EG12 EJ12 EM12 EP12 ES12 EV12 EY12 FB12 FE12 FH12 FQ12 FK12 L14 O14 R14 U14 X14 AA14 AG14 AJ14 AM14 AP14 AS14 AV14 AY14 BB14 BE14 BH14 BK14 BN14 BQ14 BT14 BW14 BZ14 CC14 CF14 CI14 CL14 CO14 CV14 CY14 DB14 DE14 DH14 DL14 DO14 DZ14 ED14 EG14 EJ14 EM14 EP14 ES14 EV14 EY14 FB14 FE14 FH14 FQ14 FK14 L16 O16 R16 U16 X16 AA16 AG16 AJ16 AM16 AP16 AS16 AV16 AY16 BB16 BE16 BH16 BK16 BN16 BQ16 BT16 BW16 BZ16 CC16 CF16 CI16 CL16 CO16 CV16 CY16 DB16 DE16 DH16 DL16 DO16 DZ16 ED16 EG16 EJ16 EM16 EP16 ES16 EV16 EY16 FB16 FE16 FH16 FQ16 FK16 L18 O18 R18 U18 X18 AA18 AG18 AJ18 AM18 AP18 AS18 AV18 AY18 BB18 BE18 BH18 BK18 BN18 BQ18 BT18 BW18 BZ18 CC18 CF18 CI18 CL18 CO18 CV18 CY18 DB18 DE18 DH18 DL18 DO18 DZ18 ED18 EG18 EJ18 EM18 EP18 ES18 EV18 EY18 FB18 FE18 FH18 FQ18 FK18 R10 EG10 DR10:DR18 CR18 CR16 CR14 CR12 DV10:DV18 I10:I18 AD10 AD12 AD14 AD16 AD18 CR10 FN10 FN12 FN14 FN16 FN18 DL10">
    <cfRule type="notContainsBlanks" dxfId="30" priority="34">
      <formula>LEN(TRIM(I10))&gt;0</formula>
    </cfRule>
  </conditionalFormatting>
  <conditionalFormatting sqref="E1:E22 E1048550:E1048576 E25">
    <cfRule type="cellIs" dxfId="29" priority="27" operator="equal">
      <formula>"Red"</formula>
    </cfRule>
    <cfRule type="cellIs" dxfId="28" priority="28" operator="equal">
      <formula>"Unknown"</formula>
    </cfRule>
    <cfRule type="cellIs" dxfId="27" priority="29" operator="equal">
      <formula>"Covered"</formula>
    </cfRule>
    <cfRule type="cellIs" dxfId="26" priority="30" operator="equal">
      <formula>"Green"</formula>
    </cfRule>
    <cfRule type="cellIs" dxfId="25" priority="31" operator="equal">
      <formula>"Yellow"</formula>
    </cfRule>
  </conditionalFormatting>
  <conditionalFormatting sqref="FR10:FS10 FR12:FS12 FR14:FS14 FR16:FS16 FR18:FS18">
    <cfRule type="cellIs" dxfId="24" priority="24" operator="equal">
      <formula>"Missed TCD"</formula>
    </cfRule>
    <cfRule type="cellIs" dxfId="23" priority="25" operator="equal">
      <formula>"On-Track"</formula>
    </cfRule>
    <cfRule type="cellIs" dxfId="22" priority="26" operator="equal">
      <formula>"At Risk"</formula>
    </cfRule>
  </conditionalFormatting>
  <conditionalFormatting sqref="CS10 CS12 CS14 CS16 CS18">
    <cfRule type="cellIs" dxfId="21" priority="22" operator="equal">
      <formula>"Execution schedule has been re-baselined w/ FAIR PO Ack ACD. Validate your durations before publishing"</formula>
    </cfRule>
  </conditionalFormatting>
  <conditionalFormatting sqref="E127:E1048549">
    <cfRule type="cellIs" dxfId="20" priority="17" operator="equal">
      <formula>"Red"</formula>
    </cfRule>
    <cfRule type="cellIs" dxfId="19" priority="18" operator="equal">
      <formula>"Unknown"</formula>
    </cfRule>
    <cfRule type="cellIs" dxfId="18" priority="19" operator="equal">
      <formula>"Covered"</formula>
    </cfRule>
    <cfRule type="cellIs" dxfId="17" priority="20" operator="equal">
      <formula>"Green"</formula>
    </cfRule>
    <cfRule type="cellIs" dxfId="16" priority="21" operator="equal">
      <formula>"Yellow"</formula>
    </cfRule>
  </conditionalFormatting>
  <conditionalFormatting sqref="E34:E126">
    <cfRule type="cellIs" dxfId="15" priority="12" operator="equal">
      <formula>"Red"</formula>
    </cfRule>
    <cfRule type="cellIs" dxfId="14" priority="13" operator="equal">
      <formula>"Unknown"</formula>
    </cfRule>
    <cfRule type="cellIs" dxfId="13" priority="14" operator="equal">
      <formula>"Covered"</formula>
    </cfRule>
    <cfRule type="cellIs" dxfId="12" priority="15" operator="equal">
      <formula>"Green"</formula>
    </cfRule>
    <cfRule type="cellIs" dxfId="11" priority="16" operator="equal">
      <formula>"Yellow"</formula>
    </cfRule>
  </conditionalFormatting>
  <conditionalFormatting sqref="A52:E126 B34:E51">
    <cfRule type="notContainsBlanks" dxfId="10" priority="11">
      <formula>LEN(TRIM(A34))&gt;0</formula>
    </cfRule>
  </conditionalFormatting>
  <conditionalFormatting sqref="E27:E33">
    <cfRule type="cellIs" dxfId="9" priority="6" operator="equal">
      <formula>"Red"</formula>
    </cfRule>
    <cfRule type="cellIs" dxfId="8" priority="7" operator="equal">
      <formula>"Unknown"</formula>
    </cfRule>
    <cfRule type="cellIs" dxfId="7" priority="8" operator="equal">
      <formula>"Covered"</formula>
    </cfRule>
    <cfRule type="cellIs" dxfId="6" priority="9" operator="equal">
      <formula>"Green"</formula>
    </cfRule>
    <cfRule type="cellIs" dxfId="5" priority="10" operator="equal">
      <formula>"Yellow"</formula>
    </cfRule>
  </conditionalFormatting>
  <conditionalFormatting sqref="B27:E33">
    <cfRule type="notContainsBlanks" dxfId="4" priority="5">
      <formula>LEN(TRIM(B27))&gt;0</formula>
    </cfRule>
  </conditionalFormatting>
  <conditionalFormatting sqref="A27:A51">
    <cfRule type="duplicateValues" dxfId="3" priority="1"/>
  </conditionalFormatting>
  <conditionalFormatting sqref="A27:A39 A41:A51">
    <cfRule type="duplicateValues" dxfId="2" priority="2"/>
  </conditionalFormatting>
  <conditionalFormatting sqref="A27:A39 A41:A51">
    <cfRule type="duplicateValues" dxfId="1" priority="3"/>
  </conditionalFormatting>
  <conditionalFormatting sqref="A27:A39 A41:A51">
    <cfRule type="duplicateValues" dxfId="0" priority="4"/>
  </conditionalFormatting>
  <dataValidations count="4">
    <dataValidation type="whole" operator="greaterThan" allowBlank="1" showInputMessage="1" showErrorMessage="1" sqref="EZ7:FB7 BC7:BE7 BA1:BE6 ET7 BI5 FL5 DC7:DE7 EZ4 CU8:CV18 EN7 EQ7 EW7 DW19 DG1 BJ7:BK18 DX1 DQ1 DT2:DU2 DT1 DT8:ED18 EB1 D9:D22 DI2:DK2 DI1:DJ1 DI7 DI19 CS8 DS7 DW7 EA7 EB2:EC2 EA19 BJ1:DF2 DX2:DY2 DZ1:EA2 DV1:DW2 DM1:DP2 CM4 BG1:BI3 AC1:AD6 ED1:FQ2 CQ8:CR18 DI8:DL18 FI7:FL1048576 FM8:FN1048576 I1:AB1048576 AE1:AZ1048576 BF1:BF1048576 BG5:BH1048576 D25 DI20:DL1048576 AC8:AD1048576 DF7:DH1048576 CQ20:CS1048576 BL7:CP1048576 DQ8:DS1048576 CT7:CT1048576 DT20:ED1048576 CU20:CV1048576 BJ20:BK1048576 EE7:EM1048576 BI7:BI1048576 FD8:FH1048576 DA8:DE1048576 DM7:DP1048576 EN8:FB1048576 BA8:BE1048576 CW7:CZ1048576 FC7:FC1048576 FO7:FQ1048576" xr:uid="{10D7D3BF-365B-45AC-8ACA-2C4D0B60A26B}">
      <formula1>-9999</formula1>
    </dataValidation>
    <dataValidation operator="greaterThan" allowBlank="1" showInputMessage="1" showErrorMessage="1" sqref="FR1:FS2 CS9:CS18 FR7:FS1048576" xr:uid="{68A6F984-C3E7-4C35-BD04-8C3B83FCE0A4}"/>
    <dataValidation type="list" allowBlank="1" showInputMessage="1" showErrorMessage="1" sqref="H6:H1048576" xr:uid="{5EDB24A8-8F5D-47DC-BB32-C53FC71867BE}">
      <formula1>"Pre-Execution,Execution"</formula1>
    </dataValidation>
    <dataValidation type="list" allowBlank="1" showInputMessage="1" showErrorMessage="1" sqref="E9:E22" xr:uid="{33AEA5D2-7AEA-4B80-BA58-5A9B676CC5DB}">
      <formula1>"Covered,Green,Yellow,Red,Unknown"</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22136-C518-4089-A549-24027D094DBC}">
  <sheetPr codeName="Sheet3">
    <tabColor rgb="FFC00000"/>
  </sheetPr>
  <dimension ref="A1:KY58"/>
  <sheetViews>
    <sheetView showGridLines="0" tabSelected="1" zoomScale="70" zoomScaleNormal="70" workbookViewId="0">
      <pane xSplit="7" ySplit="8" topLeftCell="FR12" activePane="bottomRight" state="frozen"/>
      <selection pane="topRight" activeCell="H1" sqref="H1"/>
      <selection pane="bottomLeft" activeCell="A9" sqref="A9"/>
      <selection pane="bottomRight" activeCell="A8" sqref="A8:FW8"/>
    </sheetView>
  </sheetViews>
  <sheetFormatPr defaultRowHeight="15" outlineLevelRow="1" outlineLevelCol="1" x14ac:dyDescent="0.25"/>
  <cols>
    <col min="1" max="1" width="24.28515625" customWidth="1"/>
    <col min="2" max="2" width="8.85546875" bestFit="1" customWidth="1"/>
    <col min="3" max="3" width="16.85546875" bestFit="1" customWidth="1"/>
    <col min="4" max="4" width="12.140625" style="9" customWidth="1"/>
    <col min="5" max="5" width="11.7109375" customWidth="1"/>
    <col min="6" max="6" width="23" customWidth="1"/>
    <col min="7" max="7" width="21" bestFit="1" customWidth="1"/>
    <col min="8" max="8" width="14.28515625" customWidth="1"/>
    <col min="9" max="9" width="11.7109375" customWidth="1"/>
    <col min="10" max="10" width="11.7109375" customWidth="1" outlineLevel="1"/>
    <col min="11" max="11" width="13.7109375" customWidth="1" outlineLevel="1"/>
    <col min="12" max="12" width="13.7109375" customWidth="1"/>
    <col min="13" max="13" width="13.7109375" customWidth="1" outlineLevel="1"/>
    <col min="14" max="14" width="13.28515625" customWidth="1" outlineLevel="1"/>
    <col min="15" max="15" width="13.28515625" customWidth="1"/>
    <col min="16" max="16" width="13" customWidth="1" outlineLevel="1"/>
    <col min="17" max="17" width="12.28515625" customWidth="1" outlineLevel="1"/>
    <col min="18" max="18" width="12.28515625" customWidth="1"/>
    <col min="19" max="20" width="10.7109375" customWidth="1" outlineLevel="1"/>
    <col min="21" max="21" width="10.7109375" customWidth="1"/>
    <col min="22" max="22" width="13" customWidth="1" outlineLevel="1"/>
    <col min="23" max="23" width="14.85546875" customWidth="1" outlineLevel="1"/>
    <col min="24" max="24" width="14.85546875" customWidth="1"/>
    <col min="25" max="25" width="12.42578125" customWidth="1" outlineLevel="1"/>
    <col min="26" max="26" width="13.42578125" customWidth="1" outlineLevel="1"/>
    <col min="27" max="27" width="13.42578125" customWidth="1"/>
    <col min="28" max="29" width="13.42578125" customWidth="1" outlineLevel="1"/>
    <col min="30" max="30" width="13.42578125" customWidth="1"/>
    <col min="31" max="32" width="13.42578125" customWidth="1" outlineLevel="1"/>
    <col min="33" max="33" width="13.42578125" customWidth="1"/>
    <col min="34" max="35" width="12.85546875" customWidth="1" outlineLevel="1"/>
    <col min="36" max="36" width="17.140625" bestFit="1" customWidth="1"/>
    <col min="37" max="38" width="15.85546875" customWidth="1" outlineLevel="1"/>
    <col min="39" max="39" width="10.7109375" customWidth="1"/>
    <col min="40" max="40" width="17.140625" customWidth="1" outlineLevel="1"/>
    <col min="41" max="41" width="10.7109375" customWidth="1" outlineLevel="1"/>
    <col min="42" max="42" width="10.7109375" customWidth="1"/>
    <col min="43" max="44" width="10.7109375" customWidth="1" outlineLevel="1"/>
    <col min="45" max="45" width="14.140625" customWidth="1"/>
    <col min="46" max="47" width="17.42578125" bestFit="1" customWidth="1" outlineLevel="1"/>
    <col min="48" max="48" width="17.7109375" bestFit="1" customWidth="1"/>
    <col min="49" max="50" width="17.42578125" bestFit="1" customWidth="1" outlineLevel="1"/>
    <col min="51" max="51" width="10.7109375" customWidth="1"/>
    <col min="52" max="53" width="10.7109375" customWidth="1" outlineLevel="1"/>
    <col min="54" max="54" width="10.7109375" customWidth="1"/>
    <col min="55" max="56" width="10.7109375" customWidth="1" outlineLevel="1"/>
    <col min="57" max="57" width="10.7109375" customWidth="1"/>
    <col min="58" max="59" width="10.7109375" customWidth="1" outlineLevel="1"/>
    <col min="60" max="60" width="11.28515625" customWidth="1"/>
    <col min="61" max="62" width="10.7109375" customWidth="1" outlineLevel="1"/>
    <col min="63" max="63" width="10.7109375" customWidth="1"/>
    <col min="64" max="65" width="10.7109375" customWidth="1" outlineLevel="1"/>
    <col min="66" max="66" width="10.7109375" customWidth="1"/>
    <col min="67" max="68" width="10.7109375" customWidth="1" outlineLevel="1"/>
    <col min="69" max="69" width="10.7109375" customWidth="1"/>
    <col min="70" max="71" width="10.7109375" customWidth="1" outlineLevel="1"/>
    <col min="72" max="72" width="10.7109375" customWidth="1"/>
    <col min="73" max="74" width="10.7109375" customWidth="1" outlineLevel="1"/>
    <col min="75" max="75" width="10.7109375" customWidth="1"/>
    <col min="76" max="76" width="13.28515625" customWidth="1" outlineLevel="1"/>
    <col min="77" max="77" width="13.5703125" customWidth="1" outlineLevel="1"/>
    <col min="78" max="78" width="13.5703125" customWidth="1"/>
    <col min="79" max="80" width="10.7109375" customWidth="1" outlineLevel="1"/>
    <col min="81" max="81" width="10.7109375" customWidth="1"/>
    <col min="82" max="82" width="12.7109375" customWidth="1" outlineLevel="1"/>
    <col min="83" max="83" width="13.28515625" customWidth="1" outlineLevel="1"/>
    <col min="84" max="84" width="13.28515625" customWidth="1"/>
    <col min="85" max="86" width="10.7109375" customWidth="1" outlineLevel="1"/>
    <col min="87" max="87" width="10.7109375" customWidth="1"/>
    <col min="88" max="88" width="13.28515625" customWidth="1" outlineLevel="1"/>
    <col min="89" max="89" width="14" customWidth="1" outlineLevel="1"/>
    <col min="90" max="90" width="14" customWidth="1"/>
    <col min="91" max="91" width="17.28515625" bestFit="1" customWidth="1" outlineLevel="1"/>
    <col min="92" max="92" width="10.7109375" customWidth="1" outlineLevel="1"/>
    <col min="93" max="93" width="17.140625" bestFit="1" customWidth="1"/>
    <col min="94" max="94" width="13" customWidth="1" outlineLevel="1"/>
    <col min="95" max="95" width="12.28515625" customWidth="1" outlineLevel="1"/>
    <col min="96" max="96" width="12.28515625" customWidth="1"/>
    <col min="97" max="97" width="84" customWidth="1"/>
    <col min="98" max="99" width="10.7109375" customWidth="1" outlineLevel="1"/>
    <col min="100" max="100" width="17.140625" bestFit="1" customWidth="1"/>
    <col min="101" max="101" width="12.140625" customWidth="1" outlineLevel="1"/>
    <col min="102" max="102" width="16.7109375" customWidth="1" outlineLevel="1"/>
    <col min="103" max="103" width="10.7109375" customWidth="1"/>
    <col min="104" max="105" width="17.42578125" customWidth="1" outlineLevel="1"/>
    <col min="106" max="106" width="10.7109375" customWidth="1"/>
    <col min="107" max="107" width="13.42578125" customWidth="1" outlineLevel="1"/>
    <col min="108" max="108" width="12.5703125" customWidth="1" outlineLevel="1"/>
    <col min="109" max="109" width="12.5703125" customWidth="1"/>
    <col min="110" max="110" width="11.5703125" customWidth="1" outlineLevel="1"/>
    <col min="111" max="111" width="12.42578125" customWidth="1" outlineLevel="1"/>
    <col min="112" max="112" width="10.7109375" customWidth="1"/>
    <col min="113" max="115" width="11.7109375" customWidth="1" outlineLevel="1"/>
    <col min="116" max="116" width="12.28515625" customWidth="1"/>
    <col min="117" max="117" width="12.7109375" customWidth="1" outlineLevel="1"/>
    <col min="118" max="118" width="12.28515625" customWidth="1" outlineLevel="1"/>
    <col min="119" max="119" width="12.28515625" customWidth="1"/>
    <col min="120" max="120" width="12.28515625" customWidth="1" outlineLevel="1"/>
    <col min="121" max="121" width="10.85546875" customWidth="1" outlineLevel="1"/>
    <col min="122" max="122" width="10.85546875" customWidth="1"/>
    <col min="123" max="123" width="13" customWidth="1" outlineLevel="1"/>
    <col min="124" max="124" width="12.140625" customWidth="1" outlineLevel="1"/>
    <col min="125" max="125" width="12.5703125" customWidth="1" outlineLevel="1"/>
    <col min="126" max="126" width="13.7109375" customWidth="1"/>
    <col min="127" max="127" width="13.7109375" customWidth="1" outlineLevel="1"/>
    <col min="128" max="129" width="12.7109375" customWidth="1" outlineLevel="1"/>
    <col min="130" max="130" width="13.85546875" customWidth="1"/>
    <col min="131" max="131" width="13.85546875" customWidth="1" outlineLevel="1"/>
    <col min="132" max="132" width="13.42578125" customWidth="1" outlineLevel="1"/>
    <col min="133" max="133" width="14" customWidth="1" outlineLevel="1"/>
    <col min="134" max="134" width="14" customWidth="1"/>
    <col min="135" max="135" width="17.7109375" bestFit="1" customWidth="1" outlineLevel="1"/>
    <col min="136" max="136" width="11.7109375" customWidth="1" outlineLevel="1"/>
    <col min="137" max="137" width="10.7109375" customWidth="1"/>
    <col min="138" max="138" width="12" customWidth="1" outlineLevel="1"/>
    <col min="139" max="139" width="10.7109375" customWidth="1" outlineLevel="1"/>
    <col min="140" max="140" width="10.7109375" customWidth="1"/>
    <col min="141" max="142" width="10.7109375" customWidth="1" outlineLevel="1"/>
    <col min="143" max="143" width="10.7109375" customWidth="1"/>
    <col min="144" max="145" width="10.7109375" customWidth="1" outlineLevel="1"/>
    <col min="146" max="146" width="10.7109375" customWidth="1"/>
    <col min="147" max="148" width="10.7109375" customWidth="1" outlineLevel="1"/>
    <col min="149" max="149" width="10.7109375" customWidth="1"/>
    <col min="150" max="151" width="10.7109375" customWidth="1" outlineLevel="1"/>
    <col min="152" max="152" width="10.7109375" customWidth="1"/>
    <col min="153" max="154" width="10.7109375" customWidth="1" outlineLevel="1"/>
    <col min="155" max="155" width="10.7109375" customWidth="1"/>
    <col min="156" max="157" width="12" customWidth="1" outlineLevel="1"/>
    <col min="158" max="158" width="10.7109375" customWidth="1"/>
    <col min="159" max="159" width="13.28515625" customWidth="1" outlineLevel="1"/>
    <col min="160" max="160" width="12.85546875" customWidth="1" outlineLevel="1"/>
    <col min="161" max="161" width="12.85546875" customWidth="1"/>
    <col min="162" max="163" width="12.85546875" customWidth="1" outlineLevel="1"/>
    <col min="164" max="164" width="12.85546875" customWidth="1"/>
    <col min="165" max="165" width="17.42578125" customWidth="1" outlineLevel="1"/>
    <col min="166" max="166" width="11.42578125" customWidth="1" outlineLevel="1"/>
    <col min="167" max="167" width="11.42578125" customWidth="1"/>
    <col min="168" max="168" width="13.7109375" customWidth="1" outlineLevel="1"/>
    <col min="169" max="169" width="13.85546875" customWidth="1" outlineLevel="1"/>
    <col min="170" max="170" width="13.85546875" customWidth="1"/>
    <col min="171" max="171" width="12.28515625" customWidth="1" outlineLevel="1"/>
    <col min="172" max="172" width="13.7109375" customWidth="1" outlineLevel="1"/>
    <col min="173" max="173" width="13.42578125" customWidth="1"/>
    <col min="174" max="174" width="17.85546875" customWidth="1"/>
    <col min="175" max="175" width="17.85546875" style="112" customWidth="1"/>
    <col min="176" max="178" width="13.85546875" customWidth="1"/>
    <col min="179" max="179" width="14.28515625" customWidth="1"/>
  </cols>
  <sheetData>
    <row r="1" spans="1:311" ht="15.75" customHeight="1" x14ac:dyDescent="0.25">
      <c r="A1" s="80" t="s">
        <v>201</v>
      </c>
      <c r="B1" s="13"/>
      <c r="C1" s="17" t="s">
        <v>202</v>
      </c>
      <c r="D1" s="94"/>
      <c r="E1" s="17"/>
      <c r="F1" s="18"/>
      <c r="G1" s="115"/>
      <c r="H1" s="115" t="s">
        <v>203</v>
      </c>
      <c r="I1" s="116" t="s">
        <v>204</v>
      </c>
      <c r="J1" s="116"/>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7"/>
      <c r="CQ1" s="117"/>
      <c r="CR1" s="117"/>
      <c r="CS1" s="117"/>
      <c r="CT1" s="117"/>
      <c r="CU1" s="117"/>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25">
      <c r="A2" s="18"/>
      <c r="B2" s="4"/>
      <c r="C2" s="17" t="s">
        <v>205</v>
      </c>
      <c r="D2" s="94"/>
      <c r="E2" s="17"/>
      <c r="F2" s="18"/>
      <c r="G2" s="115"/>
      <c r="H2" s="115"/>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17"/>
      <c r="CF2" s="117"/>
      <c r="CG2" s="117"/>
      <c r="CH2" s="117"/>
      <c r="CI2" s="117"/>
      <c r="CJ2" s="117"/>
      <c r="CK2" s="117"/>
      <c r="CL2" s="117"/>
      <c r="CM2" s="117"/>
      <c r="CN2" s="117"/>
      <c r="CO2" s="117"/>
      <c r="CP2" s="117"/>
      <c r="CQ2" s="117"/>
      <c r="CR2" s="117"/>
      <c r="CS2" s="117"/>
      <c r="CT2" s="117"/>
      <c r="CU2" s="117"/>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5.75" x14ac:dyDescent="0.25">
      <c r="A3" s="18"/>
      <c r="B3" s="10"/>
      <c r="C3" s="17" t="s">
        <v>206</v>
      </c>
      <c r="D3" s="94"/>
      <c r="E3" s="17"/>
      <c r="F3" s="19"/>
      <c r="G3" s="20"/>
      <c r="H3" s="20" t="s">
        <v>207</v>
      </c>
      <c r="I3" s="38" t="s">
        <v>208</v>
      </c>
      <c r="J3" s="118" t="s">
        <v>209</v>
      </c>
      <c r="K3" s="118"/>
      <c r="L3" s="118"/>
      <c r="M3" s="118"/>
      <c r="N3" s="118"/>
      <c r="O3" s="118"/>
      <c r="P3" s="118"/>
      <c r="Q3" s="118"/>
      <c r="R3" s="118"/>
      <c r="S3" s="118"/>
      <c r="T3" s="118"/>
      <c r="U3" s="118"/>
      <c r="V3" s="118"/>
      <c r="W3" s="118"/>
      <c r="X3" s="118"/>
      <c r="Y3" s="118"/>
      <c r="Z3" s="118"/>
      <c r="AA3" s="118"/>
      <c r="AB3" s="96"/>
      <c r="AC3" s="96"/>
      <c r="AD3" s="96"/>
      <c r="AE3" s="119" t="s">
        <v>210</v>
      </c>
      <c r="AF3" s="119"/>
      <c r="AG3" s="119"/>
      <c r="AH3" s="120" t="s">
        <v>211</v>
      </c>
      <c r="AI3" s="120"/>
      <c r="AJ3" s="120"/>
      <c r="AK3" s="120"/>
      <c r="AL3" s="120"/>
      <c r="AM3" s="120"/>
      <c r="AN3" s="120"/>
      <c r="AO3" s="120"/>
      <c r="AP3" s="120"/>
      <c r="AQ3" s="121" t="s">
        <v>212</v>
      </c>
      <c r="AR3" s="121"/>
      <c r="AS3" s="121"/>
      <c r="AT3" s="121"/>
      <c r="AU3" s="121"/>
      <c r="AV3" s="121"/>
      <c r="AW3" s="121"/>
      <c r="AX3" s="121"/>
      <c r="AY3" s="121"/>
      <c r="AZ3" s="121"/>
      <c r="BA3" s="121"/>
      <c r="BB3" s="50"/>
      <c r="BC3" s="122" t="s">
        <v>213</v>
      </c>
      <c r="BD3" s="122"/>
      <c r="BE3" s="122"/>
      <c r="BF3" s="122"/>
      <c r="BG3" s="122"/>
      <c r="BH3" s="122"/>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25">
      <c r="A4" s="21"/>
      <c r="B4" s="27"/>
      <c r="C4" s="17" t="s">
        <v>215</v>
      </c>
      <c r="D4" s="94"/>
      <c r="E4" s="17"/>
      <c r="F4" s="19"/>
      <c r="G4" s="20"/>
      <c r="H4" s="20" t="s">
        <v>216</v>
      </c>
      <c r="I4" s="32" t="s">
        <v>217</v>
      </c>
      <c r="J4" s="123" t="s">
        <v>218</v>
      </c>
      <c r="K4" s="123"/>
      <c r="L4" s="123"/>
      <c r="M4" s="123"/>
      <c r="N4" s="123"/>
      <c r="O4" s="123"/>
      <c r="P4" s="123"/>
      <c r="Q4" s="123"/>
      <c r="R4" s="123"/>
      <c r="S4" s="123"/>
      <c r="T4" s="123"/>
      <c r="U4" s="123"/>
      <c r="V4" s="123"/>
      <c r="W4" s="123"/>
      <c r="X4" s="123"/>
      <c r="Y4" s="123"/>
      <c r="Z4" s="123"/>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123"/>
      <c r="BC4" s="123"/>
      <c r="BD4" s="123"/>
      <c r="BE4" s="123"/>
      <c r="BF4" s="124" t="s">
        <v>219</v>
      </c>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5" t="s">
        <v>220</v>
      </c>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6" t="s">
        <v>221</v>
      </c>
      <c r="FA4" s="126"/>
      <c r="FB4" s="126"/>
      <c r="FC4" s="126"/>
      <c r="FD4" s="126"/>
      <c r="FE4" s="126"/>
      <c r="FF4" s="126"/>
      <c r="FG4" s="126"/>
      <c r="FH4" s="126"/>
      <c r="FI4" s="126"/>
      <c r="FJ4" s="126"/>
      <c r="FK4" s="126"/>
      <c r="FL4" s="126"/>
      <c r="FM4" s="126"/>
      <c r="FN4" s="126"/>
      <c r="FO4" s="126"/>
      <c r="FP4" s="126"/>
      <c r="FQ4" s="126"/>
      <c r="FR4" s="126"/>
      <c r="FS4" s="106"/>
      <c r="FT4" s="2"/>
      <c r="FU4" s="2"/>
      <c r="FV4" s="2"/>
      <c r="FW4" s="41"/>
      <c r="FX4" s="36"/>
      <c r="FY4" s="36"/>
      <c r="FZ4" s="36"/>
      <c r="GA4" s="36"/>
      <c r="GB4" s="36"/>
      <c r="GC4" s="36"/>
      <c r="GD4" s="36"/>
    </row>
    <row r="5" spans="1:311" x14ac:dyDescent="0.25">
      <c r="A5" s="21"/>
      <c r="B5" s="51"/>
      <c r="C5" s="17" t="s">
        <v>222</v>
      </c>
      <c r="D5" s="94"/>
      <c r="E5" s="17"/>
      <c r="F5" s="20"/>
      <c r="G5" s="20"/>
      <c r="H5" s="20" t="s">
        <v>223</v>
      </c>
      <c r="I5" s="127" t="s">
        <v>224</v>
      </c>
      <c r="J5" s="128"/>
      <c r="K5" s="128"/>
      <c r="L5" s="128"/>
      <c r="M5" s="128"/>
      <c r="N5" s="128"/>
      <c r="O5" s="128"/>
      <c r="P5" s="128"/>
      <c r="Q5" s="128"/>
      <c r="R5" s="128"/>
      <c r="S5" s="128"/>
      <c r="T5" s="128"/>
      <c r="U5" s="128"/>
      <c r="V5" s="128"/>
      <c r="W5" s="128"/>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8"/>
      <c r="AZ5" s="128"/>
      <c r="BA5" s="128"/>
      <c r="BB5" s="128"/>
      <c r="BC5" s="128"/>
      <c r="BD5" s="128"/>
      <c r="BE5" s="128"/>
      <c r="BF5" s="128"/>
      <c r="BG5" s="128"/>
      <c r="BH5" s="128"/>
      <c r="BI5" s="131" t="s">
        <v>225</v>
      </c>
      <c r="BJ5" s="132"/>
      <c r="BK5" s="132"/>
      <c r="BL5" s="132"/>
      <c r="BM5" s="132"/>
      <c r="BN5" s="132"/>
      <c r="BO5" s="132"/>
      <c r="BP5" s="132"/>
      <c r="BQ5" s="132"/>
      <c r="BR5" s="132"/>
      <c r="BS5" s="132"/>
      <c r="BT5" s="132"/>
      <c r="BU5" s="132"/>
      <c r="BV5" s="132"/>
      <c r="BW5" s="132"/>
      <c r="BX5" s="132"/>
      <c r="BY5" s="132"/>
      <c r="BZ5" s="132"/>
      <c r="CA5" s="132"/>
      <c r="CB5" s="132"/>
      <c r="CC5" s="132"/>
      <c r="CD5" s="132"/>
      <c r="CE5" s="132"/>
      <c r="CF5" s="132"/>
      <c r="CG5" s="132"/>
      <c r="CH5" s="132"/>
      <c r="CI5" s="132"/>
      <c r="CJ5" s="132"/>
      <c r="CK5" s="132"/>
      <c r="CL5" s="132"/>
      <c r="CM5" s="132"/>
      <c r="CN5" s="132"/>
      <c r="CO5" s="132"/>
      <c r="CP5" s="132"/>
      <c r="CQ5" s="132"/>
      <c r="CR5" s="132"/>
      <c r="CS5" s="132"/>
      <c r="CT5" s="132"/>
      <c r="CU5" s="132"/>
      <c r="CV5" s="132"/>
      <c r="CW5" s="132"/>
      <c r="CX5" s="132"/>
      <c r="CY5" s="132"/>
      <c r="CZ5" s="132"/>
      <c r="DA5" s="132"/>
      <c r="DB5" s="132"/>
      <c r="DC5" s="132"/>
      <c r="DD5" s="132"/>
      <c r="DE5" s="132"/>
      <c r="DF5" s="132"/>
      <c r="DG5" s="132"/>
      <c r="DH5" s="132"/>
      <c r="DI5" s="132"/>
      <c r="DJ5" s="132"/>
      <c r="DK5" s="132"/>
      <c r="DL5" s="132"/>
      <c r="DM5" s="132"/>
      <c r="DN5" s="132"/>
      <c r="DO5" s="132"/>
      <c r="DP5" s="132"/>
      <c r="DQ5" s="132"/>
      <c r="DR5" s="132"/>
      <c r="DS5" s="132"/>
      <c r="DT5" s="132"/>
      <c r="DU5" s="132"/>
      <c r="DV5" s="132"/>
      <c r="DW5" s="132"/>
      <c r="DX5" s="132"/>
      <c r="DY5" s="132"/>
      <c r="DZ5" s="132"/>
      <c r="EA5" s="132"/>
      <c r="EB5" s="132"/>
      <c r="EC5" s="132"/>
      <c r="ED5" s="132"/>
      <c r="EE5" s="132"/>
      <c r="EF5" s="132"/>
      <c r="EG5" s="132"/>
      <c r="EH5" s="132"/>
      <c r="EI5" s="132"/>
      <c r="EJ5" s="132"/>
      <c r="EK5" s="132"/>
      <c r="EL5" s="132"/>
      <c r="EM5" s="132"/>
      <c r="EN5" s="132"/>
      <c r="EO5" s="132"/>
      <c r="EP5" s="132"/>
      <c r="EQ5" s="132"/>
      <c r="ER5" s="132"/>
      <c r="ES5" s="132"/>
      <c r="ET5" s="132"/>
      <c r="EU5" s="132"/>
      <c r="EV5" s="132"/>
      <c r="EW5" s="132"/>
      <c r="EX5" s="132"/>
      <c r="EY5" s="132"/>
      <c r="EZ5" s="132"/>
      <c r="FA5" s="132"/>
      <c r="FB5" s="132"/>
      <c r="FC5" s="132"/>
      <c r="FD5" s="132"/>
      <c r="FE5" s="132"/>
      <c r="FF5" s="132"/>
      <c r="FG5" s="132"/>
      <c r="FH5" s="132"/>
      <c r="FI5" s="132"/>
      <c r="FJ5" s="132"/>
      <c r="FK5" s="133"/>
      <c r="FL5" s="137" t="s">
        <v>226</v>
      </c>
      <c r="FM5" s="138"/>
      <c r="FN5" s="138"/>
      <c r="FO5" s="138"/>
      <c r="FP5" s="138"/>
      <c r="FQ5" s="138"/>
      <c r="FR5" s="139"/>
      <c r="FS5" s="107"/>
      <c r="FT5" s="143" t="s">
        <v>477</v>
      </c>
      <c r="FU5" s="143"/>
      <c r="FV5" s="143"/>
      <c r="FW5" s="143"/>
      <c r="FX5" s="36"/>
      <c r="FY5" s="36"/>
      <c r="FZ5" s="36"/>
      <c r="GA5" s="36"/>
      <c r="GB5" s="36"/>
      <c r="GC5" s="36"/>
      <c r="GD5" s="36"/>
    </row>
    <row r="6" spans="1:311" x14ac:dyDescent="0.25">
      <c r="A6" s="22"/>
      <c r="B6" s="92"/>
      <c r="C6" s="17" t="s">
        <v>228</v>
      </c>
      <c r="D6" s="94"/>
      <c r="E6" s="17"/>
      <c r="F6" s="20"/>
      <c r="G6" s="20"/>
      <c r="H6" s="20"/>
      <c r="I6" s="129"/>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4"/>
      <c r="BJ6" s="135"/>
      <c r="BK6" s="135"/>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5"/>
      <c r="DR6" s="135"/>
      <c r="DS6" s="135"/>
      <c r="DT6" s="135"/>
      <c r="DU6" s="135"/>
      <c r="DV6" s="135"/>
      <c r="DW6" s="135"/>
      <c r="DX6" s="135"/>
      <c r="DY6" s="135"/>
      <c r="DZ6" s="135"/>
      <c r="EA6" s="135"/>
      <c r="EB6" s="135"/>
      <c r="EC6" s="135"/>
      <c r="ED6" s="135"/>
      <c r="EE6" s="135"/>
      <c r="EF6" s="135"/>
      <c r="EG6" s="135"/>
      <c r="EH6" s="135"/>
      <c r="EI6" s="135"/>
      <c r="EJ6" s="135"/>
      <c r="EK6" s="135"/>
      <c r="EL6" s="135"/>
      <c r="EM6" s="135"/>
      <c r="EN6" s="135"/>
      <c r="EO6" s="135"/>
      <c r="EP6" s="135"/>
      <c r="EQ6" s="135"/>
      <c r="ER6" s="135"/>
      <c r="ES6" s="135"/>
      <c r="ET6" s="135"/>
      <c r="EU6" s="135"/>
      <c r="EV6" s="135"/>
      <c r="EW6" s="135"/>
      <c r="EX6" s="135"/>
      <c r="EY6" s="135"/>
      <c r="EZ6" s="135"/>
      <c r="FA6" s="135"/>
      <c r="FB6" s="135"/>
      <c r="FC6" s="135"/>
      <c r="FD6" s="135"/>
      <c r="FE6" s="135"/>
      <c r="FF6" s="135"/>
      <c r="FG6" s="135"/>
      <c r="FH6" s="135"/>
      <c r="FI6" s="135"/>
      <c r="FJ6" s="135"/>
      <c r="FK6" s="136"/>
      <c r="FL6" s="140"/>
      <c r="FM6" s="141"/>
      <c r="FN6" s="141"/>
      <c r="FO6" s="141"/>
      <c r="FP6" s="141"/>
      <c r="FQ6" s="141"/>
      <c r="FR6" s="142"/>
      <c r="FS6" s="108"/>
      <c r="FT6" s="143"/>
      <c r="FU6" s="143"/>
      <c r="FV6" s="143"/>
      <c r="FW6" s="143"/>
      <c r="FX6" s="36"/>
      <c r="FY6" s="36"/>
      <c r="FZ6" s="36"/>
      <c r="GA6" s="36"/>
      <c r="GB6" s="36"/>
      <c r="GC6" s="36"/>
      <c r="GD6" s="36"/>
    </row>
    <row r="7" spans="1:311" s="23" customFormat="1" ht="38.25" customHeight="1" x14ac:dyDescent="0.25">
      <c r="A7" s="144" t="s">
        <v>229</v>
      </c>
      <c r="B7" s="144"/>
      <c r="C7" s="144"/>
      <c r="D7" s="144"/>
      <c r="E7" s="144"/>
      <c r="F7" s="144"/>
      <c r="G7" s="144"/>
      <c r="H7" s="52"/>
      <c r="I7" s="37" t="s">
        <v>230</v>
      </c>
      <c r="J7" s="145" t="s">
        <v>231</v>
      </c>
      <c r="K7" s="145"/>
      <c r="L7" s="145"/>
      <c r="M7" s="146" t="s">
        <v>232</v>
      </c>
      <c r="N7" s="146"/>
      <c r="O7" s="146"/>
      <c r="P7" s="146" t="s">
        <v>233</v>
      </c>
      <c r="Q7" s="146"/>
      <c r="R7" s="147"/>
      <c r="S7" s="145" t="s">
        <v>234</v>
      </c>
      <c r="T7" s="145"/>
      <c r="U7" s="145"/>
      <c r="V7" s="145" t="s">
        <v>235</v>
      </c>
      <c r="W7" s="145" t="s">
        <v>235</v>
      </c>
      <c r="X7" s="145"/>
      <c r="Y7" s="145" t="s">
        <v>236</v>
      </c>
      <c r="Z7" s="145" t="s">
        <v>236</v>
      </c>
      <c r="AA7" s="148"/>
      <c r="AB7" s="145" t="s">
        <v>237</v>
      </c>
      <c r="AC7" s="145"/>
      <c r="AD7" s="145"/>
      <c r="AE7" s="145" t="s">
        <v>238</v>
      </c>
      <c r="AF7" s="145" t="s">
        <v>239</v>
      </c>
      <c r="AG7" s="145"/>
      <c r="AH7" s="149" t="s">
        <v>240</v>
      </c>
      <c r="AI7" s="149" t="s">
        <v>241</v>
      </c>
      <c r="AJ7" s="150"/>
      <c r="AK7" s="145" t="s">
        <v>242</v>
      </c>
      <c r="AL7" s="145" t="s">
        <v>243</v>
      </c>
      <c r="AM7" s="145"/>
      <c r="AN7" s="145" t="s">
        <v>244</v>
      </c>
      <c r="AO7" s="145" t="s">
        <v>244</v>
      </c>
      <c r="AP7" s="145"/>
      <c r="AQ7" s="149" t="s">
        <v>245</v>
      </c>
      <c r="AR7" s="149" t="s">
        <v>245</v>
      </c>
      <c r="AS7" s="150"/>
      <c r="AT7" s="145" t="s">
        <v>246</v>
      </c>
      <c r="AU7" s="145" t="s">
        <v>246</v>
      </c>
      <c r="AV7" s="145"/>
      <c r="AW7" s="145" t="s">
        <v>247</v>
      </c>
      <c r="AX7" s="145" t="s">
        <v>247</v>
      </c>
      <c r="AY7" s="145"/>
      <c r="AZ7" s="151" t="s">
        <v>248</v>
      </c>
      <c r="BA7" s="151"/>
      <c r="BB7" s="151"/>
      <c r="BC7" s="149" t="s">
        <v>249</v>
      </c>
      <c r="BD7" s="149"/>
      <c r="BE7" s="150"/>
      <c r="BF7" s="145" t="s">
        <v>250</v>
      </c>
      <c r="BG7" s="145" t="s">
        <v>250</v>
      </c>
      <c r="BH7" s="145"/>
      <c r="BI7" s="145" t="s">
        <v>251</v>
      </c>
      <c r="BJ7" s="145" t="s">
        <v>251</v>
      </c>
      <c r="BK7" s="145"/>
      <c r="BL7" s="145" t="s">
        <v>252</v>
      </c>
      <c r="BM7" s="145" t="s">
        <v>252</v>
      </c>
      <c r="BN7" s="145"/>
      <c r="BO7" s="145" t="s">
        <v>253</v>
      </c>
      <c r="BP7" s="145" t="s">
        <v>253</v>
      </c>
      <c r="BQ7" s="145"/>
      <c r="BR7" s="145" t="s">
        <v>254</v>
      </c>
      <c r="BS7" s="145" t="s">
        <v>254</v>
      </c>
      <c r="BT7" s="145"/>
      <c r="BU7" s="145" t="s">
        <v>255</v>
      </c>
      <c r="BV7" s="145" t="s">
        <v>255</v>
      </c>
      <c r="BW7" s="145"/>
      <c r="BX7" s="145" t="s">
        <v>256</v>
      </c>
      <c r="BY7" s="145" t="s">
        <v>256</v>
      </c>
      <c r="BZ7" s="145"/>
      <c r="CA7" s="145" t="s">
        <v>257</v>
      </c>
      <c r="CB7" s="145" t="s">
        <v>257</v>
      </c>
      <c r="CC7" s="145"/>
      <c r="CD7" s="145" t="s">
        <v>258</v>
      </c>
      <c r="CE7" s="145" t="s">
        <v>258</v>
      </c>
      <c r="CF7" s="145"/>
      <c r="CG7" s="145" t="s">
        <v>259</v>
      </c>
      <c r="CH7" s="145" t="s">
        <v>259</v>
      </c>
      <c r="CI7" s="145"/>
      <c r="CJ7" s="145" t="s">
        <v>260</v>
      </c>
      <c r="CK7" s="145" t="s">
        <v>260</v>
      </c>
      <c r="CL7" s="145"/>
      <c r="CM7" s="152" t="s">
        <v>261</v>
      </c>
      <c r="CN7" s="152"/>
      <c r="CO7" s="153"/>
      <c r="CP7" s="153" t="s">
        <v>262</v>
      </c>
      <c r="CQ7" s="154"/>
      <c r="CR7" s="154"/>
      <c r="CS7" s="155"/>
      <c r="CT7" s="149" t="s">
        <v>263</v>
      </c>
      <c r="CU7" s="149"/>
      <c r="CV7" s="150"/>
      <c r="CW7" s="156" t="s">
        <v>264</v>
      </c>
      <c r="CX7" s="156"/>
      <c r="CY7" s="156"/>
      <c r="CZ7" s="145" t="s">
        <v>265</v>
      </c>
      <c r="DA7" s="145"/>
      <c r="DB7" s="145"/>
      <c r="DC7" s="157" t="s">
        <v>266</v>
      </c>
      <c r="DD7" s="157"/>
      <c r="DE7" s="157"/>
      <c r="DF7" s="158" t="s">
        <v>267</v>
      </c>
      <c r="DG7" s="158"/>
      <c r="DH7" s="158"/>
      <c r="DI7" s="159" t="s">
        <v>268</v>
      </c>
      <c r="DJ7" s="160"/>
      <c r="DK7" s="160"/>
      <c r="DL7" s="161"/>
      <c r="DM7" s="156" t="s">
        <v>269</v>
      </c>
      <c r="DN7" s="156"/>
      <c r="DO7" s="156"/>
      <c r="DP7" s="145" t="s">
        <v>270</v>
      </c>
      <c r="DQ7" s="145"/>
      <c r="DR7" s="145"/>
      <c r="DS7" s="162" t="s">
        <v>271</v>
      </c>
      <c r="DT7" s="163"/>
      <c r="DU7" s="163"/>
      <c r="DV7" s="164"/>
      <c r="DW7" s="162" t="s">
        <v>272</v>
      </c>
      <c r="DX7" s="163"/>
      <c r="DY7" s="163"/>
      <c r="DZ7" s="164"/>
      <c r="EA7" s="162" t="s">
        <v>273</v>
      </c>
      <c r="EB7" s="163"/>
      <c r="EC7" s="163"/>
      <c r="ED7" s="164"/>
      <c r="EE7" s="146" t="s">
        <v>274</v>
      </c>
      <c r="EF7" s="146"/>
      <c r="EG7" s="146"/>
      <c r="EH7" s="146" t="s">
        <v>275</v>
      </c>
      <c r="EI7" s="146"/>
      <c r="EJ7" s="147"/>
      <c r="EK7" s="156" t="s">
        <v>276</v>
      </c>
      <c r="EL7" s="156"/>
      <c r="EM7" s="156"/>
      <c r="EN7" s="145" t="s">
        <v>277</v>
      </c>
      <c r="EO7" s="145"/>
      <c r="EP7" s="145"/>
      <c r="EQ7" s="145" t="s">
        <v>278</v>
      </c>
      <c r="ER7" s="145"/>
      <c r="ES7" s="145"/>
      <c r="ET7" s="145" t="s">
        <v>279</v>
      </c>
      <c r="EU7" s="145"/>
      <c r="EV7" s="145"/>
      <c r="EW7" s="145" t="s">
        <v>280</v>
      </c>
      <c r="EX7" s="145"/>
      <c r="EY7" s="145"/>
      <c r="EZ7" s="167" t="s">
        <v>281</v>
      </c>
      <c r="FA7" s="167" t="s">
        <v>281</v>
      </c>
      <c r="FB7" s="167"/>
      <c r="FC7" s="145" t="s">
        <v>282</v>
      </c>
      <c r="FD7" s="145"/>
      <c r="FE7" s="145"/>
      <c r="FF7" s="148" t="s">
        <v>283</v>
      </c>
      <c r="FG7" s="168"/>
      <c r="FH7" s="168"/>
      <c r="FI7" s="165" t="s">
        <v>284</v>
      </c>
      <c r="FJ7" s="165"/>
      <c r="FK7" s="165"/>
      <c r="FL7" s="149" t="s">
        <v>285</v>
      </c>
      <c r="FM7" s="149"/>
      <c r="FN7" s="149"/>
      <c r="FO7" s="166" t="s">
        <v>286</v>
      </c>
      <c r="FP7" s="166"/>
      <c r="FQ7" s="166"/>
      <c r="FR7" s="75" t="s">
        <v>287</v>
      </c>
      <c r="FS7" s="75" t="s">
        <v>288</v>
      </c>
      <c r="FT7" s="143"/>
      <c r="FU7" s="143"/>
      <c r="FV7" s="143"/>
      <c r="FW7" s="143"/>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2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outlineLevel="1" x14ac:dyDescent="0.25">
      <c r="A9" s="23" t="s">
        <v>478</v>
      </c>
      <c r="B9" s="23">
        <v>132502</v>
      </c>
      <c r="C9" s="24" t="str">
        <f>VLOOKUP(B9,'[1]PM View-Mastersheet'!$A:$B,2,0)</f>
        <v>3060735-5</v>
      </c>
      <c r="D9" s="95"/>
      <c r="E9" s="24"/>
      <c r="F9" s="25" t="s">
        <v>463</v>
      </c>
      <c r="G9" s="26"/>
      <c r="H9" s="26"/>
      <c r="I9" s="46"/>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566</v>
      </c>
      <c r="FU9" s="54">
        <f>NETWORKDAYS($I10,FP10)</f>
        <v>305</v>
      </c>
      <c r="FV9" s="54">
        <f>IF(FQ10="",NETWORKDAYS($I10,FP10),NETWORKDAYS($I10,FQ10))</f>
        <v>305</v>
      </c>
      <c r="FW9" s="55" t="s">
        <v>464</v>
      </c>
    </row>
    <row r="10" spans="1:311" x14ac:dyDescent="0.25">
      <c r="A10" s="23" t="s">
        <v>478</v>
      </c>
      <c r="B10" s="23">
        <v>132502</v>
      </c>
      <c r="C10" s="24" t="str">
        <f>VLOOKUP(B10,'[1]PM View-Mastersheet'!$A:$B,2,0)</f>
        <v>3060735-5</v>
      </c>
      <c r="D10" s="65"/>
      <c r="E10" s="23" t="str">
        <f>IF(D10="","Unknown",IF(D10&lt;=FM10+90,"Red",IF(AND(D10&gt;FM10+90,D10&lt;=FM10+180),"Yellow",IF(AND(D10&gt;FM10+180,D10&lt;=FM10+690),"Green","Covered"))))</f>
        <v>Unknown</v>
      </c>
      <c r="F10" s="25" t="s">
        <v>466</v>
      </c>
      <c r="G10" s="26"/>
      <c r="H10" s="26" t="str">
        <f>IF(CR10="","Pre-Execution","Execution")</f>
        <v>Execution</v>
      </c>
      <c r="I10" s="46">
        <v>45814</v>
      </c>
      <c r="J10" s="28"/>
      <c r="K10" s="28"/>
      <c r="L10" s="28"/>
      <c r="M10" s="10">
        <v>45853</v>
      </c>
      <c r="N10" s="10">
        <f>WORKDAY(I10,N9)</f>
        <v>45853</v>
      </c>
      <c r="O10" s="56">
        <v>45973</v>
      </c>
      <c r="P10" s="10">
        <v>45853</v>
      </c>
      <c r="Q10" s="10">
        <f>IF(O10="",WORKDAY(N10,Q9),WORKDAY(O10,Q9))</f>
        <v>45973</v>
      </c>
      <c r="R10" s="56">
        <v>45973</v>
      </c>
      <c r="S10" s="28"/>
      <c r="T10" s="28"/>
      <c r="U10" s="28"/>
      <c r="V10" s="10">
        <v>45895</v>
      </c>
      <c r="W10" s="10">
        <f>IF(R10="",WORKDAY(Q10,W9),WORKDAY(R10,W9))</f>
        <v>46015</v>
      </c>
      <c r="X10" s="56">
        <f>V10</f>
        <v>45895</v>
      </c>
      <c r="Y10" s="10">
        <v>45951</v>
      </c>
      <c r="Z10" s="10">
        <f>IF(R10="",WORKDAY(Q10,Z9),WORKDAY(R10,Z9))</f>
        <v>46071</v>
      </c>
      <c r="AA10" s="56"/>
      <c r="AB10" s="10">
        <v>45814</v>
      </c>
      <c r="AC10" s="10">
        <f>WORKDAY(I10,AC9)</f>
        <v>45814</v>
      </c>
      <c r="AD10" s="56"/>
      <c r="AE10" s="10">
        <v>45919</v>
      </c>
      <c r="AF10" s="10">
        <f>IF(AD10="",WORKDAY(AC10,AF9),WORKDAY(AD10,AF9))</f>
        <v>45919</v>
      </c>
      <c r="AG10" s="56">
        <v>45940</v>
      </c>
      <c r="AH10" s="10">
        <v>45958</v>
      </c>
      <c r="AI10" s="10">
        <f>WORKDAY(IF(AA10="",IF(Z10&gt;AF10,Z10,AF10),IF(AA10&gt;AG10,AA10,AG10)),AI9)</f>
        <v>46078</v>
      </c>
      <c r="AJ10" s="10">
        <f>WORKDAY(IF(AA10&gt;AG10,AA10,AG10),AJ9)</f>
        <v>45940</v>
      </c>
      <c r="AK10" s="10">
        <v>45986</v>
      </c>
      <c r="AL10" s="10">
        <f>IF(AJ10="",WORKDAY(AI10,AL9),WORKDAY(AJ10,AL9))</f>
        <v>45968</v>
      </c>
      <c r="AM10" s="10">
        <f>IF(AK10="",WORKDAY(AJ10,AM9),WORKDAY(AK10,AM9))</f>
        <v>45986</v>
      </c>
      <c r="AN10" s="10">
        <v>45986</v>
      </c>
      <c r="AO10" s="10">
        <v>45986</v>
      </c>
      <c r="AP10" s="10">
        <v>45986</v>
      </c>
      <c r="AQ10" s="10">
        <v>46014</v>
      </c>
      <c r="AR10" s="10">
        <v>46014</v>
      </c>
      <c r="AS10" s="56">
        <v>45940</v>
      </c>
      <c r="AT10" s="10">
        <v>45993</v>
      </c>
      <c r="AU10" s="10">
        <v>45993</v>
      </c>
      <c r="AV10" s="10">
        <v>45993</v>
      </c>
      <c r="AW10" s="10">
        <v>46028</v>
      </c>
      <c r="AX10" s="10">
        <f>IF(AS10="",IF(AR10&gt;AU10,WORKDAY(AR10,AX9),WORKDAY(AU10,AX9)),IF(AS10&gt;AV10,WORKDAY(AS10,AX9),WORKDAY(AV10,AX9)))</f>
        <v>46007</v>
      </c>
      <c r="AY10" s="10">
        <v>46028</v>
      </c>
      <c r="AZ10" s="10">
        <v>46028</v>
      </c>
      <c r="BA10" s="10">
        <f>IF(AP10="",WORKDAY(AO10,BA9),WORKDAY(AP10,BA9))</f>
        <v>46028</v>
      </c>
      <c r="BB10" s="56">
        <v>46028</v>
      </c>
      <c r="BC10" s="10">
        <v>46035</v>
      </c>
      <c r="BD10" s="10">
        <f>IF(AY10="",IF(AX10&gt;BA10,WORKDAY(AX10,BD9),WORKDAY(BA10,BD9)),IF(AY10&gt;BB10,WORKDAY(AY10,BD9),WORKDAY(BB10,BD9)))</f>
        <v>46035</v>
      </c>
      <c r="BE10" s="56">
        <v>46035</v>
      </c>
      <c r="BF10" s="10">
        <v>46042</v>
      </c>
      <c r="BG10" s="10">
        <f>IF(BE10="",WORKDAY(BD10,BG9),WORKDAY(BE10,BG9))</f>
        <v>46042</v>
      </c>
      <c r="BH10" s="56">
        <v>46042</v>
      </c>
      <c r="BI10" s="10">
        <v>46049</v>
      </c>
      <c r="BJ10" s="10">
        <f>IF(BH10="",WORKDAY(BG10,BJ9),WORKDAY(BH10,BJ9))</f>
        <v>46049</v>
      </c>
      <c r="BK10" s="56">
        <v>45814</v>
      </c>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v>46052</v>
      </c>
      <c r="CN10" s="10">
        <f>IF(BK10="",WORKDAY(BJ10,CN9),WORKDAY(BK10,CN9))</f>
        <v>45819</v>
      </c>
      <c r="CO10" s="56">
        <v>46297</v>
      </c>
      <c r="CP10" s="10">
        <v>46059</v>
      </c>
      <c r="CQ10" s="10">
        <f>IF(CO10="",WORKDAY(CN10,CQ9),WORKDAY(CO10,CQ9))</f>
        <v>46304</v>
      </c>
      <c r="CR10" s="56">
        <v>46297</v>
      </c>
      <c r="CS10" s="77" t="s">
        <v>479</v>
      </c>
      <c r="CT10" s="10">
        <v>46465</v>
      </c>
      <c r="CU10" s="10">
        <f>IF(CR10="",WORKDAY(CQ10,CU9),WORKDAY(CR10,CU9))</f>
        <v>46465</v>
      </c>
      <c r="CV10" s="56">
        <v>46100</v>
      </c>
      <c r="CW10" s="10">
        <v>46042</v>
      </c>
      <c r="CX10" s="10">
        <f>IF(BB10="",WORKDAY(BA10,CX9),WORKDAY(BB10,CX9))</f>
        <v>46042</v>
      </c>
      <c r="CY10" s="56"/>
      <c r="CZ10" s="10">
        <v>46042</v>
      </c>
      <c r="DA10" s="10">
        <f>IF(CY10="",WORKDAY(CX10,DA9),WORKDAY(CY10,DA9))</f>
        <v>46042</v>
      </c>
      <c r="DB10" s="56">
        <v>46042</v>
      </c>
      <c r="DC10" s="45"/>
      <c r="DD10" s="45"/>
      <c r="DE10" s="45"/>
      <c r="DF10" s="10">
        <v>46493</v>
      </c>
      <c r="DG10" s="10">
        <f>IF($CV10="",IF($CU10&gt;$DA10,WORKDAY($CU10,DG9),WORKDAY($DA10,DG9)),IF($CV10&gt;$DB10,WORKDAY($CV10,DG9),WORKDAY($DB10,DG9)))</f>
        <v>46128</v>
      </c>
      <c r="DH10" s="56"/>
      <c r="DI10" s="46"/>
      <c r="DJ10" s="10">
        <v>46521</v>
      </c>
      <c r="DK10" s="10">
        <f>IF(DH10="",WORKDAY(DG10,DK9*$DI9),WORKDAY(DH10,DK9*$DI9))</f>
        <v>46156</v>
      </c>
      <c r="DL10" s="56"/>
      <c r="DM10" s="46"/>
      <c r="DN10" s="46"/>
      <c r="DO10" s="46"/>
      <c r="DP10" s="46"/>
      <c r="DQ10" s="46"/>
      <c r="DR10" s="46"/>
      <c r="DS10" s="46"/>
      <c r="DT10" s="46"/>
      <c r="DU10" s="46"/>
      <c r="DV10" s="46"/>
      <c r="DW10" s="46"/>
      <c r="DX10" s="46"/>
      <c r="DY10" s="46"/>
      <c r="DZ10" s="46"/>
      <c r="EA10" s="46"/>
      <c r="EB10" s="46"/>
      <c r="EC10" s="46"/>
      <c r="ED10" s="46"/>
      <c r="EE10" s="10">
        <v>46521</v>
      </c>
      <c r="EF10" s="10">
        <f>IF(DL10="",WORKDAY(DK10,EF9),WORKDAY(DL10,EF9))</f>
        <v>46156</v>
      </c>
      <c r="EG10" s="56"/>
      <c r="EH10" s="10">
        <v>46449</v>
      </c>
      <c r="EI10" s="10">
        <v>46449</v>
      </c>
      <c r="EJ10" s="56"/>
      <c r="EK10" s="27"/>
      <c r="EL10" s="27"/>
      <c r="EM10" s="27"/>
      <c r="EN10" s="27"/>
      <c r="EO10" s="28"/>
      <c r="EP10" s="28"/>
      <c r="EQ10" s="28"/>
      <c r="ER10" s="28"/>
      <c r="ES10" s="28"/>
      <c r="ET10" s="28"/>
      <c r="EU10" s="28"/>
      <c r="EV10" s="28"/>
      <c r="EW10" s="28"/>
      <c r="EX10" s="28"/>
      <c r="EY10" s="28"/>
      <c r="EZ10" s="10">
        <v>46528</v>
      </c>
      <c r="FA10" s="10">
        <f>IF(EG10="",WORKDAY(EF10,FA9),WORKDAY(EG10,FA9))</f>
        <v>46163</v>
      </c>
      <c r="FB10" s="56"/>
      <c r="FC10" s="28"/>
      <c r="FD10" s="28"/>
      <c r="FE10" s="28"/>
      <c r="FF10" s="28"/>
      <c r="FG10" s="28"/>
      <c r="FH10" s="28"/>
      <c r="FI10" s="10">
        <v>46549</v>
      </c>
      <c r="FJ10" s="10">
        <f>IF(FB10="",WORKDAY(FA10,FJ9),WORKDAY(FB10,FJ9))</f>
        <v>46184</v>
      </c>
      <c r="FK10" s="56"/>
      <c r="FL10" s="10">
        <v>46549</v>
      </c>
      <c r="FM10" s="10">
        <f>IF(FK10="",WORKDAY(FJ10,FM9),WORKDAY(FK10,FM9))</f>
        <v>46184</v>
      </c>
      <c r="FN10" s="56"/>
      <c r="FO10" s="10">
        <v>46605</v>
      </c>
      <c r="FP10" s="10">
        <f>WORKDAY(FM10,FP9)</f>
        <v>46240</v>
      </c>
      <c r="FQ10" s="56"/>
      <c r="FR10" s="77" t="str">
        <f>IF(NETWORKDAYS(FJ10,FO10)&gt;=30,"On-Track",IF(AND(NETWORKDAYS(FJ10,FO10)&lt;30,FJ10&lt;=FO10),"At Risk","Missed TCD"))</f>
        <v>On-Track</v>
      </c>
      <c r="FS10" s="110" t="s">
        <v>480</v>
      </c>
      <c r="FT10" s="57">
        <f>NETWORKDAYS(CP10,FI10)</f>
        <v>351</v>
      </c>
      <c r="FU10" s="57">
        <f>NETWORKDAYS(CQ10,FJ10)</f>
        <v>-87</v>
      </c>
      <c r="FV10" s="57">
        <f>IF(BH10="",NETWORKDAYS(BG10,FJ10),IF(FK10="",NETWORKDAYS(BH10,FJ10),NETWORKDAYS(BH10,FK10)))</f>
        <v>103</v>
      </c>
      <c r="FW10" s="58" t="s">
        <v>467</v>
      </c>
    </row>
    <row r="11" spans="1:311" outlineLevel="1" x14ac:dyDescent="0.25">
      <c r="A11" s="23" t="s">
        <v>478</v>
      </c>
      <c r="B11" s="23">
        <v>132504</v>
      </c>
      <c r="C11" s="24" t="str">
        <f>VLOOKUP(B11,'[1]PM View-Mastersheet'!$A:$B,2,0)</f>
        <v>3060735-8</v>
      </c>
      <c r="D11" s="95"/>
      <c r="E11" s="24"/>
      <c r="F11" s="25" t="s">
        <v>463</v>
      </c>
      <c r="G11" s="26"/>
      <c r="H11" s="26"/>
      <c r="I11" s="27"/>
      <c r="J11" s="27"/>
      <c r="K11" s="27"/>
      <c r="L11" s="27"/>
      <c r="M11" s="4">
        <v>27</v>
      </c>
      <c r="N11" s="4">
        <v>27</v>
      </c>
      <c r="O11" s="27"/>
      <c r="P11" s="4">
        <v>0</v>
      </c>
      <c r="Q11" s="4">
        <v>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45993</v>
      </c>
      <c r="AV11" s="27">
        <v>45993</v>
      </c>
      <c r="AW11" s="4">
        <v>10</v>
      </c>
      <c r="AX11" s="4">
        <v>10</v>
      </c>
      <c r="AY11" s="27">
        <v>46028</v>
      </c>
      <c r="AZ11" s="4">
        <v>30</v>
      </c>
      <c r="BA11" s="4">
        <v>30</v>
      </c>
      <c r="BB11" s="27">
        <v>46028</v>
      </c>
      <c r="BC11" s="4">
        <v>5</v>
      </c>
      <c r="BD11" s="4">
        <v>5</v>
      </c>
      <c r="BE11" s="27">
        <v>46035</v>
      </c>
      <c r="BF11" s="4">
        <v>5</v>
      </c>
      <c r="BG11" s="4">
        <v>5</v>
      </c>
      <c r="BH11" s="27">
        <v>46042</v>
      </c>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4">
        <v>3</v>
      </c>
      <c r="CN11" s="4">
        <v>3</v>
      </c>
      <c r="CO11" s="27"/>
      <c r="CP11" s="4">
        <v>5</v>
      </c>
      <c r="CQ11" s="4">
        <v>5</v>
      </c>
      <c r="CR11" s="27"/>
      <c r="CS11" s="27"/>
      <c r="CT11" s="5">
        <v>120</v>
      </c>
      <c r="CU11" s="5">
        <v>120</v>
      </c>
      <c r="CV11" s="27">
        <v>46465</v>
      </c>
      <c r="CW11" s="5">
        <v>10</v>
      </c>
      <c r="CX11" s="5">
        <v>10</v>
      </c>
      <c r="CY11" s="27"/>
      <c r="CZ11" s="5">
        <v>0</v>
      </c>
      <c r="DA11" s="5">
        <v>0</v>
      </c>
      <c r="DB11" s="27">
        <v>46042</v>
      </c>
      <c r="DC11" s="31"/>
      <c r="DD11" s="31"/>
      <c r="DE11" s="31"/>
      <c r="DF11" s="4">
        <v>20</v>
      </c>
      <c r="DG11" s="4">
        <v>20</v>
      </c>
      <c r="DH11" s="27">
        <v>46493</v>
      </c>
      <c r="DI11" s="89">
        <v>1</v>
      </c>
      <c r="DJ11" s="4">
        <v>20</v>
      </c>
      <c r="DK11" s="4">
        <v>20</v>
      </c>
      <c r="DL11" s="27">
        <v>46521</v>
      </c>
      <c r="DM11" s="27"/>
      <c r="DN11" s="27"/>
      <c r="DO11" s="27"/>
      <c r="DP11" s="27"/>
      <c r="DQ11" s="27"/>
      <c r="DR11" s="27"/>
      <c r="DS11" s="27"/>
      <c r="DT11" s="27"/>
      <c r="DU11" s="27"/>
      <c r="DV11" s="27"/>
      <c r="DW11" s="27"/>
      <c r="DX11" s="27"/>
      <c r="DY11" s="27"/>
      <c r="DZ11" s="27"/>
      <c r="EA11" s="27"/>
      <c r="EB11" s="27"/>
      <c r="EC11" s="27"/>
      <c r="ED11" s="27"/>
      <c r="EE11" s="4">
        <v>0</v>
      </c>
      <c r="EF11" s="4">
        <v>0</v>
      </c>
      <c r="EG11" s="27">
        <v>46521</v>
      </c>
      <c r="EH11" s="4">
        <v>30</v>
      </c>
      <c r="EI11" s="4">
        <v>30</v>
      </c>
      <c r="EJ11" s="27">
        <v>46084</v>
      </c>
      <c r="EK11" s="27"/>
      <c r="EL11" s="27"/>
      <c r="EM11" s="27"/>
      <c r="EN11" s="27"/>
      <c r="EO11" s="27"/>
      <c r="EP11" s="27"/>
      <c r="EQ11" s="27"/>
      <c r="ER11" s="27"/>
      <c r="ES11" s="27"/>
      <c r="ET11" s="27"/>
      <c r="EU11" s="27"/>
      <c r="EV11" s="27"/>
      <c r="EW11" s="27"/>
      <c r="EX11" s="27"/>
      <c r="EY11" s="27"/>
      <c r="EZ11" s="4">
        <v>5</v>
      </c>
      <c r="FA11" s="4">
        <v>5</v>
      </c>
      <c r="FB11" s="27">
        <v>46528</v>
      </c>
      <c r="FC11" s="27"/>
      <c r="FD11" s="27"/>
      <c r="FE11" s="27"/>
      <c r="FF11" s="27"/>
      <c r="FG11" s="27"/>
      <c r="FH11" s="27"/>
      <c r="FI11" s="4">
        <v>15</v>
      </c>
      <c r="FJ11" s="4">
        <v>15</v>
      </c>
      <c r="FK11" s="27">
        <v>46549</v>
      </c>
      <c r="FL11" s="4">
        <v>0</v>
      </c>
      <c r="FM11" s="4">
        <v>0</v>
      </c>
      <c r="FN11" s="27">
        <v>46549</v>
      </c>
      <c r="FO11" s="4">
        <v>40</v>
      </c>
      <c r="FP11" s="4">
        <v>40</v>
      </c>
      <c r="FQ11" s="27">
        <v>46605</v>
      </c>
      <c r="FR11" s="27"/>
      <c r="FS11" s="109"/>
      <c r="FT11" s="54">
        <f>NETWORKDAYS($I12,FO12)</f>
        <v>566</v>
      </c>
      <c r="FU11" s="54">
        <f>NETWORKDAYS($I12,FP12)</f>
        <v>305</v>
      </c>
      <c r="FV11" s="54">
        <f>IF(FQ12="",NETWORKDAYS($I12,FP12),NETWORKDAYS($I12,FQ12))</f>
        <v>305</v>
      </c>
      <c r="FW11" s="55" t="s">
        <v>464</v>
      </c>
    </row>
    <row r="12" spans="1:311" x14ac:dyDescent="0.25">
      <c r="A12" s="23" t="s">
        <v>478</v>
      </c>
      <c r="B12" s="23">
        <v>132504</v>
      </c>
      <c r="C12" s="24" t="str">
        <f>VLOOKUP(B12,'[1]PM View-Mastersheet'!$A:$B,2,0)</f>
        <v>3060735-8</v>
      </c>
      <c r="D12" s="65"/>
      <c r="E12" s="23" t="str">
        <f>IF(D12="","Unknown",IF(D12&lt;=FM12+90,"Red",IF(AND(D12&gt;FM12+90,D12&lt;=FM12+180),"Yellow",IF(AND(D12&gt;FM12+180,D12&lt;=FM12+690),"Green","Covered"))))</f>
        <v>Unknown</v>
      </c>
      <c r="F12" s="25" t="s">
        <v>466</v>
      </c>
      <c r="G12" s="26"/>
      <c r="H12" s="26" t="str">
        <f>IF(CR12="","Pre-Execution","Execution")</f>
        <v>Execution</v>
      </c>
      <c r="I12" s="46">
        <v>45814</v>
      </c>
      <c r="J12" s="28"/>
      <c r="K12" s="28"/>
      <c r="L12" s="28"/>
      <c r="M12" s="10">
        <v>45853</v>
      </c>
      <c r="N12" s="10">
        <f>WORKDAY(I12,N11)</f>
        <v>45853</v>
      </c>
      <c r="O12" s="56">
        <v>45973</v>
      </c>
      <c r="P12" s="10">
        <v>45853</v>
      </c>
      <c r="Q12" s="10">
        <f>IF(O12="",WORKDAY(N12,Q11),WORKDAY(O12,Q11))</f>
        <v>45973</v>
      </c>
      <c r="R12" s="56">
        <v>45973</v>
      </c>
      <c r="S12" s="28"/>
      <c r="T12" s="28"/>
      <c r="U12" s="28"/>
      <c r="V12" s="10">
        <v>45895</v>
      </c>
      <c r="W12" s="10">
        <f>IF(R12="",WORKDAY(Q12,W11),WORKDAY(R12,W11))</f>
        <v>46015</v>
      </c>
      <c r="X12" s="56">
        <f>V12</f>
        <v>45895</v>
      </c>
      <c r="Y12" s="10">
        <v>45951</v>
      </c>
      <c r="Z12" s="10">
        <f>IF(R12="",WORKDAY(Q12,Z11),WORKDAY(R12,Z11))</f>
        <v>46071</v>
      </c>
      <c r="AA12" s="56"/>
      <c r="AB12" s="10">
        <v>45814</v>
      </c>
      <c r="AC12" s="10">
        <f>WORKDAY(I12,AC11)</f>
        <v>45814</v>
      </c>
      <c r="AD12" s="56"/>
      <c r="AE12" s="10">
        <v>45919</v>
      </c>
      <c r="AF12" s="10">
        <f>IF(AD12="",WORKDAY(AC12,AF11),WORKDAY(AD12,AF11))</f>
        <v>45919</v>
      </c>
      <c r="AG12" s="56">
        <v>45940</v>
      </c>
      <c r="AH12" s="10">
        <v>45958</v>
      </c>
      <c r="AI12" s="10">
        <f>WORKDAY(IF(AA12="",IF(Z12&gt;AF12,Z12,AF12),IF(AA12&gt;AG12,AA12,AG12)),AI11)</f>
        <v>46078</v>
      </c>
      <c r="AJ12" s="10">
        <f>WORKDAY(IF(AA12&gt;AG12,AA12,AG12),AJ11)</f>
        <v>45940</v>
      </c>
      <c r="AK12" s="10">
        <v>45986</v>
      </c>
      <c r="AL12" s="10">
        <f>IF(AJ12="",WORKDAY(AI12,AL11),WORKDAY(AJ12,AL11))</f>
        <v>45968</v>
      </c>
      <c r="AM12" s="10">
        <f>IF(AK12="",WORKDAY(AJ12,AM11),WORKDAY(AK12,AM11))</f>
        <v>45986</v>
      </c>
      <c r="AN12" s="10">
        <v>45986</v>
      </c>
      <c r="AO12" s="10">
        <v>45986</v>
      </c>
      <c r="AP12" s="10">
        <v>45986</v>
      </c>
      <c r="AQ12" s="10">
        <v>46014</v>
      </c>
      <c r="AR12" s="10">
        <v>46014</v>
      </c>
      <c r="AS12" s="56">
        <v>45940</v>
      </c>
      <c r="AT12" s="10">
        <v>45993</v>
      </c>
      <c r="AU12" s="10">
        <v>45993</v>
      </c>
      <c r="AV12" s="10">
        <v>45993</v>
      </c>
      <c r="AW12" s="10">
        <v>46028</v>
      </c>
      <c r="AX12" s="10">
        <f>IF(AS12="",IF(AR12&gt;AU12,WORKDAY(AR12,AX11),WORKDAY(AU12,AX11)),IF(AS12&gt;AV12,WORKDAY(AS12,AX11),WORKDAY(AV12,AX11)))</f>
        <v>46007</v>
      </c>
      <c r="AY12" s="10">
        <v>46028</v>
      </c>
      <c r="AZ12" s="10">
        <v>46028</v>
      </c>
      <c r="BA12" s="10">
        <f>IF(AP12="",WORKDAY(AO12,BA11),WORKDAY(AP12,BA11))</f>
        <v>46028</v>
      </c>
      <c r="BB12" s="56">
        <v>46028</v>
      </c>
      <c r="BC12" s="10">
        <v>46035</v>
      </c>
      <c r="BD12" s="10">
        <f>IF(AY12="",IF(AX12&gt;BA12,WORKDAY(AX12,BD11),WORKDAY(BA12,BD11)),IF(AY12&gt;BB12,WORKDAY(AY12,BD11),WORKDAY(BB12,BD11)))</f>
        <v>46035</v>
      </c>
      <c r="BE12" s="56">
        <v>46035</v>
      </c>
      <c r="BF12" s="10">
        <v>46042</v>
      </c>
      <c r="BG12" s="10">
        <f>IF(BE12="",WORKDAY(BD12,BG11),WORKDAY(BE12,BG11))</f>
        <v>46042</v>
      </c>
      <c r="BH12" s="56">
        <v>46042</v>
      </c>
      <c r="BI12" s="10">
        <v>46049</v>
      </c>
      <c r="BJ12" s="10">
        <f>IF(BH12="",WORKDAY(BG12,BJ11),WORKDAY(BH12,BJ11))</f>
        <v>46049</v>
      </c>
      <c r="BK12" s="56">
        <v>45814</v>
      </c>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28"/>
      <c r="CK12" s="28"/>
      <c r="CL12" s="28"/>
      <c r="CM12" s="10">
        <v>46052</v>
      </c>
      <c r="CN12" s="10">
        <f>IF(BK12="",WORKDAY(BJ12,CN11),WORKDAY(BK12,CN11))</f>
        <v>45819</v>
      </c>
      <c r="CO12" s="56">
        <v>46297</v>
      </c>
      <c r="CP12" s="10">
        <v>46059</v>
      </c>
      <c r="CQ12" s="10">
        <f>IF(CO12="",WORKDAY(CN12,CQ11),WORKDAY(CO12,CQ11))</f>
        <v>46304</v>
      </c>
      <c r="CR12" s="56">
        <v>46297</v>
      </c>
      <c r="CS12" s="77" t="s">
        <v>479</v>
      </c>
      <c r="CT12" s="10">
        <v>46465</v>
      </c>
      <c r="CU12" s="10">
        <f>IF(CR12="",WORKDAY(CQ12,CU11),WORKDAY(CR12,CU11))</f>
        <v>46465</v>
      </c>
      <c r="CV12" s="56">
        <v>46100</v>
      </c>
      <c r="CW12" s="10">
        <v>46042</v>
      </c>
      <c r="CX12" s="10">
        <f>IF(BB12="",WORKDAY(BA12,CX11),WORKDAY(BB12,CX11))</f>
        <v>46042</v>
      </c>
      <c r="CY12" s="56"/>
      <c r="CZ12" s="10">
        <v>46042</v>
      </c>
      <c r="DA12" s="10">
        <f>IF(CY12="",WORKDAY(CX12,DA11),WORKDAY(CY12,DA11))</f>
        <v>46042</v>
      </c>
      <c r="DB12" s="56">
        <v>46042</v>
      </c>
      <c r="DC12" s="45"/>
      <c r="DD12" s="45"/>
      <c r="DE12" s="45"/>
      <c r="DF12" s="10">
        <v>46493</v>
      </c>
      <c r="DG12" s="10">
        <f>IF($CV12="",IF($CU12&gt;$DA12,WORKDAY($CU12,DG11),WORKDAY($DA12,DG11)),IF($CV12&gt;$DB12,WORKDAY($CV12,DG11),WORKDAY($DB12,DG11)))</f>
        <v>46128</v>
      </c>
      <c r="DH12" s="56"/>
      <c r="DI12" s="46"/>
      <c r="DJ12" s="10">
        <v>46521</v>
      </c>
      <c r="DK12" s="10">
        <f>IF(DH12="",WORKDAY(DG12,DK11*$DI11),WORKDAY(DH12,DK11*$DI11))</f>
        <v>46156</v>
      </c>
      <c r="DL12" s="56"/>
      <c r="DM12" s="46"/>
      <c r="DN12" s="46"/>
      <c r="DO12" s="46"/>
      <c r="DP12" s="46"/>
      <c r="DQ12" s="46"/>
      <c r="DR12" s="46"/>
      <c r="DS12" s="46"/>
      <c r="DT12" s="46"/>
      <c r="DU12" s="46"/>
      <c r="DV12" s="46"/>
      <c r="DW12" s="46"/>
      <c r="DX12" s="46"/>
      <c r="DY12" s="46"/>
      <c r="DZ12" s="46"/>
      <c r="EA12" s="46"/>
      <c r="EB12" s="46"/>
      <c r="EC12" s="46"/>
      <c r="ED12" s="46"/>
      <c r="EE12" s="10">
        <v>46521</v>
      </c>
      <c r="EF12" s="10">
        <f>IF(DL12="",WORKDAY(DK12,EF11),WORKDAY(DL12,EF11))</f>
        <v>46156</v>
      </c>
      <c r="EG12" s="56"/>
      <c r="EH12" s="10">
        <v>46449</v>
      </c>
      <c r="EI12" s="10">
        <v>46449</v>
      </c>
      <c r="EJ12" s="56"/>
      <c r="EK12" s="27"/>
      <c r="EL12" s="27"/>
      <c r="EM12" s="27"/>
      <c r="EN12" s="27"/>
      <c r="EO12" s="28"/>
      <c r="EP12" s="28"/>
      <c r="EQ12" s="28"/>
      <c r="ER12" s="28"/>
      <c r="ES12" s="28"/>
      <c r="ET12" s="28"/>
      <c r="EU12" s="28"/>
      <c r="EV12" s="28"/>
      <c r="EW12" s="28"/>
      <c r="EX12" s="28"/>
      <c r="EY12" s="28"/>
      <c r="EZ12" s="10">
        <v>46528</v>
      </c>
      <c r="FA12" s="10">
        <f>IF(EG12="",WORKDAY(EF12,FA11),WORKDAY(EG12,FA11))</f>
        <v>46163</v>
      </c>
      <c r="FB12" s="56"/>
      <c r="FC12" s="28"/>
      <c r="FD12" s="28"/>
      <c r="FE12" s="28"/>
      <c r="FF12" s="28"/>
      <c r="FG12" s="28"/>
      <c r="FH12" s="28"/>
      <c r="FI12" s="10">
        <v>46549</v>
      </c>
      <c r="FJ12" s="10">
        <f>IF(FB12="",WORKDAY(FA12,FJ11),WORKDAY(FB12,FJ11))</f>
        <v>46184</v>
      </c>
      <c r="FK12" s="56"/>
      <c r="FL12" s="10">
        <v>46549</v>
      </c>
      <c r="FM12" s="10">
        <f>IF(FK12="",WORKDAY(FJ12,FM11),WORKDAY(FK12,FM11))</f>
        <v>46184</v>
      </c>
      <c r="FN12" s="56"/>
      <c r="FO12" s="10">
        <v>46605</v>
      </c>
      <c r="FP12" s="10">
        <f>WORKDAY(FM12,FP11)</f>
        <v>46240</v>
      </c>
      <c r="FQ12" s="56"/>
      <c r="FR12" s="77" t="str">
        <f>IF(NETWORKDAYS(FJ12,FO12)&gt;=30,"On-Track",IF(AND(NETWORKDAYS(FJ12,FO12)&lt;30,FJ12&lt;=FO12),"At Risk","Missed TCD"))</f>
        <v>On-Track</v>
      </c>
      <c r="FS12" s="110" t="s">
        <v>480</v>
      </c>
      <c r="FT12" s="57">
        <f>NETWORKDAYS(CP12,FI12)</f>
        <v>351</v>
      </c>
      <c r="FU12" s="57">
        <f>NETWORKDAYS(CQ12,FJ12)</f>
        <v>-87</v>
      </c>
      <c r="FV12" s="57">
        <f>IF(BH12="",NETWORKDAYS(BG12,FJ12),IF(FK12="",NETWORKDAYS(BH12,FJ12),NETWORKDAYS(BH12,FK12)))</f>
        <v>103</v>
      </c>
      <c r="FW12" s="58" t="s">
        <v>467</v>
      </c>
    </row>
    <row r="13" spans="1:311" outlineLevel="1" x14ac:dyDescent="0.25">
      <c r="A13" s="23" t="s">
        <v>478</v>
      </c>
      <c r="B13" s="23">
        <v>132491</v>
      </c>
      <c r="C13" s="24" t="str">
        <f>VLOOKUP(B13,'[1]PM View-Mastersheet'!$A:$B,2,0)</f>
        <v>3074135-1</v>
      </c>
      <c r="D13" s="95"/>
      <c r="E13" s="24"/>
      <c r="F13" s="25" t="s">
        <v>463</v>
      </c>
      <c r="G13" s="26"/>
      <c r="H13" s="26"/>
      <c r="I13" s="27"/>
      <c r="J13" s="27"/>
      <c r="K13" s="27"/>
      <c r="L13" s="27"/>
      <c r="M13" s="4">
        <v>27</v>
      </c>
      <c r="N13" s="4">
        <v>27</v>
      </c>
      <c r="O13" s="27"/>
      <c r="P13" s="4">
        <v>0</v>
      </c>
      <c r="Q13" s="4">
        <v>0</v>
      </c>
      <c r="R13" s="27"/>
      <c r="S13" s="27"/>
      <c r="T13" s="27"/>
      <c r="U13" s="27"/>
      <c r="V13" s="4">
        <v>30</v>
      </c>
      <c r="W13" s="4">
        <v>30</v>
      </c>
      <c r="X13" s="27"/>
      <c r="Y13" s="4">
        <v>70</v>
      </c>
      <c r="Z13" s="4">
        <v>70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45993</v>
      </c>
      <c r="AV13" s="27">
        <v>45993</v>
      </c>
      <c r="AW13" s="4">
        <v>10</v>
      </c>
      <c r="AX13" s="4">
        <v>10</v>
      </c>
      <c r="AY13" s="27">
        <v>46028</v>
      </c>
      <c r="AZ13" s="4">
        <v>30</v>
      </c>
      <c r="BA13" s="4">
        <v>30</v>
      </c>
      <c r="BB13" s="27">
        <v>46028</v>
      </c>
      <c r="BC13" s="4">
        <v>5</v>
      </c>
      <c r="BD13" s="4">
        <v>5</v>
      </c>
      <c r="BE13" s="27">
        <v>46035</v>
      </c>
      <c r="BF13" s="4">
        <v>5</v>
      </c>
      <c r="BG13" s="4">
        <v>5</v>
      </c>
      <c r="BH13" s="27">
        <v>46042</v>
      </c>
      <c r="BI13" s="4">
        <v>5</v>
      </c>
      <c r="BJ13" s="4">
        <v>5</v>
      </c>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4">
        <v>3</v>
      </c>
      <c r="CN13" s="4">
        <v>3</v>
      </c>
      <c r="CO13" s="27"/>
      <c r="CP13" s="4">
        <v>5</v>
      </c>
      <c r="CQ13" s="4">
        <v>5</v>
      </c>
      <c r="CR13" s="27"/>
      <c r="CS13" s="27"/>
      <c r="CT13" s="5">
        <v>120</v>
      </c>
      <c r="CU13" s="5">
        <v>120</v>
      </c>
      <c r="CV13" s="27">
        <v>46465</v>
      </c>
      <c r="CW13" s="5">
        <v>10</v>
      </c>
      <c r="CX13" s="5">
        <v>10</v>
      </c>
      <c r="CY13" s="27"/>
      <c r="CZ13" s="5">
        <v>0</v>
      </c>
      <c r="DA13" s="5">
        <v>0</v>
      </c>
      <c r="DB13" s="27">
        <v>46042</v>
      </c>
      <c r="DC13" s="31"/>
      <c r="DD13" s="31"/>
      <c r="DE13" s="31"/>
      <c r="DF13" s="4">
        <v>20</v>
      </c>
      <c r="DG13" s="4">
        <v>20</v>
      </c>
      <c r="DH13" s="27">
        <v>46493</v>
      </c>
      <c r="DI13" s="89">
        <v>1</v>
      </c>
      <c r="DJ13" s="4">
        <v>20</v>
      </c>
      <c r="DK13" s="4">
        <v>20</v>
      </c>
      <c r="DL13" s="27">
        <v>46521</v>
      </c>
      <c r="DM13" s="27"/>
      <c r="DN13" s="27"/>
      <c r="DO13" s="27"/>
      <c r="DP13" s="27"/>
      <c r="DQ13" s="27"/>
      <c r="DR13" s="27"/>
      <c r="DS13" s="27"/>
      <c r="DT13" s="27"/>
      <c r="DU13" s="27"/>
      <c r="DV13" s="27"/>
      <c r="DW13" s="27"/>
      <c r="DX13" s="27"/>
      <c r="DY13" s="27"/>
      <c r="DZ13" s="27"/>
      <c r="EA13" s="27"/>
      <c r="EB13" s="27"/>
      <c r="EC13" s="27"/>
      <c r="ED13" s="27"/>
      <c r="EE13" s="4">
        <v>0</v>
      </c>
      <c r="EF13" s="4">
        <v>0</v>
      </c>
      <c r="EG13" s="27">
        <v>46521</v>
      </c>
      <c r="EH13" s="4">
        <v>30</v>
      </c>
      <c r="EI13" s="4">
        <v>30</v>
      </c>
      <c r="EJ13" s="27">
        <v>46084</v>
      </c>
      <c r="EK13" s="27"/>
      <c r="EL13" s="27"/>
      <c r="EM13" s="27"/>
      <c r="EN13" s="27"/>
      <c r="EO13" s="27"/>
      <c r="EP13" s="27"/>
      <c r="EQ13" s="27"/>
      <c r="ER13" s="27"/>
      <c r="ES13" s="27"/>
      <c r="ET13" s="27"/>
      <c r="EU13" s="27"/>
      <c r="EV13" s="27"/>
      <c r="EW13" s="27"/>
      <c r="EX13" s="27"/>
      <c r="EY13" s="27"/>
      <c r="EZ13" s="4">
        <v>5</v>
      </c>
      <c r="FA13" s="4">
        <v>5</v>
      </c>
      <c r="FB13" s="27">
        <v>46528</v>
      </c>
      <c r="FC13" s="27"/>
      <c r="FD13" s="27"/>
      <c r="FE13" s="27"/>
      <c r="FF13" s="27"/>
      <c r="FG13" s="27"/>
      <c r="FH13" s="27"/>
      <c r="FI13" s="4">
        <v>15</v>
      </c>
      <c r="FJ13" s="4">
        <v>15</v>
      </c>
      <c r="FK13" s="27">
        <v>46549</v>
      </c>
      <c r="FL13" s="4">
        <v>0</v>
      </c>
      <c r="FM13" s="4">
        <v>0</v>
      </c>
      <c r="FN13" s="27">
        <v>46549</v>
      </c>
      <c r="FO13" s="4">
        <v>40</v>
      </c>
      <c r="FP13" s="4">
        <v>40</v>
      </c>
      <c r="FQ13" s="27">
        <v>46605</v>
      </c>
      <c r="FR13" s="27"/>
      <c r="FS13" s="109"/>
      <c r="FT13" s="54">
        <f>NETWORKDAYS($I14,FO14)</f>
        <v>566</v>
      </c>
      <c r="FU13" s="54">
        <f>NETWORKDAYS($I14,FP14)</f>
        <v>305</v>
      </c>
      <c r="FV13" s="54">
        <f>IF(FQ14="",NETWORKDAYS($I14,FP14),NETWORKDAYS($I14,FQ14))</f>
        <v>305</v>
      </c>
      <c r="FW13" s="55" t="s">
        <v>464</v>
      </c>
    </row>
    <row r="14" spans="1:311" x14ac:dyDescent="0.25">
      <c r="A14" s="23" t="s">
        <v>478</v>
      </c>
      <c r="B14" s="23">
        <v>132491</v>
      </c>
      <c r="C14" s="24" t="str">
        <f>VLOOKUP(B14,'[1]PM View-Mastersheet'!$A:$B,2,0)</f>
        <v>3074135-1</v>
      </c>
      <c r="D14" s="65"/>
      <c r="E14" s="23" t="str">
        <f>IF(D14="","Unknown",IF(D14&lt;=FM14+90,"Red",IF(AND(D14&gt;FM14+90,D14&lt;=FM14+180),"Yellow",IF(AND(D14&gt;FM14+180,D14&lt;=FM14+690),"Green","Covered"))))</f>
        <v>Unknown</v>
      </c>
      <c r="F14" s="25" t="s">
        <v>466</v>
      </c>
      <c r="G14" s="26"/>
      <c r="H14" s="26" t="str">
        <f>IF(CR14="","Pre-Execution","Execution")</f>
        <v>Execution</v>
      </c>
      <c r="I14" s="46">
        <v>45814</v>
      </c>
      <c r="J14" s="28"/>
      <c r="K14" s="28"/>
      <c r="L14" s="28"/>
      <c r="M14" s="10">
        <v>45853</v>
      </c>
      <c r="N14" s="10">
        <f>WORKDAY(I14,N13)</f>
        <v>45853</v>
      </c>
      <c r="O14" s="56">
        <v>45973</v>
      </c>
      <c r="P14" s="10">
        <v>45853</v>
      </c>
      <c r="Q14" s="10">
        <f>IF(O14="",WORKDAY(N14,Q13),WORKDAY(O14,Q13))</f>
        <v>45973</v>
      </c>
      <c r="R14" s="56">
        <v>45973</v>
      </c>
      <c r="S14" s="28"/>
      <c r="T14" s="28"/>
      <c r="U14" s="28"/>
      <c r="V14" s="10">
        <v>45895</v>
      </c>
      <c r="W14" s="10">
        <f>IF(R14="",WORKDAY(Q14,W13),WORKDAY(R14,W13))</f>
        <v>46015</v>
      </c>
      <c r="X14" s="56">
        <f>V14</f>
        <v>45895</v>
      </c>
      <c r="Y14" s="10">
        <v>45951</v>
      </c>
      <c r="Z14" s="10">
        <f>IF(R14="",WORKDAY(Q14,Z13),WORKDAY(R14,Z13))</f>
        <v>46071</v>
      </c>
      <c r="AA14" s="56"/>
      <c r="AB14" s="10">
        <v>45814</v>
      </c>
      <c r="AC14" s="10">
        <f>WORKDAY(I14,AC13)</f>
        <v>45814</v>
      </c>
      <c r="AD14" s="56"/>
      <c r="AE14" s="10">
        <v>45919</v>
      </c>
      <c r="AF14" s="10">
        <f>IF(AD14="",WORKDAY(AC14,AF13),WORKDAY(AD14,AF13))</f>
        <v>45919</v>
      </c>
      <c r="AG14" s="56">
        <v>45940</v>
      </c>
      <c r="AH14" s="10">
        <v>45958</v>
      </c>
      <c r="AI14" s="10">
        <f>WORKDAY(IF(AA14="",IF(Z14&gt;AF14,Z14,AF14),IF(AA14&gt;AG14,AA14,AG14)),AI13)</f>
        <v>46078</v>
      </c>
      <c r="AJ14" s="10">
        <f>WORKDAY(IF(AA14&gt;AG14,AA14,AG14),AJ13)</f>
        <v>45940</v>
      </c>
      <c r="AK14" s="10">
        <v>45986</v>
      </c>
      <c r="AL14" s="10">
        <f>IF(AJ14="",WORKDAY(AI14,AL13),WORKDAY(AJ14,AL13))</f>
        <v>45968</v>
      </c>
      <c r="AM14" s="10">
        <f>IF(AK14="",WORKDAY(AJ14,AM13),WORKDAY(AK14,AM13))</f>
        <v>45986</v>
      </c>
      <c r="AN14" s="10">
        <v>45986</v>
      </c>
      <c r="AO14" s="10">
        <v>45986</v>
      </c>
      <c r="AP14" s="10">
        <v>45986</v>
      </c>
      <c r="AQ14" s="10">
        <v>46014</v>
      </c>
      <c r="AR14" s="10">
        <v>46014</v>
      </c>
      <c r="AS14" s="56">
        <v>45940</v>
      </c>
      <c r="AT14" s="10">
        <v>45993</v>
      </c>
      <c r="AU14" s="10">
        <v>45993</v>
      </c>
      <c r="AV14" s="10">
        <v>45993</v>
      </c>
      <c r="AW14" s="10">
        <v>46028</v>
      </c>
      <c r="AX14" s="10">
        <f>IF(AS14="",IF(AR14&gt;AU14,WORKDAY(AR14,AX13),WORKDAY(AU14,AX13)),IF(AS14&gt;AV14,WORKDAY(AS14,AX13),WORKDAY(AV14,AX13)))</f>
        <v>46007</v>
      </c>
      <c r="AY14" s="10">
        <v>46028</v>
      </c>
      <c r="AZ14" s="10">
        <v>46028</v>
      </c>
      <c r="BA14" s="10">
        <f>IF(AP14="",WORKDAY(AO14,BA13),WORKDAY(AP14,BA13))</f>
        <v>46028</v>
      </c>
      <c r="BB14" s="56">
        <v>46028</v>
      </c>
      <c r="BC14" s="10">
        <v>46035</v>
      </c>
      <c r="BD14" s="10">
        <f>IF(AY14="",IF(AX14&gt;BA14,WORKDAY(AX14,BD13),WORKDAY(BA14,BD13)),IF(AY14&gt;BB14,WORKDAY(AY14,BD13),WORKDAY(BB14,BD13)))</f>
        <v>46035</v>
      </c>
      <c r="BE14" s="56">
        <v>46035</v>
      </c>
      <c r="BF14" s="10">
        <v>46042</v>
      </c>
      <c r="BG14" s="10">
        <f>IF(BE14="",WORKDAY(BD14,BG13),WORKDAY(BE14,BG13))</f>
        <v>46042</v>
      </c>
      <c r="BH14" s="56">
        <v>46042</v>
      </c>
      <c r="BI14" s="10">
        <v>46049</v>
      </c>
      <c r="BJ14" s="10">
        <f>IF(BH14="",WORKDAY(BG14,BJ13),WORKDAY(BH14,BJ13))</f>
        <v>46049</v>
      </c>
      <c r="BK14" s="56">
        <v>45814</v>
      </c>
      <c r="BL14" s="28"/>
      <c r="BM14" s="28"/>
      <c r="BN14" s="28"/>
      <c r="BO14" s="28"/>
      <c r="BP14" s="28"/>
      <c r="BQ14" s="28"/>
      <c r="BR14" s="28"/>
      <c r="BS14" s="28"/>
      <c r="BT14" s="28"/>
      <c r="BU14" s="28"/>
      <c r="BV14" s="28"/>
      <c r="BW14" s="28"/>
      <c r="BX14" s="46"/>
      <c r="BY14" s="28"/>
      <c r="BZ14" s="28"/>
      <c r="CA14" s="28"/>
      <c r="CB14" s="28"/>
      <c r="CC14" s="28"/>
      <c r="CD14" s="28"/>
      <c r="CE14" s="28"/>
      <c r="CF14" s="28"/>
      <c r="CG14" s="28"/>
      <c r="CH14" s="28"/>
      <c r="CI14" s="28"/>
      <c r="CJ14" s="28"/>
      <c r="CK14" s="28"/>
      <c r="CL14" s="28"/>
      <c r="CM14" s="10">
        <v>46052</v>
      </c>
      <c r="CN14" s="10">
        <f>IF(BK14="",WORKDAY(BJ14,CN13),WORKDAY(BK14,CN13))</f>
        <v>45819</v>
      </c>
      <c r="CO14" s="56">
        <v>46297</v>
      </c>
      <c r="CP14" s="10">
        <v>46059</v>
      </c>
      <c r="CQ14" s="10">
        <f>IF(CO14="",WORKDAY(CN14,CQ13),WORKDAY(CO14,CQ13))</f>
        <v>46304</v>
      </c>
      <c r="CR14" s="56">
        <v>46297</v>
      </c>
      <c r="CS14" s="77" t="s">
        <v>479</v>
      </c>
      <c r="CT14" s="10">
        <v>46465</v>
      </c>
      <c r="CU14" s="10">
        <f>IF(CR14="",WORKDAY(CQ14,CU13),WORKDAY(CR14,CU13))</f>
        <v>46465</v>
      </c>
      <c r="CV14" s="56">
        <v>46100</v>
      </c>
      <c r="CW14" s="10">
        <v>46042</v>
      </c>
      <c r="CX14" s="10">
        <f>IF(BB14="",WORKDAY(BA14,CX13),WORKDAY(BB14,CX13))</f>
        <v>46042</v>
      </c>
      <c r="CY14" s="56"/>
      <c r="CZ14" s="10">
        <v>46042</v>
      </c>
      <c r="DA14" s="10">
        <f>IF(CY14="",WORKDAY(CX14,DA13),WORKDAY(CY14,DA13))</f>
        <v>46042</v>
      </c>
      <c r="DB14" s="56">
        <v>46042</v>
      </c>
      <c r="DC14" s="45"/>
      <c r="DD14" s="45"/>
      <c r="DE14" s="45"/>
      <c r="DF14" s="10">
        <v>46493</v>
      </c>
      <c r="DG14" s="10">
        <f>IF($CV14="",IF($CU14&gt;$DA14,WORKDAY($CU14,DG13),WORKDAY($DA14,DG13)),IF($CV14&gt;$DB14,WORKDAY($CV14,DG13),WORKDAY($DB14,DG13)))</f>
        <v>46128</v>
      </c>
      <c r="DH14" s="56"/>
      <c r="DI14" s="46"/>
      <c r="DJ14" s="10">
        <v>46521</v>
      </c>
      <c r="DK14" s="10">
        <f>IF(DH14="",WORKDAY(DG14,DK13*$DI13),WORKDAY(DH14,DK13*$DI13))</f>
        <v>46156</v>
      </c>
      <c r="DL14" s="56"/>
      <c r="DM14" s="46"/>
      <c r="DN14" s="46"/>
      <c r="DO14" s="46"/>
      <c r="DP14" s="46"/>
      <c r="DQ14" s="46"/>
      <c r="DR14" s="46"/>
      <c r="DS14" s="46"/>
      <c r="DT14" s="46"/>
      <c r="DU14" s="46"/>
      <c r="DV14" s="46"/>
      <c r="DW14" s="46"/>
      <c r="DX14" s="46"/>
      <c r="DY14" s="46"/>
      <c r="DZ14" s="46"/>
      <c r="EA14" s="46"/>
      <c r="EB14" s="46"/>
      <c r="EC14" s="46"/>
      <c r="ED14" s="46"/>
      <c r="EE14" s="10">
        <v>46521</v>
      </c>
      <c r="EF14" s="10">
        <f>IF(DL14="",WORKDAY(DK14,EF13),WORKDAY(DL14,EF13))</f>
        <v>46156</v>
      </c>
      <c r="EG14" s="56"/>
      <c r="EH14" s="10">
        <v>46449</v>
      </c>
      <c r="EI14" s="10">
        <v>46449</v>
      </c>
      <c r="EJ14" s="56"/>
      <c r="EK14" s="27"/>
      <c r="EL14" s="27"/>
      <c r="EM14" s="27"/>
      <c r="EN14" s="27"/>
      <c r="EO14" s="28"/>
      <c r="EP14" s="28"/>
      <c r="EQ14" s="28"/>
      <c r="ER14" s="28"/>
      <c r="ES14" s="28"/>
      <c r="ET14" s="28"/>
      <c r="EU14" s="28"/>
      <c r="EV14" s="28"/>
      <c r="EW14" s="28"/>
      <c r="EX14" s="28"/>
      <c r="EY14" s="28"/>
      <c r="EZ14" s="10">
        <v>46528</v>
      </c>
      <c r="FA14" s="10">
        <f>IF(EG14="",WORKDAY(EF14,FA13),WORKDAY(EG14,FA13))</f>
        <v>46163</v>
      </c>
      <c r="FB14" s="56"/>
      <c r="FC14" s="28"/>
      <c r="FD14" s="28"/>
      <c r="FE14" s="28"/>
      <c r="FF14" s="28"/>
      <c r="FG14" s="28"/>
      <c r="FH14" s="28"/>
      <c r="FI14" s="10">
        <v>46549</v>
      </c>
      <c r="FJ14" s="10">
        <f>IF(FB14="",WORKDAY(FA14,FJ13),WORKDAY(FB14,FJ13))</f>
        <v>46184</v>
      </c>
      <c r="FK14" s="56"/>
      <c r="FL14" s="10">
        <v>46549</v>
      </c>
      <c r="FM14" s="10">
        <f>IF(FK14="",WORKDAY(FJ14,FM13),WORKDAY(FK14,FM13))</f>
        <v>46184</v>
      </c>
      <c r="FN14" s="56"/>
      <c r="FO14" s="10">
        <v>46605</v>
      </c>
      <c r="FP14" s="10">
        <f>WORKDAY(FM14,FP13)</f>
        <v>46240</v>
      </c>
      <c r="FQ14" s="56"/>
      <c r="FR14" s="77" t="str">
        <f>IF(NETWORKDAYS(FJ14,FO14)&gt;=30,"On-Track",IF(AND(NETWORKDAYS(FJ14,FO14)&lt;30,FJ14&lt;=FO14),"At Risk","Missed TCD"))</f>
        <v>On-Track</v>
      </c>
      <c r="FS14" s="110" t="s">
        <v>480</v>
      </c>
      <c r="FT14" s="57">
        <f>NETWORKDAYS(CP14,FI14)</f>
        <v>351</v>
      </c>
      <c r="FU14" s="57">
        <f>NETWORKDAYS(CQ14,FJ14)</f>
        <v>-87</v>
      </c>
      <c r="FV14" s="57">
        <f>IF(BH14="",NETWORKDAYS(BG14,FJ14),IF(FK14="",NETWORKDAYS(BH14,FJ14),NETWORKDAYS(BH14,FK14)))</f>
        <v>103</v>
      </c>
      <c r="FW14" s="58" t="s">
        <v>467</v>
      </c>
    </row>
    <row r="15" spans="1:311" outlineLevel="1" x14ac:dyDescent="0.25">
      <c r="A15" s="23" t="s">
        <v>478</v>
      </c>
      <c r="B15" s="23">
        <v>132498</v>
      </c>
      <c r="C15" s="24" t="str">
        <f>VLOOKUP(B15,'[1]PM View-Mastersheet'!$A:$B,2,0)</f>
        <v>3060735-1</v>
      </c>
      <c r="D15" s="95"/>
      <c r="E15" s="24"/>
      <c r="F15" s="25" t="s">
        <v>463</v>
      </c>
      <c r="G15" s="26"/>
      <c r="H15" s="26"/>
      <c r="I15" s="27"/>
      <c r="J15" s="27"/>
      <c r="K15" s="27"/>
      <c r="L15" s="27"/>
      <c r="M15" s="4">
        <v>27</v>
      </c>
      <c r="N15" s="4">
        <v>27</v>
      </c>
      <c r="O15" s="27"/>
      <c r="P15" s="4">
        <v>0</v>
      </c>
      <c r="Q15" s="4">
        <v>0</v>
      </c>
      <c r="R15" s="27"/>
      <c r="S15" s="27"/>
      <c r="T15" s="27"/>
      <c r="U15" s="27"/>
      <c r="V15" s="4">
        <v>30</v>
      </c>
      <c r="W15" s="4">
        <v>30</v>
      </c>
      <c r="X15" s="27"/>
      <c r="Y15" s="4">
        <v>70</v>
      </c>
      <c r="Z15" s="4">
        <v>70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45993</v>
      </c>
      <c r="AV15" s="27">
        <v>45993</v>
      </c>
      <c r="AW15" s="4">
        <v>10</v>
      </c>
      <c r="AX15" s="4">
        <v>10</v>
      </c>
      <c r="AY15" s="27">
        <v>46028</v>
      </c>
      <c r="AZ15" s="4">
        <v>30</v>
      </c>
      <c r="BA15" s="4">
        <v>30</v>
      </c>
      <c r="BB15" s="27">
        <v>46028</v>
      </c>
      <c r="BC15" s="4">
        <v>5</v>
      </c>
      <c r="BD15" s="4">
        <v>5</v>
      </c>
      <c r="BE15" s="27">
        <v>46035</v>
      </c>
      <c r="BF15" s="4">
        <v>5</v>
      </c>
      <c r="BG15" s="4">
        <v>5</v>
      </c>
      <c r="BH15" s="27">
        <v>46042</v>
      </c>
      <c r="BI15" s="4">
        <v>5</v>
      </c>
      <c r="BJ15" s="4">
        <v>5</v>
      </c>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4">
        <v>3</v>
      </c>
      <c r="CN15" s="4">
        <v>3</v>
      </c>
      <c r="CO15" s="27"/>
      <c r="CP15" s="4">
        <v>5</v>
      </c>
      <c r="CQ15" s="4">
        <v>5</v>
      </c>
      <c r="CR15" s="27"/>
      <c r="CS15" s="27"/>
      <c r="CT15" s="5">
        <v>120</v>
      </c>
      <c r="CU15" s="5">
        <v>120</v>
      </c>
      <c r="CV15" s="27">
        <v>46465</v>
      </c>
      <c r="CW15" s="5">
        <v>10</v>
      </c>
      <c r="CX15" s="5">
        <v>10</v>
      </c>
      <c r="CY15" s="27"/>
      <c r="CZ15" s="5">
        <v>0</v>
      </c>
      <c r="DA15" s="5">
        <v>0</v>
      </c>
      <c r="DB15" s="27">
        <v>46042</v>
      </c>
      <c r="DC15" s="31"/>
      <c r="DD15" s="31"/>
      <c r="DE15" s="31"/>
      <c r="DF15" s="4">
        <v>20</v>
      </c>
      <c r="DG15" s="4">
        <v>20</v>
      </c>
      <c r="DH15" s="27">
        <v>46493</v>
      </c>
      <c r="DI15" s="89">
        <v>1</v>
      </c>
      <c r="DJ15" s="4">
        <v>20</v>
      </c>
      <c r="DK15" s="4">
        <v>20</v>
      </c>
      <c r="DL15" s="27">
        <v>46521</v>
      </c>
      <c r="DM15" s="27"/>
      <c r="DN15" s="27"/>
      <c r="DO15" s="27"/>
      <c r="DP15" s="27"/>
      <c r="DQ15" s="27"/>
      <c r="DR15" s="27"/>
      <c r="DS15" s="27"/>
      <c r="DT15" s="27"/>
      <c r="DU15" s="27"/>
      <c r="DV15" s="27"/>
      <c r="DW15" s="27"/>
      <c r="DX15" s="27"/>
      <c r="DY15" s="27"/>
      <c r="DZ15" s="27"/>
      <c r="EA15" s="27"/>
      <c r="EB15" s="27"/>
      <c r="EC15" s="27"/>
      <c r="ED15" s="27"/>
      <c r="EE15" s="4">
        <v>0</v>
      </c>
      <c r="EF15" s="4">
        <v>0</v>
      </c>
      <c r="EG15" s="27">
        <v>46521</v>
      </c>
      <c r="EH15" s="4">
        <v>30</v>
      </c>
      <c r="EI15" s="4">
        <v>30</v>
      </c>
      <c r="EJ15" s="27">
        <v>46084</v>
      </c>
      <c r="EK15" s="27"/>
      <c r="EL15" s="27"/>
      <c r="EM15" s="27"/>
      <c r="EN15" s="27"/>
      <c r="EO15" s="27"/>
      <c r="EP15" s="27"/>
      <c r="EQ15" s="27"/>
      <c r="ER15" s="27"/>
      <c r="ES15" s="27"/>
      <c r="ET15" s="27"/>
      <c r="EU15" s="27"/>
      <c r="EV15" s="27"/>
      <c r="EW15" s="27"/>
      <c r="EX15" s="27"/>
      <c r="EY15" s="27"/>
      <c r="EZ15" s="4">
        <v>5</v>
      </c>
      <c r="FA15" s="4">
        <v>5</v>
      </c>
      <c r="FB15" s="27">
        <v>46528</v>
      </c>
      <c r="FC15" s="27"/>
      <c r="FD15" s="27"/>
      <c r="FE15" s="27"/>
      <c r="FF15" s="27"/>
      <c r="FG15" s="27"/>
      <c r="FH15" s="27"/>
      <c r="FI15" s="4">
        <v>15</v>
      </c>
      <c r="FJ15" s="4">
        <v>15</v>
      </c>
      <c r="FK15" s="27">
        <v>46549</v>
      </c>
      <c r="FL15" s="4">
        <v>0</v>
      </c>
      <c r="FM15" s="4">
        <v>0</v>
      </c>
      <c r="FN15" s="27">
        <v>46549</v>
      </c>
      <c r="FO15" s="4">
        <v>40</v>
      </c>
      <c r="FP15" s="4">
        <v>40</v>
      </c>
      <c r="FQ15" s="27">
        <v>46605</v>
      </c>
      <c r="FR15" s="27"/>
      <c r="FS15" s="109"/>
      <c r="FT15" s="54">
        <f>NETWORKDAYS($I16,FO16)</f>
        <v>566</v>
      </c>
      <c r="FU15" s="54">
        <f>NETWORKDAYS($I16,FP16)</f>
        <v>305</v>
      </c>
      <c r="FV15" s="54">
        <f>IF(FQ16="",NETWORKDAYS($I16,FP16),NETWORKDAYS($I16,FQ16))</f>
        <v>305</v>
      </c>
      <c r="FW15" s="55" t="s">
        <v>464</v>
      </c>
    </row>
    <row r="16" spans="1:311" x14ac:dyDescent="0.25">
      <c r="A16" s="23" t="s">
        <v>478</v>
      </c>
      <c r="B16" s="23">
        <v>132498</v>
      </c>
      <c r="C16" s="24" t="str">
        <f>VLOOKUP(B16,'[1]PM View-Mastersheet'!$A:$B,2,0)</f>
        <v>3060735-1</v>
      </c>
      <c r="D16" s="65"/>
      <c r="E16" s="23" t="str">
        <f>IF(D16="","Unknown",IF(D16&lt;=FM16+90,"Red",IF(AND(D16&gt;FM16+90,D16&lt;=FM16+180),"Yellow",IF(AND(D16&gt;FM16+180,D16&lt;=FM16+690),"Green","Covered"))))</f>
        <v>Unknown</v>
      </c>
      <c r="F16" s="25" t="s">
        <v>466</v>
      </c>
      <c r="G16" s="26"/>
      <c r="H16" s="26" t="str">
        <f>IF(CR16="","Pre-Execution","Execution")</f>
        <v>Execution</v>
      </c>
      <c r="I16" s="46">
        <v>45814</v>
      </c>
      <c r="J16" s="28"/>
      <c r="K16" s="28"/>
      <c r="L16" s="28"/>
      <c r="M16" s="10">
        <v>45853</v>
      </c>
      <c r="N16" s="10">
        <f>WORKDAY(I16,N15)</f>
        <v>45853</v>
      </c>
      <c r="O16" s="56">
        <v>45973</v>
      </c>
      <c r="P16" s="10">
        <v>45853</v>
      </c>
      <c r="Q16" s="10">
        <f>IF(O16="",WORKDAY(N16,Q15),WORKDAY(O16,Q15))</f>
        <v>45973</v>
      </c>
      <c r="R16" s="56">
        <v>45973</v>
      </c>
      <c r="S16" s="28"/>
      <c r="T16" s="28"/>
      <c r="U16" s="28"/>
      <c r="V16" s="10">
        <v>45895</v>
      </c>
      <c r="W16" s="10">
        <f>IF(R16="",WORKDAY(Q16,W15),WORKDAY(R16,W15))</f>
        <v>46015</v>
      </c>
      <c r="X16" s="56">
        <f>V16</f>
        <v>45895</v>
      </c>
      <c r="Y16" s="10">
        <v>45951</v>
      </c>
      <c r="Z16" s="10">
        <f>IF(R16="",WORKDAY(Q16,Z15),WORKDAY(R16,Z15))</f>
        <v>46071</v>
      </c>
      <c r="AA16" s="56"/>
      <c r="AB16" s="10">
        <v>45814</v>
      </c>
      <c r="AC16" s="10">
        <f>WORKDAY(I16,AC15)</f>
        <v>45814</v>
      </c>
      <c r="AD16" s="56"/>
      <c r="AE16" s="10">
        <v>45919</v>
      </c>
      <c r="AF16" s="10">
        <f>IF(AD16="",WORKDAY(AC16,AF15),WORKDAY(AD16,AF15))</f>
        <v>45919</v>
      </c>
      <c r="AG16" s="56">
        <v>45940</v>
      </c>
      <c r="AH16" s="10">
        <v>45958</v>
      </c>
      <c r="AI16" s="10">
        <f>WORKDAY(IF(AA16="",IF(Z16&gt;AF16,Z16,AF16),IF(AA16&gt;AG16,AA16,AG16)),AI15)</f>
        <v>46078</v>
      </c>
      <c r="AJ16" s="10">
        <f>WORKDAY(IF(AA16&gt;AG16,AA16,AG16),AJ15)</f>
        <v>45940</v>
      </c>
      <c r="AK16" s="10">
        <v>45986</v>
      </c>
      <c r="AL16" s="10">
        <f>IF(AJ16="",WORKDAY(AI16,AL15),WORKDAY(AJ16,AL15))</f>
        <v>45968</v>
      </c>
      <c r="AM16" s="10">
        <f>IF(AK16="",WORKDAY(AJ16,AM15),WORKDAY(AK16,AM15))</f>
        <v>45986</v>
      </c>
      <c r="AN16" s="10">
        <v>45986</v>
      </c>
      <c r="AO16" s="10">
        <v>45986</v>
      </c>
      <c r="AP16" s="10">
        <v>45986</v>
      </c>
      <c r="AQ16" s="10">
        <v>46014</v>
      </c>
      <c r="AR16" s="10">
        <v>46014</v>
      </c>
      <c r="AS16" s="56">
        <v>45940</v>
      </c>
      <c r="AT16" s="10">
        <v>45993</v>
      </c>
      <c r="AU16" s="10">
        <v>45993</v>
      </c>
      <c r="AV16" s="10">
        <v>45993</v>
      </c>
      <c r="AW16" s="10">
        <v>46028</v>
      </c>
      <c r="AX16" s="10">
        <f>IF(AS16="",IF(AR16&gt;AU16,WORKDAY(AR16,AX15),WORKDAY(AU16,AX15)),IF(AS16&gt;AV16,WORKDAY(AS16,AX15),WORKDAY(AV16,AX15)))</f>
        <v>46007</v>
      </c>
      <c r="AY16" s="10">
        <v>46028</v>
      </c>
      <c r="AZ16" s="10">
        <v>46028</v>
      </c>
      <c r="BA16" s="10">
        <f>IF(AP16="",WORKDAY(AO16,BA15),WORKDAY(AP16,BA15))</f>
        <v>46028</v>
      </c>
      <c r="BB16" s="56">
        <v>46028</v>
      </c>
      <c r="BC16" s="10">
        <v>46035</v>
      </c>
      <c r="BD16" s="10">
        <f>IF(AY16="",IF(AX16&gt;BA16,WORKDAY(AX16,BD15),WORKDAY(BA16,BD15)),IF(AY16&gt;BB16,WORKDAY(AY16,BD15),WORKDAY(BB16,BD15)))</f>
        <v>46035</v>
      </c>
      <c r="BE16" s="56">
        <v>46035</v>
      </c>
      <c r="BF16" s="10">
        <v>46042</v>
      </c>
      <c r="BG16" s="10">
        <f>IF(BE16="",WORKDAY(BD16,BG15),WORKDAY(BE16,BG15))</f>
        <v>46042</v>
      </c>
      <c r="BH16" s="56">
        <v>46042</v>
      </c>
      <c r="BI16" s="10">
        <v>46049</v>
      </c>
      <c r="BJ16" s="10">
        <f>IF(BH16="",WORKDAY(BG16,BJ15),WORKDAY(BH16,BJ15))</f>
        <v>46049</v>
      </c>
      <c r="BK16" s="56">
        <v>45814</v>
      </c>
      <c r="BL16" s="28"/>
      <c r="BM16" s="28"/>
      <c r="BN16" s="28"/>
      <c r="BO16" s="28"/>
      <c r="BP16" s="28"/>
      <c r="BQ16" s="28"/>
      <c r="BR16" s="28"/>
      <c r="BS16" s="28"/>
      <c r="BT16" s="28"/>
      <c r="BU16" s="28"/>
      <c r="BV16" s="28"/>
      <c r="BW16" s="28"/>
      <c r="BX16" s="46"/>
      <c r="BY16" s="28"/>
      <c r="BZ16" s="28"/>
      <c r="CA16" s="28"/>
      <c r="CB16" s="28"/>
      <c r="CC16" s="28"/>
      <c r="CD16" s="28"/>
      <c r="CE16" s="28"/>
      <c r="CF16" s="28"/>
      <c r="CG16" s="28"/>
      <c r="CH16" s="28"/>
      <c r="CI16" s="28"/>
      <c r="CJ16" s="28"/>
      <c r="CK16" s="28"/>
      <c r="CL16" s="28"/>
      <c r="CM16" s="10">
        <v>46052</v>
      </c>
      <c r="CN16" s="10">
        <f>IF(BK16="",WORKDAY(BJ16,CN15),WORKDAY(BK16,CN15))</f>
        <v>45819</v>
      </c>
      <c r="CO16" s="56">
        <v>46297</v>
      </c>
      <c r="CP16" s="10">
        <v>46059</v>
      </c>
      <c r="CQ16" s="10">
        <f>IF(CO16="",WORKDAY(CN16,CQ15),WORKDAY(CO16,CQ15))</f>
        <v>46304</v>
      </c>
      <c r="CR16" s="56">
        <v>46297</v>
      </c>
      <c r="CS16" s="77" t="s">
        <v>479</v>
      </c>
      <c r="CT16" s="10">
        <v>46465</v>
      </c>
      <c r="CU16" s="10">
        <f>IF(CR16="",WORKDAY(CQ16,CU15),WORKDAY(CR16,CU15))</f>
        <v>46465</v>
      </c>
      <c r="CV16" s="56">
        <v>46100</v>
      </c>
      <c r="CW16" s="10">
        <v>46042</v>
      </c>
      <c r="CX16" s="10">
        <f>IF(BB16="",WORKDAY(BA16,CX15),WORKDAY(BB16,CX15))</f>
        <v>46042</v>
      </c>
      <c r="CY16" s="56"/>
      <c r="CZ16" s="10">
        <v>46042</v>
      </c>
      <c r="DA16" s="10">
        <f>IF(CY16="",WORKDAY(CX16,DA15),WORKDAY(CY16,DA15))</f>
        <v>46042</v>
      </c>
      <c r="DB16" s="56">
        <v>46042</v>
      </c>
      <c r="DC16" s="45"/>
      <c r="DD16" s="45"/>
      <c r="DE16" s="45"/>
      <c r="DF16" s="10">
        <v>46493</v>
      </c>
      <c r="DG16" s="10">
        <f>IF($CV16="",IF($CU16&gt;$DA16,WORKDAY($CU16,DG15),WORKDAY($DA16,DG15)),IF($CV16&gt;$DB16,WORKDAY($CV16,DG15),WORKDAY($DB16,DG15)))</f>
        <v>46128</v>
      </c>
      <c r="DH16" s="56"/>
      <c r="DI16" s="46"/>
      <c r="DJ16" s="10">
        <v>46521</v>
      </c>
      <c r="DK16" s="10">
        <f>IF(DH16="",WORKDAY(DG16,DK15*$DI15),WORKDAY(DH16,DK15*$DI15))</f>
        <v>46156</v>
      </c>
      <c r="DL16" s="56"/>
      <c r="DM16" s="46"/>
      <c r="DN16" s="46"/>
      <c r="DO16" s="46"/>
      <c r="DP16" s="46"/>
      <c r="DQ16" s="46"/>
      <c r="DR16" s="46"/>
      <c r="DS16" s="46"/>
      <c r="DT16" s="46"/>
      <c r="DU16" s="46"/>
      <c r="DV16" s="46"/>
      <c r="DW16" s="46"/>
      <c r="DX16" s="46"/>
      <c r="DY16" s="46"/>
      <c r="DZ16" s="46"/>
      <c r="EA16" s="46"/>
      <c r="EB16" s="46"/>
      <c r="EC16" s="46"/>
      <c r="ED16" s="46"/>
      <c r="EE16" s="10">
        <v>46521</v>
      </c>
      <c r="EF16" s="10">
        <f>IF(DL16="",WORKDAY(DK16,EF15),WORKDAY(DL16,EF15))</f>
        <v>46156</v>
      </c>
      <c r="EG16" s="56"/>
      <c r="EH16" s="10">
        <v>46449</v>
      </c>
      <c r="EI16" s="10">
        <v>46449</v>
      </c>
      <c r="EJ16" s="56"/>
      <c r="EK16" s="27"/>
      <c r="EL16" s="27"/>
      <c r="EM16" s="27"/>
      <c r="EN16" s="27"/>
      <c r="EO16" s="28"/>
      <c r="EP16" s="28"/>
      <c r="EQ16" s="28"/>
      <c r="ER16" s="28"/>
      <c r="ES16" s="28"/>
      <c r="ET16" s="28"/>
      <c r="EU16" s="28"/>
      <c r="EV16" s="28"/>
      <c r="EW16" s="28"/>
      <c r="EX16" s="28"/>
      <c r="EY16" s="28"/>
      <c r="EZ16" s="10">
        <v>46528</v>
      </c>
      <c r="FA16" s="10">
        <f>IF(EG16="",WORKDAY(EF16,FA15),WORKDAY(EG16,FA15))</f>
        <v>46163</v>
      </c>
      <c r="FB16" s="56"/>
      <c r="FC16" s="28"/>
      <c r="FD16" s="28"/>
      <c r="FE16" s="28"/>
      <c r="FF16" s="28"/>
      <c r="FG16" s="28"/>
      <c r="FH16" s="28"/>
      <c r="FI16" s="10">
        <v>46549</v>
      </c>
      <c r="FJ16" s="10">
        <f>IF(FB16="",WORKDAY(FA16,FJ15),WORKDAY(FB16,FJ15))</f>
        <v>46184</v>
      </c>
      <c r="FK16" s="56"/>
      <c r="FL16" s="10">
        <v>46549</v>
      </c>
      <c r="FM16" s="10">
        <f>IF(FK16="",WORKDAY(FJ16,FM15),WORKDAY(FK16,FM15))</f>
        <v>46184</v>
      </c>
      <c r="FN16" s="56"/>
      <c r="FO16" s="10">
        <v>46605</v>
      </c>
      <c r="FP16" s="10">
        <f>WORKDAY(FM16,FP15)</f>
        <v>46240</v>
      </c>
      <c r="FQ16" s="56"/>
      <c r="FR16" s="77" t="str">
        <f>IF(NETWORKDAYS(FJ16,FO16)&gt;=30,"On-Track",IF(AND(NETWORKDAYS(FJ16,FO16)&lt;30,FJ16&lt;=FO16),"At Risk","Missed TCD"))</f>
        <v>On-Track</v>
      </c>
      <c r="FS16" s="110" t="s">
        <v>480</v>
      </c>
      <c r="FT16" s="57">
        <f>NETWORKDAYS(CP16,FI16)</f>
        <v>351</v>
      </c>
      <c r="FU16" s="57">
        <f>NETWORKDAYS(CQ16,FJ16)</f>
        <v>-87</v>
      </c>
      <c r="FV16" s="57">
        <f>IF(BH16="",NETWORKDAYS(BG16,FJ16),IF(FK16="",NETWORKDAYS(BH16,FJ16),NETWORKDAYS(BH16,FK16)))</f>
        <v>103</v>
      </c>
      <c r="FW16" s="58" t="s">
        <v>467</v>
      </c>
    </row>
    <row r="17" spans="1:179" outlineLevel="1" x14ac:dyDescent="0.25">
      <c r="A17" s="23" t="s">
        <v>478</v>
      </c>
      <c r="B17" s="23">
        <v>132509</v>
      </c>
      <c r="C17" s="24" t="str">
        <f>VLOOKUP(B17,'[1]PM View-Mastersheet'!$A:$B,2,0)</f>
        <v>3102476-2</v>
      </c>
      <c r="D17" s="95"/>
      <c r="E17" s="24"/>
      <c r="F17" s="25" t="s">
        <v>463</v>
      </c>
      <c r="G17" s="26"/>
      <c r="H17" s="26"/>
      <c r="I17" s="27"/>
      <c r="J17" s="27"/>
      <c r="K17" s="27"/>
      <c r="L17" s="27"/>
      <c r="M17" s="4">
        <v>27</v>
      </c>
      <c r="N17" s="4">
        <v>27</v>
      </c>
      <c r="O17" s="27"/>
      <c r="P17" s="4">
        <v>0</v>
      </c>
      <c r="Q17" s="4">
        <v>0</v>
      </c>
      <c r="R17" s="27"/>
      <c r="S17" s="27"/>
      <c r="T17" s="27"/>
      <c r="U17" s="27"/>
      <c r="V17" s="4">
        <v>30</v>
      </c>
      <c r="W17" s="4">
        <v>30</v>
      </c>
      <c r="X17" s="27"/>
      <c r="Y17" s="4">
        <v>70</v>
      </c>
      <c r="Z17" s="4">
        <v>70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45993</v>
      </c>
      <c r="AV17" s="27">
        <v>45993</v>
      </c>
      <c r="AW17" s="4">
        <v>10</v>
      </c>
      <c r="AX17" s="4">
        <v>10</v>
      </c>
      <c r="AY17" s="27">
        <v>46028</v>
      </c>
      <c r="AZ17" s="4">
        <v>30</v>
      </c>
      <c r="BA17" s="4">
        <v>30</v>
      </c>
      <c r="BB17" s="27">
        <v>46028</v>
      </c>
      <c r="BC17" s="4">
        <v>5</v>
      </c>
      <c r="BD17" s="4">
        <v>5</v>
      </c>
      <c r="BE17" s="27">
        <v>46035</v>
      </c>
      <c r="BF17" s="4">
        <v>5</v>
      </c>
      <c r="BG17" s="4">
        <v>5</v>
      </c>
      <c r="BH17" s="27">
        <v>46042</v>
      </c>
      <c r="BI17" s="4">
        <v>5</v>
      </c>
      <c r="BJ17" s="4">
        <v>5</v>
      </c>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4">
        <v>3</v>
      </c>
      <c r="CN17" s="4">
        <v>3</v>
      </c>
      <c r="CO17" s="27"/>
      <c r="CP17" s="4">
        <v>5</v>
      </c>
      <c r="CQ17" s="4">
        <v>5</v>
      </c>
      <c r="CR17" s="27"/>
      <c r="CS17" s="27"/>
      <c r="CT17" s="5">
        <v>120</v>
      </c>
      <c r="CU17" s="5">
        <v>120</v>
      </c>
      <c r="CV17" s="27">
        <v>46465</v>
      </c>
      <c r="CW17" s="5">
        <v>10</v>
      </c>
      <c r="CX17" s="5">
        <v>10</v>
      </c>
      <c r="CY17" s="27"/>
      <c r="CZ17" s="5">
        <v>0</v>
      </c>
      <c r="DA17" s="5">
        <v>0</v>
      </c>
      <c r="DB17" s="27">
        <v>46042</v>
      </c>
      <c r="DC17" s="31"/>
      <c r="DD17" s="31"/>
      <c r="DE17" s="31"/>
      <c r="DF17" s="4">
        <v>20</v>
      </c>
      <c r="DG17" s="4">
        <v>20</v>
      </c>
      <c r="DH17" s="27">
        <v>46493</v>
      </c>
      <c r="DI17" s="89">
        <v>1</v>
      </c>
      <c r="DJ17" s="4">
        <v>20</v>
      </c>
      <c r="DK17" s="4">
        <v>20</v>
      </c>
      <c r="DL17" s="27">
        <v>46521</v>
      </c>
      <c r="DM17" s="27"/>
      <c r="DN17" s="27"/>
      <c r="DO17" s="27"/>
      <c r="DP17" s="27"/>
      <c r="DQ17" s="27"/>
      <c r="DR17" s="27"/>
      <c r="DS17" s="27"/>
      <c r="DT17" s="27"/>
      <c r="DU17" s="27"/>
      <c r="DV17" s="27"/>
      <c r="DW17" s="27"/>
      <c r="DX17" s="27"/>
      <c r="DY17" s="27"/>
      <c r="DZ17" s="27"/>
      <c r="EA17" s="27"/>
      <c r="EB17" s="27"/>
      <c r="EC17" s="27"/>
      <c r="ED17" s="27"/>
      <c r="EE17" s="4">
        <v>0</v>
      </c>
      <c r="EF17" s="4">
        <v>0</v>
      </c>
      <c r="EG17" s="27">
        <v>46521</v>
      </c>
      <c r="EH17" s="4">
        <v>30</v>
      </c>
      <c r="EI17" s="4">
        <v>30</v>
      </c>
      <c r="EJ17" s="27">
        <v>46084</v>
      </c>
      <c r="EK17" s="27"/>
      <c r="EL17" s="27"/>
      <c r="EM17" s="27"/>
      <c r="EN17" s="27"/>
      <c r="EO17" s="27"/>
      <c r="EP17" s="27"/>
      <c r="EQ17" s="27"/>
      <c r="ER17" s="27"/>
      <c r="ES17" s="27"/>
      <c r="ET17" s="27"/>
      <c r="EU17" s="27"/>
      <c r="EV17" s="27"/>
      <c r="EW17" s="27"/>
      <c r="EX17" s="27"/>
      <c r="EY17" s="27"/>
      <c r="EZ17" s="4">
        <v>5</v>
      </c>
      <c r="FA17" s="4">
        <v>5</v>
      </c>
      <c r="FB17" s="27">
        <v>46528</v>
      </c>
      <c r="FC17" s="27"/>
      <c r="FD17" s="27"/>
      <c r="FE17" s="27"/>
      <c r="FF17" s="27"/>
      <c r="FG17" s="27"/>
      <c r="FH17" s="27"/>
      <c r="FI17" s="4">
        <v>15</v>
      </c>
      <c r="FJ17" s="4">
        <v>15</v>
      </c>
      <c r="FK17" s="27">
        <v>46549</v>
      </c>
      <c r="FL17" s="4">
        <v>0</v>
      </c>
      <c r="FM17" s="4">
        <v>0</v>
      </c>
      <c r="FN17" s="27">
        <v>46549</v>
      </c>
      <c r="FO17" s="4">
        <v>40</v>
      </c>
      <c r="FP17" s="4">
        <v>40</v>
      </c>
      <c r="FQ17" s="27">
        <v>46605</v>
      </c>
      <c r="FR17" s="27"/>
      <c r="FS17" s="109"/>
      <c r="FT17" s="54">
        <f>NETWORKDAYS($I18,FO18)</f>
        <v>566</v>
      </c>
      <c r="FU17" s="54">
        <f>NETWORKDAYS($I18,FP18)</f>
        <v>305</v>
      </c>
      <c r="FV17" s="54">
        <f>IF(FQ18="",NETWORKDAYS($I18,FP18),NETWORKDAYS($I18,FQ18))</f>
        <v>305</v>
      </c>
      <c r="FW17" s="55" t="s">
        <v>464</v>
      </c>
    </row>
    <row r="18" spans="1:179" x14ac:dyDescent="0.25">
      <c r="A18" s="23" t="s">
        <v>478</v>
      </c>
      <c r="B18" s="23">
        <v>132509</v>
      </c>
      <c r="C18" s="24" t="str">
        <f>VLOOKUP(B18,'[1]PM View-Mastersheet'!$A:$B,2,0)</f>
        <v>3102476-2</v>
      </c>
      <c r="D18" s="65"/>
      <c r="E18" s="23" t="str">
        <f>IF(D18="","Unknown",IF(D18&lt;=FM18+90,"Red",IF(AND(D18&gt;FM18+90,D18&lt;=FM18+180),"Yellow",IF(AND(D18&gt;FM18+180,D18&lt;=FM18+690),"Green","Covered"))))</f>
        <v>Unknown</v>
      </c>
      <c r="F18" s="25" t="s">
        <v>466</v>
      </c>
      <c r="G18" s="26"/>
      <c r="H18" s="26" t="str">
        <f>IF(CR18="","Pre-Execution","Execution")</f>
        <v>Execution</v>
      </c>
      <c r="I18" s="46">
        <v>45814</v>
      </c>
      <c r="J18" s="28"/>
      <c r="K18" s="28"/>
      <c r="L18" s="28"/>
      <c r="M18" s="10">
        <v>45853</v>
      </c>
      <c r="N18" s="10">
        <f>WORKDAY(I18,N17)</f>
        <v>45853</v>
      </c>
      <c r="O18" s="56">
        <v>45973</v>
      </c>
      <c r="P18" s="10">
        <v>45853</v>
      </c>
      <c r="Q18" s="10">
        <f>IF(O18="",WORKDAY(N18,Q17),WORKDAY(O18,Q17))</f>
        <v>45973</v>
      </c>
      <c r="R18" s="56">
        <v>45973</v>
      </c>
      <c r="S18" s="28"/>
      <c r="T18" s="28"/>
      <c r="U18" s="28"/>
      <c r="V18" s="10">
        <v>45895</v>
      </c>
      <c r="W18" s="10">
        <f>IF(R18="",WORKDAY(Q18,W17),WORKDAY(R18,W17))</f>
        <v>46015</v>
      </c>
      <c r="X18" s="56">
        <f>V18</f>
        <v>45895</v>
      </c>
      <c r="Y18" s="10">
        <v>45951</v>
      </c>
      <c r="Z18" s="10">
        <f>IF(R18="",WORKDAY(Q18,Z17),WORKDAY(R18,Z17))</f>
        <v>46071</v>
      </c>
      <c r="AA18" s="56"/>
      <c r="AB18" s="10">
        <v>45814</v>
      </c>
      <c r="AC18" s="10">
        <f>WORKDAY(I18,AC17)</f>
        <v>45814</v>
      </c>
      <c r="AD18" s="56"/>
      <c r="AE18" s="10">
        <v>45919</v>
      </c>
      <c r="AF18" s="10">
        <f>IF(AD18="",WORKDAY(AC18,AF17),WORKDAY(AD18,AF17))</f>
        <v>45919</v>
      </c>
      <c r="AG18" s="56">
        <v>45940</v>
      </c>
      <c r="AH18" s="10">
        <v>45958</v>
      </c>
      <c r="AI18" s="10">
        <f>WORKDAY(IF(AA18="",IF(Z18&gt;AF18,Z18,AF18),IF(AA18&gt;AG18,AA18,AG18)),AI17)</f>
        <v>46078</v>
      </c>
      <c r="AJ18" s="10">
        <f>WORKDAY(IF(AA18&gt;AG18,AA18,AG18),AJ17)</f>
        <v>45940</v>
      </c>
      <c r="AK18" s="10">
        <v>45986</v>
      </c>
      <c r="AL18" s="10">
        <f>IF(AJ18="",WORKDAY(AI18,AL17),WORKDAY(AJ18,AL17))</f>
        <v>45968</v>
      </c>
      <c r="AM18" s="10">
        <f>IF(AK18="",WORKDAY(AJ18,AM17),WORKDAY(AK18,AM17))</f>
        <v>45986</v>
      </c>
      <c r="AN18" s="10">
        <v>45986</v>
      </c>
      <c r="AO18" s="10">
        <v>45986</v>
      </c>
      <c r="AP18" s="10">
        <v>45986</v>
      </c>
      <c r="AQ18" s="10">
        <v>46014</v>
      </c>
      <c r="AR18" s="10">
        <v>46014</v>
      </c>
      <c r="AS18" s="56">
        <v>45940</v>
      </c>
      <c r="AT18" s="10">
        <v>45993</v>
      </c>
      <c r="AU18" s="10">
        <v>45993</v>
      </c>
      <c r="AV18" s="10">
        <v>45993</v>
      </c>
      <c r="AW18" s="10">
        <v>46028</v>
      </c>
      <c r="AX18" s="10">
        <f>IF(AS18="",IF(AR18&gt;AU18,WORKDAY(AR18,AX17),WORKDAY(AU18,AX17)),IF(AS18&gt;AV18,WORKDAY(AS18,AX17),WORKDAY(AV18,AX17)))</f>
        <v>46007</v>
      </c>
      <c r="AY18" s="10">
        <v>46028</v>
      </c>
      <c r="AZ18" s="10">
        <v>46028</v>
      </c>
      <c r="BA18" s="10">
        <f>IF(AP18="",WORKDAY(AO18,BA17),WORKDAY(AP18,BA17))</f>
        <v>46028</v>
      </c>
      <c r="BB18" s="56">
        <v>46028</v>
      </c>
      <c r="BC18" s="10">
        <v>46035</v>
      </c>
      <c r="BD18" s="10">
        <f>IF(AY18="",IF(AX18&gt;BA18,WORKDAY(AX18,BD17),WORKDAY(BA18,BD17)),IF(AY18&gt;BB18,WORKDAY(AY18,BD17),WORKDAY(BB18,BD17)))</f>
        <v>46035</v>
      </c>
      <c r="BE18" s="56">
        <v>46035</v>
      </c>
      <c r="BF18" s="10">
        <v>46042</v>
      </c>
      <c r="BG18" s="10">
        <f>IF(BE18="",WORKDAY(BD18,BG17),WORKDAY(BE18,BG17))</f>
        <v>46042</v>
      </c>
      <c r="BH18" s="56">
        <v>46042</v>
      </c>
      <c r="BI18" s="10">
        <v>46049</v>
      </c>
      <c r="BJ18" s="10">
        <f>IF(BH18="",WORKDAY(BG18,BJ17),WORKDAY(BH18,BJ17))</f>
        <v>46049</v>
      </c>
      <c r="BK18" s="56">
        <v>45814</v>
      </c>
      <c r="BL18" s="28"/>
      <c r="BM18" s="28"/>
      <c r="BN18" s="28"/>
      <c r="BO18" s="28"/>
      <c r="BP18" s="28"/>
      <c r="BQ18" s="28"/>
      <c r="BR18" s="28"/>
      <c r="BS18" s="28"/>
      <c r="BT18" s="28"/>
      <c r="BU18" s="28"/>
      <c r="BV18" s="28"/>
      <c r="BW18" s="28"/>
      <c r="BX18" s="46"/>
      <c r="BY18" s="28"/>
      <c r="BZ18" s="28"/>
      <c r="CA18" s="28"/>
      <c r="CB18" s="28"/>
      <c r="CC18" s="28"/>
      <c r="CD18" s="28"/>
      <c r="CE18" s="28"/>
      <c r="CF18" s="28"/>
      <c r="CG18" s="28"/>
      <c r="CH18" s="28"/>
      <c r="CI18" s="28"/>
      <c r="CJ18" s="28"/>
      <c r="CK18" s="28"/>
      <c r="CL18" s="28"/>
      <c r="CM18" s="10">
        <v>46052</v>
      </c>
      <c r="CN18" s="10">
        <f>IF(BK18="",WORKDAY(BJ18,CN17),WORKDAY(BK18,CN17))</f>
        <v>45819</v>
      </c>
      <c r="CO18" s="56">
        <v>46297</v>
      </c>
      <c r="CP18" s="10">
        <v>46059</v>
      </c>
      <c r="CQ18" s="10">
        <f>IF(CO18="",WORKDAY(CN18,CQ17),WORKDAY(CO18,CQ17))</f>
        <v>46304</v>
      </c>
      <c r="CR18" s="56">
        <v>46297</v>
      </c>
      <c r="CS18" s="77" t="s">
        <v>479</v>
      </c>
      <c r="CT18" s="10">
        <v>46465</v>
      </c>
      <c r="CU18" s="10">
        <f>IF(CR18="",WORKDAY(CQ18,CU17),WORKDAY(CR18,CU17))</f>
        <v>46465</v>
      </c>
      <c r="CV18" s="56">
        <v>46100</v>
      </c>
      <c r="CW18" s="10">
        <v>46042</v>
      </c>
      <c r="CX18" s="10">
        <f>IF(BB18="",WORKDAY(BA18,CX17),WORKDAY(BB18,CX17))</f>
        <v>46042</v>
      </c>
      <c r="CY18" s="56"/>
      <c r="CZ18" s="10">
        <v>46042</v>
      </c>
      <c r="DA18" s="10">
        <f>IF(CY18="",WORKDAY(CX18,DA17),WORKDAY(CY18,DA17))</f>
        <v>46042</v>
      </c>
      <c r="DB18" s="56">
        <v>46042</v>
      </c>
      <c r="DC18" s="45"/>
      <c r="DD18" s="45"/>
      <c r="DE18" s="45"/>
      <c r="DF18" s="10">
        <v>46493</v>
      </c>
      <c r="DG18" s="10">
        <f>IF($CV18="",IF($CU18&gt;$DA18,WORKDAY($CU18,DG17),WORKDAY($DA18,DG17)),IF($CV18&gt;$DB18,WORKDAY($CV18,DG17),WORKDAY($DB18,DG17)))</f>
        <v>46128</v>
      </c>
      <c r="DH18" s="56"/>
      <c r="DI18" s="46"/>
      <c r="DJ18" s="10">
        <v>46521</v>
      </c>
      <c r="DK18" s="10">
        <f>IF(DH18="",WORKDAY(DG18,DK17*$DI17),WORKDAY(DH18,DK17*$DI17))</f>
        <v>46156</v>
      </c>
      <c r="DL18" s="56"/>
      <c r="DM18" s="46"/>
      <c r="DN18" s="46"/>
      <c r="DO18" s="46"/>
      <c r="DP18" s="46"/>
      <c r="DQ18" s="46"/>
      <c r="DR18" s="46"/>
      <c r="DS18" s="46"/>
      <c r="DT18" s="46"/>
      <c r="DU18" s="46"/>
      <c r="DV18" s="46"/>
      <c r="DW18" s="46"/>
      <c r="DX18" s="46"/>
      <c r="DY18" s="46"/>
      <c r="DZ18" s="46"/>
      <c r="EA18" s="46"/>
      <c r="EB18" s="46"/>
      <c r="EC18" s="46"/>
      <c r="ED18" s="46"/>
      <c r="EE18" s="10">
        <v>46521</v>
      </c>
      <c r="EF18" s="10">
        <f>IF(DL18="",WORKDAY(DK18,EF17),WORKDAY(DL18,EF17))</f>
        <v>46156</v>
      </c>
      <c r="EG18" s="56"/>
      <c r="EH18" s="10">
        <v>46449</v>
      </c>
      <c r="EI18" s="10">
        <v>46449</v>
      </c>
      <c r="EJ18" s="56"/>
      <c r="EK18" s="27"/>
      <c r="EL18" s="27"/>
      <c r="EM18" s="27"/>
      <c r="EN18" s="27"/>
      <c r="EO18" s="28"/>
      <c r="EP18" s="28"/>
      <c r="EQ18" s="28"/>
      <c r="ER18" s="28"/>
      <c r="ES18" s="28"/>
      <c r="ET18" s="28"/>
      <c r="EU18" s="28"/>
      <c r="EV18" s="28"/>
      <c r="EW18" s="28"/>
      <c r="EX18" s="28"/>
      <c r="EY18" s="28"/>
      <c r="EZ18" s="10">
        <v>46528</v>
      </c>
      <c r="FA18" s="10">
        <f>IF(EG18="",WORKDAY(EF18,FA17),WORKDAY(EG18,FA17))</f>
        <v>46163</v>
      </c>
      <c r="FB18" s="56"/>
      <c r="FC18" s="28"/>
      <c r="FD18" s="28"/>
      <c r="FE18" s="28"/>
      <c r="FF18" s="28"/>
      <c r="FG18" s="28"/>
      <c r="FH18" s="28"/>
      <c r="FI18" s="10">
        <v>46549</v>
      </c>
      <c r="FJ18" s="10">
        <f>IF(FB18="",WORKDAY(FA18,FJ17),WORKDAY(FB18,FJ17))</f>
        <v>46184</v>
      </c>
      <c r="FK18" s="56"/>
      <c r="FL18" s="10">
        <v>46549</v>
      </c>
      <c r="FM18" s="10">
        <f>IF(FK18="",WORKDAY(FJ18,FM17),WORKDAY(FK18,FM17))</f>
        <v>46184</v>
      </c>
      <c r="FN18" s="56"/>
      <c r="FO18" s="10">
        <v>46605</v>
      </c>
      <c r="FP18" s="10">
        <f>WORKDAY(FM18,FP17)</f>
        <v>46240</v>
      </c>
      <c r="FQ18" s="56"/>
      <c r="FR18" s="77" t="str">
        <f>IF(NETWORKDAYS(FJ18,FO18)&gt;=30,"On-Track",IF(AND(NETWORKDAYS(FJ18,FO18)&lt;30,FJ18&lt;=FO18),"At Risk","Missed TCD"))</f>
        <v>On-Track</v>
      </c>
      <c r="FS18" s="110" t="s">
        <v>480</v>
      </c>
      <c r="FT18" s="57">
        <f>NETWORKDAYS(CP18,FI18)</f>
        <v>351</v>
      </c>
      <c r="FU18" s="57">
        <f>NETWORKDAYS(CQ18,FJ18)</f>
        <v>-87</v>
      </c>
      <c r="FV18" s="57">
        <f>IF(BH18="",NETWORKDAYS(BG18,FJ18),IF(FK18="",NETWORKDAYS(BH18,FJ18),NETWORKDAYS(BH18,FK18)))</f>
        <v>103</v>
      </c>
      <c r="FW18" s="58" t="s">
        <v>467</v>
      </c>
    </row>
    <row r="19" spans="1:179" outlineLevel="1" x14ac:dyDescent="0.25">
      <c r="A19" s="23" t="s">
        <v>478</v>
      </c>
      <c r="B19" s="23">
        <v>132506</v>
      </c>
      <c r="C19" s="24" t="str">
        <f>VLOOKUP(B19,'[1]PM View-Mastersheet'!$A:$B,2,0)</f>
        <v>3074135-4</v>
      </c>
      <c r="D19" s="95"/>
      <c r="E19" s="24"/>
      <c r="F19" s="25" t="s">
        <v>463</v>
      </c>
      <c r="G19" s="26"/>
      <c r="H19" s="26"/>
      <c r="I19" s="27"/>
      <c r="J19" s="27"/>
      <c r="K19" s="27"/>
      <c r="L19" s="27"/>
      <c r="M19" s="4">
        <v>27</v>
      </c>
      <c r="N19" s="4">
        <v>27</v>
      </c>
      <c r="O19" s="27"/>
      <c r="P19" s="4">
        <v>0</v>
      </c>
      <c r="Q19" s="4">
        <v>0</v>
      </c>
      <c r="R19" s="27"/>
      <c r="S19" s="27"/>
      <c r="T19" s="27"/>
      <c r="U19" s="27"/>
      <c r="V19" s="4">
        <v>30</v>
      </c>
      <c r="W19" s="4">
        <v>30</v>
      </c>
      <c r="X19" s="27"/>
      <c r="Y19" s="4">
        <v>70</v>
      </c>
      <c r="Z19" s="4">
        <v>70</v>
      </c>
      <c r="AA19" s="27"/>
      <c r="AB19" s="4">
        <v>0</v>
      </c>
      <c r="AC19" s="4">
        <v>0</v>
      </c>
      <c r="AD19" s="27"/>
      <c r="AE19" s="4">
        <v>75</v>
      </c>
      <c r="AF19" s="4">
        <v>75</v>
      </c>
      <c r="AG19" s="27"/>
      <c r="AH19" s="4">
        <v>5</v>
      </c>
      <c r="AI19" s="4">
        <v>5</v>
      </c>
      <c r="AJ19" s="27"/>
      <c r="AK19" s="4">
        <v>20</v>
      </c>
      <c r="AL19" s="4">
        <v>20</v>
      </c>
      <c r="AM19" s="27"/>
      <c r="AN19" s="4">
        <v>0</v>
      </c>
      <c r="AO19" s="4">
        <v>0</v>
      </c>
      <c r="AP19" s="27"/>
      <c r="AQ19" s="4">
        <v>20</v>
      </c>
      <c r="AR19" s="4">
        <v>20</v>
      </c>
      <c r="AS19" s="27"/>
      <c r="AT19" s="4">
        <v>5</v>
      </c>
      <c r="AU19" s="4">
        <v>45993</v>
      </c>
      <c r="AV19" s="27">
        <v>45993</v>
      </c>
      <c r="AW19" s="4">
        <v>10</v>
      </c>
      <c r="AX19" s="4">
        <v>10</v>
      </c>
      <c r="AY19" s="27">
        <v>46028</v>
      </c>
      <c r="AZ19" s="4">
        <v>30</v>
      </c>
      <c r="BA19" s="4">
        <v>30</v>
      </c>
      <c r="BB19" s="27">
        <v>46028</v>
      </c>
      <c r="BC19" s="4">
        <v>5</v>
      </c>
      <c r="BD19" s="4">
        <v>5</v>
      </c>
      <c r="BE19" s="27">
        <v>46035</v>
      </c>
      <c r="BF19" s="4">
        <v>5</v>
      </c>
      <c r="BG19" s="4">
        <v>5</v>
      </c>
      <c r="BH19" s="27">
        <v>46042</v>
      </c>
      <c r="BI19" s="4">
        <v>5</v>
      </c>
      <c r="BJ19" s="4">
        <v>5</v>
      </c>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4">
        <v>3</v>
      </c>
      <c r="CN19" s="4">
        <v>3</v>
      </c>
      <c r="CO19" s="27"/>
      <c r="CP19" s="4">
        <v>5</v>
      </c>
      <c r="CQ19" s="4">
        <v>5</v>
      </c>
      <c r="CR19" s="27"/>
      <c r="CS19" s="27"/>
      <c r="CT19" s="5">
        <v>120</v>
      </c>
      <c r="CU19" s="5">
        <v>120</v>
      </c>
      <c r="CV19" s="27">
        <v>46465</v>
      </c>
      <c r="CW19" s="5">
        <v>10</v>
      </c>
      <c r="CX19" s="5">
        <v>10</v>
      </c>
      <c r="CY19" s="27"/>
      <c r="CZ19" s="5">
        <v>0</v>
      </c>
      <c r="DA19" s="5">
        <v>0</v>
      </c>
      <c r="DB19" s="27">
        <v>46042</v>
      </c>
      <c r="DC19" s="31"/>
      <c r="DD19" s="31"/>
      <c r="DE19" s="31"/>
      <c r="DF19" s="4">
        <v>20</v>
      </c>
      <c r="DG19" s="4">
        <v>20</v>
      </c>
      <c r="DH19" s="27">
        <v>46493</v>
      </c>
      <c r="DI19" s="89">
        <v>1</v>
      </c>
      <c r="DJ19" s="4">
        <v>20</v>
      </c>
      <c r="DK19" s="4">
        <v>20</v>
      </c>
      <c r="DL19" s="27">
        <v>46521</v>
      </c>
      <c r="DM19" s="27"/>
      <c r="DN19" s="27"/>
      <c r="DO19" s="27"/>
      <c r="DP19" s="27"/>
      <c r="DQ19" s="27"/>
      <c r="DR19" s="27"/>
      <c r="DS19" s="27"/>
      <c r="DT19" s="27"/>
      <c r="DU19" s="27"/>
      <c r="DV19" s="27"/>
      <c r="DW19" s="27"/>
      <c r="DX19" s="27"/>
      <c r="DY19" s="27"/>
      <c r="DZ19" s="27"/>
      <c r="EA19" s="27"/>
      <c r="EB19" s="27"/>
      <c r="EC19" s="27"/>
      <c r="ED19" s="27"/>
      <c r="EE19" s="4">
        <v>0</v>
      </c>
      <c r="EF19" s="4">
        <v>0</v>
      </c>
      <c r="EG19" s="27">
        <v>46521</v>
      </c>
      <c r="EH19" s="4">
        <v>30</v>
      </c>
      <c r="EI19" s="4">
        <v>30</v>
      </c>
      <c r="EJ19" s="27">
        <v>46084</v>
      </c>
      <c r="EK19" s="27"/>
      <c r="EL19" s="27"/>
      <c r="EM19" s="27"/>
      <c r="EN19" s="27"/>
      <c r="EO19" s="27"/>
      <c r="EP19" s="27"/>
      <c r="EQ19" s="27"/>
      <c r="ER19" s="27"/>
      <c r="ES19" s="27"/>
      <c r="ET19" s="27"/>
      <c r="EU19" s="27"/>
      <c r="EV19" s="27"/>
      <c r="EW19" s="27"/>
      <c r="EX19" s="27"/>
      <c r="EY19" s="27"/>
      <c r="EZ19" s="4">
        <v>5</v>
      </c>
      <c r="FA19" s="4">
        <v>5</v>
      </c>
      <c r="FB19" s="27">
        <v>46528</v>
      </c>
      <c r="FC19" s="27"/>
      <c r="FD19" s="27"/>
      <c r="FE19" s="27"/>
      <c r="FF19" s="27"/>
      <c r="FG19" s="27"/>
      <c r="FH19" s="27"/>
      <c r="FI19" s="4">
        <v>15</v>
      </c>
      <c r="FJ19" s="4">
        <v>15</v>
      </c>
      <c r="FK19" s="27">
        <v>46549</v>
      </c>
      <c r="FL19" s="4">
        <v>0</v>
      </c>
      <c r="FM19" s="4">
        <v>0</v>
      </c>
      <c r="FN19" s="27">
        <v>46549</v>
      </c>
      <c r="FO19" s="4">
        <v>40</v>
      </c>
      <c r="FP19" s="4">
        <v>40</v>
      </c>
      <c r="FQ19" s="27">
        <v>46605</v>
      </c>
      <c r="FR19" s="27"/>
      <c r="FS19" s="109"/>
      <c r="FT19" s="54">
        <f>NETWORKDAYS($I20,FO20)</f>
        <v>566</v>
      </c>
      <c r="FU19" s="54">
        <f>NETWORKDAYS($I20,FP20)</f>
        <v>305</v>
      </c>
      <c r="FV19" s="54">
        <f>IF(FQ20="",NETWORKDAYS($I20,FP20),NETWORKDAYS($I20,FQ20))</f>
        <v>305</v>
      </c>
      <c r="FW19" s="55" t="s">
        <v>464</v>
      </c>
    </row>
    <row r="20" spans="1:179" x14ac:dyDescent="0.25">
      <c r="A20" s="23" t="s">
        <v>478</v>
      </c>
      <c r="B20" s="23">
        <v>132506</v>
      </c>
      <c r="C20" s="24" t="str">
        <f>VLOOKUP(B20,'[1]PM View-Mastersheet'!$A:$B,2,0)</f>
        <v>3074135-4</v>
      </c>
      <c r="D20" s="65"/>
      <c r="E20" s="23" t="str">
        <f>IF(D20="","Unknown",IF(D20&lt;=FM20+90,"Red",IF(AND(D20&gt;FM20+90,D20&lt;=FM20+180),"Yellow",IF(AND(D20&gt;FM20+180,D20&lt;=FM20+690),"Green","Covered"))))</f>
        <v>Unknown</v>
      </c>
      <c r="F20" s="25" t="s">
        <v>466</v>
      </c>
      <c r="G20" s="26"/>
      <c r="H20" s="26" t="str">
        <f>IF(CR20="","Pre-Execution","Execution")</f>
        <v>Execution</v>
      </c>
      <c r="I20" s="46">
        <v>45814</v>
      </c>
      <c r="J20" s="28"/>
      <c r="K20" s="28"/>
      <c r="L20" s="28"/>
      <c r="M20" s="10">
        <v>45853</v>
      </c>
      <c r="N20" s="10">
        <f>WORKDAY(I20,N19)</f>
        <v>45853</v>
      </c>
      <c r="O20" s="56">
        <v>45973</v>
      </c>
      <c r="P20" s="10">
        <v>45853</v>
      </c>
      <c r="Q20" s="10">
        <f>IF(O20="",WORKDAY(N20,Q19),WORKDAY(O20,Q19))</f>
        <v>45973</v>
      </c>
      <c r="R20" s="56">
        <v>45973</v>
      </c>
      <c r="S20" s="28"/>
      <c r="T20" s="28"/>
      <c r="U20" s="28"/>
      <c r="V20" s="10">
        <v>45895</v>
      </c>
      <c r="W20" s="10">
        <f>IF(R20="",WORKDAY(Q20,W19),WORKDAY(R20,W19))</f>
        <v>46015</v>
      </c>
      <c r="X20" s="56">
        <f>V20</f>
        <v>45895</v>
      </c>
      <c r="Y20" s="10">
        <v>45951</v>
      </c>
      <c r="Z20" s="10">
        <f>IF(R20="",WORKDAY(Q20,Z19),WORKDAY(R20,Z19))</f>
        <v>46071</v>
      </c>
      <c r="AA20" s="56"/>
      <c r="AB20" s="10">
        <v>45814</v>
      </c>
      <c r="AC20" s="10">
        <f>WORKDAY(I20,AC19)</f>
        <v>45814</v>
      </c>
      <c r="AD20" s="56"/>
      <c r="AE20" s="10">
        <v>45919</v>
      </c>
      <c r="AF20" s="10">
        <f>IF(AD20="",WORKDAY(AC20,AF19),WORKDAY(AD20,AF19))</f>
        <v>45919</v>
      </c>
      <c r="AG20" s="56">
        <v>45940</v>
      </c>
      <c r="AH20" s="10">
        <v>45958</v>
      </c>
      <c r="AI20" s="10">
        <f>WORKDAY(IF(AA20="",IF(Z20&gt;AF20,Z20,AF20),IF(AA20&gt;AG20,AA20,AG20)),AI19)</f>
        <v>46078</v>
      </c>
      <c r="AJ20" s="10">
        <f>WORKDAY(IF(AA20&gt;AG20,AA20,AG20),AJ19)</f>
        <v>45940</v>
      </c>
      <c r="AK20" s="10">
        <v>45986</v>
      </c>
      <c r="AL20" s="10">
        <f>IF(AJ20="",WORKDAY(AI20,AL19),WORKDAY(AJ20,AL19))</f>
        <v>45968</v>
      </c>
      <c r="AM20" s="10">
        <f>IF(AK20="",WORKDAY(AJ20,AM19),WORKDAY(AK20,AM19))</f>
        <v>45986</v>
      </c>
      <c r="AN20" s="10">
        <v>45986</v>
      </c>
      <c r="AO20" s="10">
        <v>45986</v>
      </c>
      <c r="AP20" s="10">
        <v>45986</v>
      </c>
      <c r="AQ20" s="10">
        <v>46014</v>
      </c>
      <c r="AR20" s="10">
        <v>46014</v>
      </c>
      <c r="AS20" s="56">
        <v>45940</v>
      </c>
      <c r="AT20" s="10">
        <v>45993</v>
      </c>
      <c r="AU20" s="10">
        <v>45993</v>
      </c>
      <c r="AV20" s="10">
        <v>45993</v>
      </c>
      <c r="AW20" s="10">
        <v>46028</v>
      </c>
      <c r="AX20" s="10">
        <f>IF(AS20="",IF(AR20&gt;AU20,WORKDAY(AR20,AX19),WORKDAY(AU20,AX19)),IF(AS20&gt;AV20,WORKDAY(AS20,AX19),WORKDAY(AV20,AX19)))</f>
        <v>46007</v>
      </c>
      <c r="AY20" s="10">
        <v>46028</v>
      </c>
      <c r="AZ20" s="10">
        <v>46028</v>
      </c>
      <c r="BA20" s="10">
        <f>IF(AP20="",WORKDAY(AO20,BA19),WORKDAY(AP20,BA19))</f>
        <v>46028</v>
      </c>
      <c r="BB20" s="56">
        <v>46028</v>
      </c>
      <c r="BC20" s="10">
        <v>46035</v>
      </c>
      <c r="BD20" s="10">
        <f>IF(AY20="",IF(AX20&gt;BA20,WORKDAY(AX20,BD19),WORKDAY(BA20,BD19)),IF(AY20&gt;BB20,WORKDAY(AY20,BD19),WORKDAY(BB20,BD19)))</f>
        <v>46035</v>
      </c>
      <c r="BE20" s="56">
        <v>46035</v>
      </c>
      <c r="BF20" s="10">
        <v>46042</v>
      </c>
      <c r="BG20" s="10">
        <f>IF(BE20="",WORKDAY(BD20,BG19),WORKDAY(BE20,BG19))</f>
        <v>46042</v>
      </c>
      <c r="BH20" s="56">
        <v>46042</v>
      </c>
      <c r="BI20" s="10">
        <v>46049</v>
      </c>
      <c r="BJ20" s="10">
        <f>IF(BH20="",WORKDAY(BG20,BJ19),WORKDAY(BH20,BJ19))</f>
        <v>46049</v>
      </c>
      <c r="BK20" s="56">
        <v>45814</v>
      </c>
      <c r="BL20" s="28"/>
      <c r="BM20" s="28"/>
      <c r="BN20" s="28"/>
      <c r="BO20" s="28"/>
      <c r="BP20" s="28"/>
      <c r="BQ20" s="28"/>
      <c r="BR20" s="28"/>
      <c r="BS20" s="28"/>
      <c r="BT20" s="28"/>
      <c r="BU20" s="28"/>
      <c r="BV20" s="28"/>
      <c r="BW20" s="28"/>
      <c r="BX20" s="46"/>
      <c r="BY20" s="28"/>
      <c r="BZ20" s="28"/>
      <c r="CA20" s="28"/>
      <c r="CB20" s="28"/>
      <c r="CC20" s="28"/>
      <c r="CD20" s="28"/>
      <c r="CE20" s="28"/>
      <c r="CF20" s="28"/>
      <c r="CG20" s="28"/>
      <c r="CH20" s="28"/>
      <c r="CI20" s="28"/>
      <c r="CJ20" s="28"/>
      <c r="CK20" s="28"/>
      <c r="CL20" s="28"/>
      <c r="CM20" s="10">
        <v>46052</v>
      </c>
      <c r="CN20" s="10">
        <f>IF(BK20="",WORKDAY(BJ20,CN19),WORKDAY(BK20,CN19))</f>
        <v>45819</v>
      </c>
      <c r="CO20" s="56">
        <v>46297</v>
      </c>
      <c r="CP20" s="10">
        <v>46059</v>
      </c>
      <c r="CQ20" s="10">
        <f>IF(CO20="",WORKDAY(CN20,CQ19),WORKDAY(CO20,CQ19))</f>
        <v>46304</v>
      </c>
      <c r="CR20" s="56">
        <v>46297</v>
      </c>
      <c r="CS20" s="77" t="s">
        <v>479</v>
      </c>
      <c r="CT20" s="10">
        <v>46465</v>
      </c>
      <c r="CU20" s="10">
        <f>IF(CR20="",WORKDAY(CQ20,CU19),WORKDAY(CR20,CU19))</f>
        <v>46465</v>
      </c>
      <c r="CV20" s="56">
        <v>46100</v>
      </c>
      <c r="CW20" s="10">
        <v>46042</v>
      </c>
      <c r="CX20" s="10">
        <f>IF(BB20="",WORKDAY(BA20,CX19),WORKDAY(BB20,CX19))</f>
        <v>46042</v>
      </c>
      <c r="CY20" s="56"/>
      <c r="CZ20" s="10">
        <v>46042</v>
      </c>
      <c r="DA20" s="10">
        <f>IF(CY20="",WORKDAY(CX20,DA19),WORKDAY(CY20,DA19))</f>
        <v>46042</v>
      </c>
      <c r="DB20" s="56">
        <v>46042</v>
      </c>
      <c r="DC20" s="45"/>
      <c r="DD20" s="45"/>
      <c r="DE20" s="45"/>
      <c r="DF20" s="10">
        <v>46493</v>
      </c>
      <c r="DG20" s="10">
        <f>IF($CV20="",IF($CU20&gt;$DA20,WORKDAY($CU20,DG19),WORKDAY($DA20,DG19)),IF($CV20&gt;$DB20,WORKDAY($CV20,DG19),WORKDAY($DB20,DG19)))</f>
        <v>46128</v>
      </c>
      <c r="DH20" s="56"/>
      <c r="DI20" s="46"/>
      <c r="DJ20" s="10">
        <v>46521</v>
      </c>
      <c r="DK20" s="10">
        <f>IF(DH20="",WORKDAY(DG20,DK19*$DI19),WORKDAY(DH20,DK19*$DI19))</f>
        <v>46156</v>
      </c>
      <c r="DL20" s="56"/>
      <c r="DM20" s="46"/>
      <c r="DN20" s="46"/>
      <c r="DO20" s="46"/>
      <c r="DP20" s="46"/>
      <c r="DQ20" s="46"/>
      <c r="DR20" s="46"/>
      <c r="DS20" s="46"/>
      <c r="DT20" s="46"/>
      <c r="DU20" s="46"/>
      <c r="DV20" s="46"/>
      <c r="DW20" s="46"/>
      <c r="DX20" s="46"/>
      <c r="DY20" s="46"/>
      <c r="DZ20" s="46"/>
      <c r="EA20" s="46"/>
      <c r="EB20" s="46"/>
      <c r="EC20" s="46"/>
      <c r="ED20" s="46"/>
      <c r="EE20" s="10">
        <v>46521</v>
      </c>
      <c r="EF20" s="10">
        <f>IF(DL20="",WORKDAY(DK20,EF19),WORKDAY(DL20,EF19))</f>
        <v>46156</v>
      </c>
      <c r="EG20" s="56"/>
      <c r="EH20" s="10">
        <v>46449</v>
      </c>
      <c r="EI20" s="10">
        <v>46449</v>
      </c>
      <c r="EJ20" s="56"/>
      <c r="EK20" s="27"/>
      <c r="EL20" s="27"/>
      <c r="EM20" s="27"/>
      <c r="EN20" s="27"/>
      <c r="EO20" s="28"/>
      <c r="EP20" s="28"/>
      <c r="EQ20" s="28"/>
      <c r="ER20" s="28"/>
      <c r="ES20" s="28"/>
      <c r="ET20" s="28"/>
      <c r="EU20" s="28"/>
      <c r="EV20" s="28"/>
      <c r="EW20" s="28"/>
      <c r="EX20" s="28"/>
      <c r="EY20" s="28"/>
      <c r="EZ20" s="10">
        <v>46528</v>
      </c>
      <c r="FA20" s="10">
        <f>IF(EG20="",WORKDAY(EF20,FA19),WORKDAY(EG20,FA19))</f>
        <v>46163</v>
      </c>
      <c r="FB20" s="56"/>
      <c r="FC20" s="28"/>
      <c r="FD20" s="28"/>
      <c r="FE20" s="28"/>
      <c r="FF20" s="28"/>
      <c r="FG20" s="28"/>
      <c r="FH20" s="28"/>
      <c r="FI20" s="10">
        <v>46549</v>
      </c>
      <c r="FJ20" s="10">
        <f>IF(FB20="",WORKDAY(FA20,FJ19),WORKDAY(FB20,FJ19))</f>
        <v>46184</v>
      </c>
      <c r="FK20" s="56"/>
      <c r="FL20" s="10">
        <v>46549</v>
      </c>
      <c r="FM20" s="10">
        <f>IF(FK20="",WORKDAY(FJ20,FM19),WORKDAY(FK20,FM19))</f>
        <v>46184</v>
      </c>
      <c r="FN20" s="56"/>
      <c r="FO20" s="10">
        <v>46605</v>
      </c>
      <c r="FP20" s="10">
        <f>WORKDAY(FM20,FP19)</f>
        <v>46240</v>
      </c>
      <c r="FQ20" s="56"/>
      <c r="FR20" s="77" t="str">
        <f>IF(NETWORKDAYS(FJ20,FO20)&gt;=30,"On-Track",IF(AND(NETWORKDAYS(FJ20,FO20)&lt;30,FJ20&lt;=FO20),"At Risk","Missed TCD"))</f>
        <v>On-Track</v>
      </c>
      <c r="FS20" s="110" t="s">
        <v>480</v>
      </c>
      <c r="FT20" s="57">
        <f>NETWORKDAYS(CP20,FI20)</f>
        <v>351</v>
      </c>
      <c r="FU20" s="57">
        <f>NETWORKDAYS(CQ20,FJ20)</f>
        <v>-87</v>
      </c>
      <c r="FV20" s="57">
        <f>IF(BH20="",NETWORKDAYS(BG20,FJ20),IF(FK20="",NETWORKDAYS(BH20,FJ20),NETWORKDAYS(BH20,FK20)))</f>
        <v>103</v>
      </c>
      <c r="FW20" s="58" t="s">
        <v>467</v>
      </c>
    </row>
    <row r="21" spans="1:179" outlineLevel="1" x14ac:dyDescent="0.25">
      <c r="A21" s="23" t="s">
        <v>478</v>
      </c>
      <c r="B21" s="23">
        <v>132508</v>
      </c>
      <c r="C21" s="24" t="str">
        <f>VLOOKUP(B21,'[1]PM View-Mastersheet'!$A:$B,2,0)</f>
        <v>3074135-6</v>
      </c>
      <c r="D21" s="95"/>
      <c r="E21" s="24"/>
      <c r="F21" s="25" t="s">
        <v>463</v>
      </c>
      <c r="G21" s="26"/>
      <c r="H21" s="26"/>
      <c r="I21" s="27"/>
      <c r="J21" s="27"/>
      <c r="K21" s="27"/>
      <c r="L21" s="27"/>
      <c r="M21" s="4">
        <v>27</v>
      </c>
      <c r="N21" s="4">
        <v>27</v>
      </c>
      <c r="O21" s="27"/>
      <c r="P21" s="4">
        <v>0</v>
      </c>
      <c r="Q21" s="4">
        <v>0</v>
      </c>
      <c r="R21" s="27"/>
      <c r="S21" s="27"/>
      <c r="T21" s="27"/>
      <c r="U21" s="27"/>
      <c r="V21" s="4">
        <v>30</v>
      </c>
      <c r="W21" s="4">
        <v>30</v>
      </c>
      <c r="X21" s="27"/>
      <c r="Y21" s="4">
        <v>70</v>
      </c>
      <c r="Z21" s="4">
        <v>70</v>
      </c>
      <c r="AA21" s="27"/>
      <c r="AB21" s="4">
        <v>0</v>
      </c>
      <c r="AC21" s="4">
        <v>0</v>
      </c>
      <c r="AD21" s="27"/>
      <c r="AE21" s="4">
        <v>75</v>
      </c>
      <c r="AF21" s="4">
        <v>75</v>
      </c>
      <c r="AG21" s="27"/>
      <c r="AH21" s="4">
        <v>5</v>
      </c>
      <c r="AI21" s="4">
        <v>5</v>
      </c>
      <c r="AJ21" s="27"/>
      <c r="AK21" s="4">
        <v>20</v>
      </c>
      <c r="AL21" s="4">
        <v>20</v>
      </c>
      <c r="AM21" s="27"/>
      <c r="AN21" s="4">
        <v>0</v>
      </c>
      <c r="AO21" s="4">
        <v>0</v>
      </c>
      <c r="AP21" s="27"/>
      <c r="AQ21" s="4">
        <v>20</v>
      </c>
      <c r="AR21" s="4">
        <v>20</v>
      </c>
      <c r="AS21" s="27"/>
      <c r="AT21" s="4">
        <v>5</v>
      </c>
      <c r="AU21" s="4">
        <v>45993</v>
      </c>
      <c r="AV21" s="27">
        <v>45993</v>
      </c>
      <c r="AW21" s="4">
        <v>10</v>
      </c>
      <c r="AX21" s="4">
        <v>10</v>
      </c>
      <c r="AY21" s="27">
        <v>46028</v>
      </c>
      <c r="AZ21" s="4">
        <v>30</v>
      </c>
      <c r="BA21" s="4">
        <v>30</v>
      </c>
      <c r="BB21" s="27">
        <v>46028</v>
      </c>
      <c r="BC21" s="4">
        <v>5</v>
      </c>
      <c r="BD21" s="4">
        <v>5</v>
      </c>
      <c r="BE21" s="27">
        <v>46035</v>
      </c>
      <c r="BF21" s="4">
        <v>5</v>
      </c>
      <c r="BG21" s="4">
        <v>5</v>
      </c>
      <c r="BH21" s="27">
        <v>46042</v>
      </c>
      <c r="BI21" s="4">
        <v>5</v>
      </c>
      <c r="BJ21" s="4">
        <v>5</v>
      </c>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4">
        <v>3</v>
      </c>
      <c r="CN21" s="4">
        <v>3</v>
      </c>
      <c r="CO21" s="27"/>
      <c r="CP21" s="4">
        <v>5</v>
      </c>
      <c r="CQ21" s="4">
        <v>5</v>
      </c>
      <c r="CR21" s="27"/>
      <c r="CS21" s="27"/>
      <c r="CT21" s="5">
        <v>120</v>
      </c>
      <c r="CU21" s="5">
        <v>120</v>
      </c>
      <c r="CV21" s="27">
        <v>46465</v>
      </c>
      <c r="CW21" s="5">
        <v>10</v>
      </c>
      <c r="CX21" s="5">
        <v>10</v>
      </c>
      <c r="CY21" s="27"/>
      <c r="CZ21" s="5">
        <v>0</v>
      </c>
      <c r="DA21" s="5">
        <v>0</v>
      </c>
      <c r="DB21" s="27">
        <v>46042</v>
      </c>
      <c r="DC21" s="31"/>
      <c r="DD21" s="31"/>
      <c r="DE21" s="31"/>
      <c r="DF21" s="4">
        <v>20</v>
      </c>
      <c r="DG21" s="4">
        <v>20</v>
      </c>
      <c r="DH21" s="27">
        <v>46493</v>
      </c>
      <c r="DI21" s="89">
        <v>1</v>
      </c>
      <c r="DJ21" s="4">
        <v>20</v>
      </c>
      <c r="DK21" s="4">
        <v>20</v>
      </c>
      <c r="DL21" s="27">
        <v>46521</v>
      </c>
      <c r="DM21" s="27"/>
      <c r="DN21" s="27"/>
      <c r="DO21" s="27"/>
      <c r="DP21" s="27"/>
      <c r="DQ21" s="27"/>
      <c r="DR21" s="27"/>
      <c r="DS21" s="27"/>
      <c r="DT21" s="27"/>
      <c r="DU21" s="27"/>
      <c r="DV21" s="27"/>
      <c r="DW21" s="27"/>
      <c r="DX21" s="27"/>
      <c r="DY21" s="27"/>
      <c r="DZ21" s="27"/>
      <c r="EA21" s="27"/>
      <c r="EB21" s="27"/>
      <c r="EC21" s="27"/>
      <c r="ED21" s="27"/>
      <c r="EE21" s="4">
        <v>0</v>
      </c>
      <c r="EF21" s="4">
        <v>0</v>
      </c>
      <c r="EG21" s="27">
        <v>46521</v>
      </c>
      <c r="EH21" s="4">
        <v>30</v>
      </c>
      <c r="EI21" s="4">
        <v>30</v>
      </c>
      <c r="EJ21" s="27">
        <v>46084</v>
      </c>
      <c r="EK21" s="27"/>
      <c r="EL21" s="27"/>
      <c r="EM21" s="27"/>
      <c r="EN21" s="27"/>
      <c r="EO21" s="27"/>
      <c r="EP21" s="27"/>
      <c r="EQ21" s="27"/>
      <c r="ER21" s="27"/>
      <c r="ES21" s="27"/>
      <c r="ET21" s="27"/>
      <c r="EU21" s="27"/>
      <c r="EV21" s="27"/>
      <c r="EW21" s="27"/>
      <c r="EX21" s="27"/>
      <c r="EY21" s="27"/>
      <c r="EZ21" s="4">
        <v>5</v>
      </c>
      <c r="FA21" s="4">
        <v>5</v>
      </c>
      <c r="FB21" s="27">
        <v>46528</v>
      </c>
      <c r="FC21" s="27"/>
      <c r="FD21" s="27"/>
      <c r="FE21" s="27"/>
      <c r="FF21" s="27"/>
      <c r="FG21" s="27"/>
      <c r="FH21" s="27"/>
      <c r="FI21" s="4">
        <v>15</v>
      </c>
      <c r="FJ21" s="4">
        <v>15</v>
      </c>
      <c r="FK21" s="27">
        <v>46549</v>
      </c>
      <c r="FL21" s="4">
        <v>0</v>
      </c>
      <c r="FM21" s="4">
        <v>0</v>
      </c>
      <c r="FN21" s="27">
        <v>46549</v>
      </c>
      <c r="FO21" s="4">
        <v>40</v>
      </c>
      <c r="FP21" s="4">
        <v>40</v>
      </c>
      <c r="FQ21" s="27">
        <v>46605</v>
      </c>
      <c r="FR21" s="27"/>
      <c r="FS21" s="109"/>
      <c r="FT21" s="54">
        <f>NETWORKDAYS($I22,FO22)</f>
        <v>566</v>
      </c>
      <c r="FU21" s="54">
        <f>NETWORKDAYS($I22,FP22)</f>
        <v>305</v>
      </c>
      <c r="FV21" s="54">
        <f>IF(FQ22="",NETWORKDAYS($I22,FP22),NETWORKDAYS($I22,FQ22))</f>
        <v>305</v>
      </c>
      <c r="FW21" s="55" t="s">
        <v>464</v>
      </c>
    </row>
    <row r="22" spans="1:179" x14ac:dyDescent="0.25">
      <c r="A22" s="23" t="s">
        <v>478</v>
      </c>
      <c r="B22" s="23">
        <v>132508</v>
      </c>
      <c r="C22" s="24" t="str">
        <f>VLOOKUP(B22,'[1]PM View-Mastersheet'!$A:$B,2,0)</f>
        <v>3074135-6</v>
      </c>
      <c r="D22" s="65"/>
      <c r="E22" s="23" t="str">
        <f>IF(D22="","Unknown",IF(D22&lt;=FM22+90,"Red",IF(AND(D22&gt;FM22+90,D22&lt;=FM22+180),"Yellow",IF(AND(D22&gt;FM22+180,D22&lt;=FM22+690),"Green","Covered"))))</f>
        <v>Unknown</v>
      </c>
      <c r="F22" s="25" t="s">
        <v>466</v>
      </c>
      <c r="G22" s="26"/>
      <c r="H22" s="26" t="str">
        <f>IF(CR22="","Pre-Execution","Execution")</f>
        <v>Execution</v>
      </c>
      <c r="I22" s="46">
        <v>45814</v>
      </c>
      <c r="J22" s="28"/>
      <c r="K22" s="28"/>
      <c r="L22" s="28"/>
      <c r="M22" s="10">
        <v>45853</v>
      </c>
      <c r="N22" s="10">
        <f>WORKDAY(I22,N21)</f>
        <v>45853</v>
      </c>
      <c r="O22" s="56">
        <v>45973</v>
      </c>
      <c r="P22" s="10">
        <v>45853</v>
      </c>
      <c r="Q22" s="10">
        <f>IF(O22="",WORKDAY(N22,Q21),WORKDAY(O22,Q21))</f>
        <v>45973</v>
      </c>
      <c r="R22" s="56">
        <v>45973</v>
      </c>
      <c r="S22" s="28"/>
      <c r="T22" s="28"/>
      <c r="U22" s="28"/>
      <c r="V22" s="10">
        <v>45895</v>
      </c>
      <c r="W22" s="10">
        <f>IF(R22="",WORKDAY(Q22,W21),WORKDAY(R22,W21))</f>
        <v>46015</v>
      </c>
      <c r="X22" s="56">
        <f>V22</f>
        <v>45895</v>
      </c>
      <c r="Y22" s="10">
        <v>45951</v>
      </c>
      <c r="Z22" s="10">
        <f>IF(R22="",WORKDAY(Q22,Z21),WORKDAY(R22,Z21))</f>
        <v>46071</v>
      </c>
      <c r="AA22" s="56"/>
      <c r="AB22" s="10">
        <v>45814</v>
      </c>
      <c r="AC22" s="10">
        <f>WORKDAY(I22,AC21)</f>
        <v>45814</v>
      </c>
      <c r="AD22" s="56"/>
      <c r="AE22" s="10">
        <v>45919</v>
      </c>
      <c r="AF22" s="10">
        <f>IF(AD22="",WORKDAY(AC22,AF21),WORKDAY(AD22,AF21))</f>
        <v>45919</v>
      </c>
      <c r="AG22" s="56">
        <v>45940</v>
      </c>
      <c r="AH22" s="10">
        <v>45958</v>
      </c>
      <c r="AI22" s="10">
        <f>WORKDAY(IF(AA22="",IF(Z22&gt;AF22,Z22,AF22),IF(AA22&gt;AG22,AA22,AG22)),AI21)</f>
        <v>46078</v>
      </c>
      <c r="AJ22" s="10">
        <f>WORKDAY(IF(AA22&gt;AG22,AA22,AG22),AJ21)</f>
        <v>45940</v>
      </c>
      <c r="AK22" s="10">
        <v>45986</v>
      </c>
      <c r="AL22" s="10">
        <f>IF(AJ22="",WORKDAY(AI22,AL21),WORKDAY(AJ22,AL21))</f>
        <v>45968</v>
      </c>
      <c r="AM22" s="10">
        <f>IF(AK22="",WORKDAY(AJ22,AM21),WORKDAY(AK22,AM21))</f>
        <v>45986</v>
      </c>
      <c r="AN22" s="10">
        <v>45986</v>
      </c>
      <c r="AO22" s="10">
        <v>45986</v>
      </c>
      <c r="AP22" s="10">
        <v>45986</v>
      </c>
      <c r="AQ22" s="10">
        <v>46014</v>
      </c>
      <c r="AR22" s="10">
        <v>46014</v>
      </c>
      <c r="AS22" s="56">
        <v>45940</v>
      </c>
      <c r="AT22" s="10">
        <v>45993</v>
      </c>
      <c r="AU22" s="10">
        <v>45993</v>
      </c>
      <c r="AV22" s="10">
        <v>45993</v>
      </c>
      <c r="AW22" s="10">
        <v>46028</v>
      </c>
      <c r="AX22" s="10">
        <f>IF(AS22="",IF(AR22&gt;AU22,WORKDAY(AR22,AX21),WORKDAY(AU22,AX21)),IF(AS22&gt;AV22,WORKDAY(AS22,AX21),WORKDAY(AV22,AX21)))</f>
        <v>46007</v>
      </c>
      <c r="AY22" s="10">
        <v>46028</v>
      </c>
      <c r="AZ22" s="10">
        <v>46028</v>
      </c>
      <c r="BA22" s="10">
        <f>IF(AP22="",WORKDAY(AO22,BA21),WORKDAY(AP22,BA21))</f>
        <v>46028</v>
      </c>
      <c r="BB22" s="56">
        <v>46028</v>
      </c>
      <c r="BC22" s="10">
        <v>46035</v>
      </c>
      <c r="BD22" s="10">
        <f>IF(AY22="",IF(AX22&gt;BA22,WORKDAY(AX22,BD21),WORKDAY(BA22,BD21)),IF(AY22&gt;BB22,WORKDAY(AY22,BD21),WORKDAY(BB22,BD21)))</f>
        <v>46035</v>
      </c>
      <c r="BE22" s="56">
        <v>46035</v>
      </c>
      <c r="BF22" s="10">
        <v>46042</v>
      </c>
      <c r="BG22" s="10">
        <f>IF(BE22="",WORKDAY(BD22,BG21),WORKDAY(BE22,BG21))</f>
        <v>46042</v>
      </c>
      <c r="BH22" s="56">
        <v>46042</v>
      </c>
      <c r="BI22" s="10">
        <v>46049</v>
      </c>
      <c r="BJ22" s="10">
        <f>IF(BH22="",WORKDAY(BG22,BJ21),WORKDAY(BH22,BJ21))</f>
        <v>46049</v>
      </c>
      <c r="BK22" s="56">
        <v>45814</v>
      </c>
      <c r="BL22" s="28"/>
      <c r="BM22" s="28"/>
      <c r="BN22" s="28"/>
      <c r="BO22" s="28"/>
      <c r="BP22" s="28"/>
      <c r="BQ22" s="28"/>
      <c r="BR22" s="28"/>
      <c r="BS22" s="28"/>
      <c r="BT22" s="28"/>
      <c r="BU22" s="28"/>
      <c r="BV22" s="28"/>
      <c r="BW22" s="28"/>
      <c r="BX22" s="46"/>
      <c r="BY22" s="28"/>
      <c r="BZ22" s="28"/>
      <c r="CA22" s="28"/>
      <c r="CB22" s="28"/>
      <c r="CC22" s="28"/>
      <c r="CD22" s="28"/>
      <c r="CE22" s="28"/>
      <c r="CF22" s="28"/>
      <c r="CG22" s="28"/>
      <c r="CH22" s="28"/>
      <c r="CI22" s="28"/>
      <c r="CJ22" s="28"/>
      <c r="CK22" s="28"/>
      <c r="CL22" s="28"/>
      <c r="CM22" s="10">
        <v>46052</v>
      </c>
      <c r="CN22" s="10">
        <f>IF(BK22="",WORKDAY(BJ22,CN21),WORKDAY(BK22,CN21))</f>
        <v>45819</v>
      </c>
      <c r="CO22" s="56">
        <v>46297</v>
      </c>
      <c r="CP22" s="10">
        <v>46059</v>
      </c>
      <c r="CQ22" s="10">
        <f>IF(CO22="",WORKDAY(CN22,CQ21),WORKDAY(CO22,CQ21))</f>
        <v>46304</v>
      </c>
      <c r="CR22" s="56">
        <v>46297</v>
      </c>
      <c r="CS22" s="77" t="s">
        <v>479</v>
      </c>
      <c r="CT22" s="10">
        <v>46465</v>
      </c>
      <c r="CU22" s="10">
        <f>IF(CR22="",WORKDAY(CQ22,CU21),WORKDAY(CR22,CU21))</f>
        <v>46465</v>
      </c>
      <c r="CV22" s="56">
        <v>46100</v>
      </c>
      <c r="CW22" s="10">
        <v>46042</v>
      </c>
      <c r="CX22" s="10">
        <f>IF(BB22="",WORKDAY(BA22,CX21),WORKDAY(BB22,CX21))</f>
        <v>46042</v>
      </c>
      <c r="CY22" s="56"/>
      <c r="CZ22" s="10">
        <v>46042</v>
      </c>
      <c r="DA22" s="10">
        <f>IF(CY22="",WORKDAY(CX22,DA21),WORKDAY(CY22,DA21))</f>
        <v>46042</v>
      </c>
      <c r="DB22" s="56">
        <v>46042</v>
      </c>
      <c r="DC22" s="45"/>
      <c r="DD22" s="45"/>
      <c r="DE22" s="45"/>
      <c r="DF22" s="10">
        <v>46493</v>
      </c>
      <c r="DG22" s="10">
        <f>IF($CV22="",IF($CU22&gt;$DA22,WORKDAY($CU22,DG21),WORKDAY($DA22,DG21)),IF($CV22&gt;$DB22,WORKDAY($CV22,DG21),WORKDAY($DB22,DG21)))</f>
        <v>46128</v>
      </c>
      <c r="DH22" s="56"/>
      <c r="DI22" s="46"/>
      <c r="DJ22" s="10">
        <v>46521</v>
      </c>
      <c r="DK22" s="10">
        <f>IF(DH22="",WORKDAY(DG22,DK21*$DI21),WORKDAY(DH22,DK21*$DI21))</f>
        <v>46156</v>
      </c>
      <c r="DL22" s="56"/>
      <c r="DM22" s="46"/>
      <c r="DN22" s="46"/>
      <c r="DO22" s="46"/>
      <c r="DP22" s="46"/>
      <c r="DQ22" s="46"/>
      <c r="DR22" s="46"/>
      <c r="DS22" s="46"/>
      <c r="DT22" s="46"/>
      <c r="DU22" s="46"/>
      <c r="DV22" s="46"/>
      <c r="DW22" s="46"/>
      <c r="DX22" s="46"/>
      <c r="DY22" s="46"/>
      <c r="DZ22" s="46"/>
      <c r="EA22" s="46"/>
      <c r="EB22" s="46"/>
      <c r="EC22" s="46"/>
      <c r="ED22" s="46"/>
      <c r="EE22" s="10">
        <v>46521</v>
      </c>
      <c r="EF22" s="10">
        <f>IF(DL22="",WORKDAY(DK22,EF21),WORKDAY(DL22,EF21))</f>
        <v>46156</v>
      </c>
      <c r="EG22" s="56"/>
      <c r="EH22" s="10">
        <v>46449</v>
      </c>
      <c r="EI22" s="10">
        <v>46449</v>
      </c>
      <c r="EJ22" s="56"/>
      <c r="EK22" s="27"/>
      <c r="EL22" s="27"/>
      <c r="EM22" s="27"/>
      <c r="EN22" s="27"/>
      <c r="EO22" s="28"/>
      <c r="EP22" s="28"/>
      <c r="EQ22" s="28"/>
      <c r="ER22" s="28"/>
      <c r="ES22" s="28"/>
      <c r="ET22" s="28"/>
      <c r="EU22" s="28"/>
      <c r="EV22" s="28"/>
      <c r="EW22" s="28"/>
      <c r="EX22" s="28"/>
      <c r="EY22" s="28"/>
      <c r="EZ22" s="10">
        <v>46528</v>
      </c>
      <c r="FA22" s="10">
        <f>IF(EG22="",WORKDAY(EF22,FA21),WORKDAY(EG22,FA21))</f>
        <v>46163</v>
      </c>
      <c r="FB22" s="56"/>
      <c r="FC22" s="28"/>
      <c r="FD22" s="28"/>
      <c r="FE22" s="28"/>
      <c r="FF22" s="28"/>
      <c r="FG22" s="28"/>
      <c r="FH22" s="28"/>
      <c r="FI22" s="10">
        <v>46549</v>
      </c>
      <c r="FJ22" s="10">
        <f>IF(FB22="",WORKDAY(FA22,FJ21),WORKDAY(FB22,FJ21))</f>
        <v>46184</v>
      </c>
      <c r="FK22" s="56"/>
      <c r="FL22" s="10">
        <v>46549</v>
      </c>
      <c r="FM22" s="10">
        <f>IF(FK22="",WORKDAY(FJ22,FM21),WORKDAY(FK22,FM21))</f>
        <v>46184</v>
      </c>
      <c r="FN22" s="56"/>
      <c r="FO22" s="10">
        <v>46605</v>
      </c>
      <c r="FP22" s="10">
        <f>WORKDAY(FM22,FP21)</f>
        <v>46240</v>
      </c>
      <c r="FQ22" s="56"/>
      <c r="FR22" s="77" t="str">
        <f>IF(NETWORKDAYS(FJ22,FO22)&gt;=30,"On-Track",IF(AND(NETWORKDAYS(FJ22,FO22)&lt;30,FJ22&lt;=FO22),"At Risk","Missed TCD"))</f>
        <v>On-Track</v>
      </c>
      <c r="FS22" s="110" t="s">
        <v>480</v>
      </c>
      <c r="FT22" s="57">
        <f>NETWORKDAYS(CP22,FI22)</f>
        <v>351</v>
      </c>
      <c r="FU22" s="57">
        <f>NETWORKDAYS(CQ22,FJ22)</f>
        <v>-87</v>
      </c>
      <c r="FV22" s="57">
        <f>IF(BH22="",NETWORKDAYS(BG22,FJ22),IF(FK22="",NETWORKDAYS(BH22,FJ22),NETWORKDAYS(BH22,FK22)))</f>
        <v>103</v>
      </c>
      <c r="FW22" s="58" t="s">
        <v>467</v>
      </c>
    </row>
    <row r="23" spans="1:179" outlineLevel="1" x14ac:dyDescent="0.25">
      <c r="A23" s="23" t="s">
        <v>478</v>
      </c>
      <c r="B23" s="23">
        <v>132494</v>
      </c>
      <c r="C23" s="24" t="str">
        <f>VLOOKUP(B23,'[1]PM View-Mastersheet'!$A:$B,2,0)</f>
        <v>3102476-3</v>
      </c>
      <c r="D23" s="95"/>
      <c r="E23" s="24"/>
      <c r="F23" s="25" t="s">
        <v>463</v>
      </c>
      <c r="G23" s="26"/>
      <c r="H23" s="26"/>
      <c r="I23" s="27"/>
      <c r="J23" s="27"/>
      <c r="K23" s="27"/>
      <c r="L23" s="27"/>
      <c r="M23" s="4">
        <v>27</v>
      </c>
      <c r="N23" s="4">
        <v>27</v>
      </c>
      <c r="O23" s="27"/>
      <c r="P23" s="4">
        <v>0</v>
      </c>
      <c r="Q23" s="4">
        <v>0</v>
      </c>
      <c r="R23" s="27"/>
      <c r="S23" s="27"/>
      <c r="T23" s="27"/>
      <c r="U23" s="27"/>
      <c r="V23" s="4">
        <v>30</v>
      </c>
      <c r="W23" s="4">
        <v>30</v>
      </c>
      <c r="X23" s="27"/>
      <c r="Y23" s="4">
        <v>70</v>
      </c>
      <c r="Z23" s="4">
        <v>70</v>
      </c>
      <c r="AA23" s="27"/>
      <c r="AB23" s="4">
        <v>0</v>
      </c>
      <c r="AC23" s="4">
        <v>0</v>
      </c>
      <c r="AD23" s="27"/>
      <c r="AE23" s="4">
        <v>75</v>
      </c>
      <c r="AF23" s="4">
        <v>75</v>
      </c>
      <c r="AG23" s="27"/>
      <c r="AH23" s="4">
        <v>5</v>
      </c>
      <c r="AI23" s="4">
        <v>5</v>
      </c>
      <c r="AJ23" s="27"/>
      <c r="AK23" s="4">
        <v>20</v>
      </c>
      <c r="AL23" s="4">
        <v>20</v>
      </c>
      <c r="AM23" s="27"/>
      <c r="AN23" s="4">
        <v>0</v>
      </c>
      <c r="AO23" s="4">
        <v>0</v>
      </c>
      <c r="AP23" s="27"/>
      <c r="AQ23" s="4">
        <v>20</v>
      </c>
      <c r="AR23" s="4">
        <v>20</v>
      </c>
      <c r="AS23" s="27"/>
      <c r="AT23" s="4">
        <v>5</v>
      </c>
      <c r="AU23" s="4">
        <v>45993</v>
      </c>
      <c r="AV23" s="27">
        <v>45993</v>
      </c>
      <c r="AW23" s="4">
        <v>10</v>
      </c>
      <c r="AX23" s="4">
        <v>10</v>
      </c>
      <c r="AY23" s="27">
        <v>46028</v>
      </c>
      <c r="AZ23" s="4">
        <v>30</v>
      </c>
      <c r="BA23" s="4">
        <v>30</v>
      </c>
      <c r="BB23" s="27">
        <v>46028</v>
      </c>
      <c r="BC23" s="4">
        <v>5</v>
      </c>
      <c r="BD23" s="4">
        <v>5</v>
      </c>
      <c r="BE23" s="27">
        <v>46035</v>
      </c>
      <c r="BF23" s="4">
        <v>5</v>
      </c>
      <c r="BG23" s="4">
        <v>5</v>
      </c>
      <c r="BH23" s="27">
        <v>46042</v>
      </c>
      <c r="BI23" s="4">
        <v>5</v>
      </c>
      <c r="BJ23" s="4">
        <v>5</v>
      </c>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4">
        <v>3</v>
      </c>
      <c r="CN23" s="4">
        <v>3</v>
      </c>
      <c r="CO23" s="27"/>
      <c r="CP23" s="4">
        <v>5</v>
      </c>
      <c r="CQ23" s="4">
        <v>5</v>
      </c>
      <c r="CR23" s="27"/>
      <c r="CS23" s="27"/>
      <c r="CT23" s="5">
        <v>120</v>
      </c>
      <c r="CU23" s="5">
        <v>120</v>
      </c>
      <c r="CV23" s="27">
        <v>46465</v>
      </c>
      <c r="CW23" s="5">
        <v>10</v>
      </c>
      <c r="CX23" s="5">
        <v>10</v>
      </c>
      <c r="CY23" s="27"/>
      <c r="CZ23" s="5">
        <v>0</v>
      </c>
      <c r="DA23" s="5">
        <v>0</v>
      </c>
      <c r="DB23" s="27">
        <v>46042</v>
      </c>
      <c r="DC23" s="31"/>
      <c r="DD23" s="31"/>
      <c r="DE23" s="31"/>
      <c r="DF23" s="4">
        <v>20</v>
      </c>
      <c r="DG23" s="4">
        <v>20</v>
      </c>
      <c r="DH23" s="27">
        <v>46493</v>
      </c>
      <c r="DI23" s="89">
        <v>1</v>
      </c>
      <c r="DJ23" s="4">
        <v>20</v>
      </c>
      <c r="DK23" s="4">
        <v>20</v>
      </c>
      <c r="DL23" s="27">
        <v>46521</v>
      </c>
      <c r="DM23" s="27"/>
      <c r="DN23" s="27"/>
      <c r="DO23" s="27"/>
      <c r="DP23" s="27"/>
      <c r="DQ23" s="27"/>
      <c r="DR23" s="27"/>
      <c r="DS23" s="27"/>
      <c r="DT23" s="27"/>
      <c r="DU23" s="27"/>
      <c r="DV23" s="27"/>
      <c r="DW23" s="27"/>
      <c r="DX23" s="27"/>
      <c r="DY23" s="27"/>
      <c r="DZ23" s="27"/>
      <c r="EA23" s="27"/>
      <c r="EB23" s="27"/>
      <c r="EC23" s="27"/>
      <c r="ED23" s="27"/>
      <c r="EE23" s="4">
        <v>0</v>
      </c>
      <c r="EF23" s="4">
        <v>0</v>
      </c>
      <c r="EG23" s="27">
        <v>46521</v>
      </c>
      <c r="EH23" s="4">
        <v>30</v>
      </c>
      <c r="EI23" s="4">
        <v>30</v>
      </c>
      <c r="EJ23" s="27">
        <v>46084</v>
      </c>
      <c r="EK23" s="27"/>
      <c r="EL23" s="27"/>
      <c r="EM23" s="27"/>
      <c r="EN23" s="27"/>
      <c r="EO23" s="27"/>
      <c r="EP23" s="27"/>
      <c r="EQ23" s="27"/>
      <c r="ER23" s="27"/>
      <c r="ES23" s="27"/>
      <c r="ET23" s="27"/>
      <c r="EU23" s="27"/>
      <c r="EV23" s="27"/>
      <c r="EW23" s="27"/>
      <c r="EX23" s="27"/>
      <c r="EY23" s="27"/>
      <c r="EZ23" s="4">
        <v>5</v>
      </c>
      <c r="FA23" s="4">
        <v>5</v>
      </c>
      <c r="FB23" s="27">
        <v>46528</v>
      </c>
      <c r="FC23" s="27"/>
      <c r="FD23" s="27"/>
      <c r="FE23" s="27"/>
      <c r="FF23" s="27"/>
      <c r="FG23" s="27"/>
      <c r="FH23" s="27"/>
      <c r="FI23" s="4">
        <v>15</v>
      </c>
      <c r="FJ23" s="4">
        <v>15</v>
      </c>
      <c r="FK23" s="27">
        <v>46549</v>
      </c>
      <c r="FL23" s="4">
        <v>0</v>
      </c>
      <c r="FM23" s="4">
        <v>0</v>
      </c>
      <c r="FN23" s="27">
        <v>46549</v>
      </c>
      <c r="FO23" s="4">
        <v>40</v>
      </c>
      <c r="FP23" s="4">
        <v>40</v>
      </c>
      <c r="FQ23" s="27">
        <v>46605</v>
      </c>
      <c r="FR23" s="27"/>
      <c r="FS23" s="109"/>
      <c r="FT23" s="54">
        <f>NETWORKDAYS($I24,FO24)</f>
        <v>566</v>
      </c>
      <c r="FU23" s="54">
        <f>NETWORKDAYS($I24,FP24)</f>
        <v>305</v>
      </c>
      <c r="FV23" s="54">
        <f>IF(FQ24="",NETWORKDAYS($I24,FP24),NETWORKDAYS($I24,FQ24))</f>
        <v>305</v>
      </c>
      <c r="FW23" s="55" t="s">
        <v>464</v>
      </c>
    </row>
    <row r="24" spans="1:179" x14ac:dyDescent="0.25">
      <c r="A24" s="23" t="s">
        <v>478</v>
      </c>
      <c r="B24" s="23">
        <v>132494</v>
      </c>
      <c r="C24" s="24" t="str">
        <f>VLOOKUP(B24,'[1]PM View-Mastersheet'!$A:$B,2,0)</f>
        <v>3102476-3</v>
      </c>
      <c r="D24" s="65"/>
      <c r="E24" s="23" t="str">
        <f>IF(D24="","Unknown",IF(D24&lt;=FM24+90,"Red",IF(AND(D24&gt;FM24+90,D24&lt;=FM24+180),"Yellow",IF(AND(D24&gt;FM24+180,D24&lt;=FM24+690),"Green","Covered"))))</f>
        <v>Unknown</v>
      </c>
      <c r="F24" s="25" t="s">
        <v>466</v>
      </c>
      <c r="G24" s="26"/>
      <c r="H24" s="26" t="str">
        <f>IF(CR24="","Pre-Execution","Execution")</f>
        <v>Execution</v>
      </c>
      <c r="I24" s="46">
        <v>45814</v>
      </c>
      <c r="J24" s="28"/>
      <c r="K24" s="28"/>
      <c r="L24" s="28"/>
      <c r="M24" s="10">
        <v>45853</v>
      </c>
      <c r="N24" s="10">
        <f>WORKDAY(I24,N23)</f>
        <v>45853</v>
      </c>
      <c r="O24" s="56">
        <v>45973</v>
      </c>
      <c r="P24" s="10">
        <v>45853</v>
      </c>
      <c r="Q24" s="10">
        <f>IF(O24="",WORKDAY(N24,Q23),WORKDAY(O24,Q23))</f>
        <v>45973</v>
      </c>
      <c r="R24" s="56">
        <v>45973</v>
      </c>
      <c r="S24" s="28"/>
      <c r="T24" s="28"/>
      <c r="U24" s="28"/>
      <c r="V24" s="10">
        <v>45895</v>
      </c>
      <c r="W24" s="10">
        <f>IF(R24="",WORKDAY(Q24,W23),WORKDAY(R24,W23))</f>
        <v>46015</v>
      </c>
      <c r="X24" s="56">
        <f>V24</f>
        <v>45895</v>
      </c>
      <c r="Y24" s="10">
        <v>45951</v>
      </c>
      <c r="Z24" s="10">
        <f>IF(R24="",WORKDAY(Q24,Z23),WORKDAY(R24,Z23))</f>
        <v>46071</v>
      </c>
      <c r="AA24" s="56"/>
      <c r="AB24" s="10">
        <v>45814</v>
      </c>
      <c r="AC24" s="10">
        <f>WORKDAY(I24,AC23)</f>
        <v>45814</v>
      </c>
      <c r="AD24" s="56"/>
      <c r="AE24" s="10">
        <v>45919</v>
      </c>
      <c r="AF24" s="10">
        <f>IF(AD24="",WORKDAY(AC24,AF23),WORKDAY(AD24,AF23))</f>
        <v>45919</v>
      </c>
      <c r="AG24" s="56">
        <v>45940</v>
      </c>
      <c r="AH24" s="10">
        <v>45958</v>
      </c>
      <c r="AI24" s="10">
        <f>WORKDAY(IF(AA24="",IF(Z24&gt;AF24,Z24,AF24),IF(AA24&gt;AG24,AA24,AG24)),AI23)</f>
        <v>46078</v>
      </c>
      <c r="AJ24" s="10">
        <f>WORKDAY(IF(AA24&gt;AG24,AA24,AG24),AJ23)</f>
        <v>45940</v>
      </c>
      <c r="AK24" s="10">
        <v>45986</v>
      </c>
      <c r="AL24" s="10">
        <f>IF(AJ24="",WORKDAY(AI24,AL23),WORKDAY(AJ24,AL23))</f>
        <v>45968</v>
      </c>
      <c r="AM24" s="10">
        <f>IF(AK24="",WORKDAY(AJ24,AM23),WORKDAY(AK24,AM23))</f>
        <v>45986</v>
      </c>
      <c r="AN24" s="10">
        <v>45986</v>
      </c>
      <c r="AO24" s="10">
        <v>45986</v>
      </c>
      <c r="AP24" s="10">
        <v>45986</v>
      </c>
      <c r="AQ24" s="10">
        <v>46014</v>
      </c>
      <c r="AR24" s="10">
        <v>46014</v>
      </c>
      <c r="AS24" s="56">
        <v>45940</v>
      </c>
      <c r="AT24" s="10">
        <v>45993</v>
      </c>
      <c r="AU24" s="10">
        <v>45993</v>
      </c>
      <c r="AV24" s="10">
        <v>45993</v>
      </c>
      <c r="AW24" s="10">
        <v>46028</v>
      </c>
      <c r="AX24" s="10">
        <f>IF(AS24="",IF(AR24&gt;AU24,WORKDAY(AR24,AX23),WORKDAY(AU24,AX23)),IF(AS24&gt;AV24,WORKDAY(AS24,AX23),WORKDAY(AV24,AX23)))</f>
        <v>46007</v>
      </c>
      <c r="AY24" s="10">
        <v>46028</v>
      </c>
      <c r="AZ24" s="10">
        <v>46028</v>
      </c>
      <c r="BA24" s="10">
        <f>IF(AP24="",WORKDAY(AO24,BA23),WORKDAY(AP24,BA23))</f>
        <v>46028</v>
      </c>
      <c r="BB24" s="56">
        <v>46028</v>
      </c>
      <c r="BC24" s="10">
        <v>46035</v>
      </c>
      <c r="BD24" s="10">
        <f>IF(AY24="",IF(AX24&gt;BA24,WORKDAY(AX24,BD23),WORKDAY(BA24,BD23)),IF(AY24&gt;BB24,WORKDAY(AY24,BD23),WORKDAY(BB24,BD23)))</f>
        <v>46035</v>
      </c>
      <c r="BE24" s="56">
        <v>46035</v>
      </c>
      <c r="BF24" s="10">
        <v>46042</v>
      </c>
      <c r="BG24" s="10">
        <f>IF(BE24="",WORKDAY(BD24,BG23),WORKDAY(BE24,BG23))</f>
        <v>46042</v>
      </c>
      <c r="BH24" s="56">
        <v>46042</v>
      </c>
      <c r="BI24" s="10">
        <v>46049</v>
      </c>
      <c r="BJ24" s="10">
        <f>IF(BH24="",WORKDAY(BG24,BJ23),WORKDAY(BH24,BJ23))</f>
        <v>46049</v>
      </c>
      <c r="BK24" s="56">
        <v>45814</v>
      </c>
      <c r="BL24" s="28"/>
      <c r="BM24" s="28"/>
      <c r="BN24" s="28"/>
      <c r="BO24" s="28"/>
      <c r="BP24" s="28"/>
      <c r="BQ24" s="28"/>
      <c r="BR24" s="28"/>
      <c r="BS24" s="28"/>
      <c r="BT24" s="28"/>
      <c r="BU24" s="28"/>
      <c r="BV24" s="28"/>
      <c r="BW24" s="28"/>
      <c r="BX24" s="46"/>
      <c r="BY24" s="28"/>
      <c r="BZ24" s="28"/>
      <c r="CA24" s="28"/>
      <c r="CB24" s="28"/>
      <c r="CC24" s="28"/>
      <c r="CD24" s="28"/>
      <c r="CE24" s="28"/>
      <c r="CF24" s="28"/>
      <c r="CG24" s="28"/>
      <c r="CH24" s="28"/>
      <c r="CI24" s="28"/>
      <c r="CJ24" s="28"/>
      <c r="CK24" s="28"/>
      <c r="CL24" s="28"/>
      <c r="CM24" s="10">
        <v>46052</v>
      </c>
      <c r="CN24" s="10">
        <f>IF(BK24="",WORKDAY(BJ24,CN23),WORKDAY(BK24,CN23))</f>
        <v>45819</v>
      </c>
      <c r="CO24" s="56">
        <v>46297</v>
      </c>
      <c r="CP24" s="10">
        <v>46059</v>
      </c>
      <c r="CQ24" s="10">
        <f>IF(CO24="",WORKDAY(CN24,CQ23),WORKDAY(CO24,CQ23))</f>
        <v>46304</v>
      </c>
      <c r="CR24" s="56">
        <v>46297</v>
      </c>
      <c r="CS24" s="77" t="s">
        <v>479</v>
      </c>
      <c r="CT24" s="10">
        <v>46465</v>
      </c>
      <c r="CU24" s="10">
        <f>IF(CR24="",WORKDAY(CQ24,CU23),WORKDAY(CR24,CU23))</f>
        <v>46465</v>
      </c>
      <c r="CV24" s="56">
        <v>46100</v>
      </c>
      <c r="CW24" s="10">
        <v>46042</v>
      </c>
      <c r="CX24" s="10">
        <f>IF(BB24="",WORKDAY(BA24,CX23),WORKDAY(BB24,CX23))</f>
        <v>46042</v>
      </c>
      <c r="CY24" s="56"/>
      <c r="CZ24" s="10">
        <v>46042</v>
      </c>
      <c r="DA24" s="10">
        <f>IF(CY24="",WORKDAY(CX24,DA23),WORKDAY(CY24,DA23))</f>
        <v>46042</v>
      </c>
      <c r="DB24" s="56">
        <v>46042</v>
      </c>
      <c r="DC24" s="45"/>
      <c r="DD24" s="45"/>
      <c r="DE24" s="45"/>
      <c r="DF24" s="10">
        <v>46493</v>
      </c>
      <c r="DG24" s="10">
        <f>IF($CV24="",IF($CU24&gt;$DA24,WORKDAY($CU24,DG23),WORKDAY($DA24,DG23)),IF($CV24&gt;$DB24,WORKDAY($CV24,DG23),WORKDAY($DB24,DG23)))</f>
        <v>46128</v>
      </c>
      <c r="DH24" s="56"/>
      <c r="DI24" s="46"/>
      <c r="DJ24" s="10">
        <v>46521</v>
      </c>
      <c r="DK24" s="10">
        <f>IF(DH24="",WORKDAY(DG24,DK23*$DI23),WORKDAY(DH24,DK23*$DI23))</f>
        <v>46156</v>
      </c>
      <c r="DL24" s="56"/>
      <c r="DM24" s="46"/>
      <c r="DN24" s="46"/>
      <c r="DO24" s="46"/>
      <c r="DP24" s="46"/>
      <c r="DQ24" s="46"/>
      <c r="DR24" s="46"/>
      <c r="DS24" s="46"/>
      <c r="DT24" s="46"/>
      <c r="DU24" s="46"/>
      <c r="DV24" s="46"/>
      <c r="DW24" s="46"/>
      <c r="DX24" s="46"/>
      <c r="DY24" s="46"/>
      <c r="DZ24" s="46"/>
      <c r="EA24" s="46"/>
      <c r="EB24" s="46"/>
      <c r="EC24" s="46"/>
      <c r="ED24" s="46"/>
      <c r="EE24" s="10">
        <v>46521</v>
      </c>
      <c r="EF24" s="10">
        <f>IF(DL24="",WORKDAY(DK24,EF23),WORKDAY(DL24,EF23))</f>
        <v>46156</v>
      </c>
      <c r="EG24" s="56"/>
      <c r="EH24" s="10">
        <v>46449</v>
      </c>
      <c r="EI24" s="10">
        <v>46449</v>
      </c>
      <c r="EJ24" s="56"/>
      <c r="EK24" s="27"/>
      <c r="EL24" s="27"/>
      <c r="EM24" s="27"/>
      <c r="EN24" s="27"/>
      <c r="EO24" s="28"/>
      <c r="EP24" s="28"/>
      <c r="EQ24" s="28"/>
      <c r="ER24" s="28"/>
      <c r="ES24" s="28"/>
      <c r="ET24" s="28"/>
      <c r="EU24" s="28"/>
      <c r="EV24" s="28"/>
      <c r="EW24" s="28"/>
      <c r="EX24" s="28"/>
      <c r="EY24" s="28"/>
      <c r="EZ24" s="10">
        <v>46528</v>
      </c>
      <c r="FA24" s="10">
        <f>IF(EG24="",WORKDAY(EF24,FA23),WORKDAY(EG24,FA23))</f>
        <v>46163</v>
      </c>
      <c r="FB24" s="56"/>
      <c r="FC24" s="28"/>
      <c r="FD24" s="28"/>
      <c r="FE24" s="28"/>
      <c r="FF24" s="28"/>
      <c r="FG24" s="28"/>
      <c r="FH24" s="28"/>
      <c r="FI24" s="10">
        <v>46549</v>
      </c>
      <c r="FJ24" s="10">
        <f>IF(FB24="",WORKDAY(FA24,FJ23),WORKDAY(FB24,FJ23))</f>
        <v>46184</v>
      </c>
      <c r="FK24" s="56"/>
      <c r="FL24" s="10">
        <v>46549</v>
      </c>
      <c r="FM24" s="10">
        <f>IF(FK24="",WORKDAY(FJ24,FM23),WORKDAY(FK24,FM23))</f>
        <v>46184</v>
      </c>
      <c r="FN24" s="56"/>
      <c r="FO24" s="10">
        <v>46605</v>
      </c>
      <c r="FP24" s="10">
        <f>WORKDAY(FM24,FP23)</f>
        <v>46240</v>
      </c>
      <c r="FQ24" s="56"/>
      <c r="FR24" s="77" t="str">
        <f>IF(NETWORKDAYS(FJ24,FO24)&gt;=30,"On-Track",IF(AND(NETWORKDAYS(FJ24,FO24)&lt;30,FJ24&lt;=FO24),"At Risk","Missed TCD"))</f>
        <v>On-Track</v>
      </c>
      <c r="FS24" s="110" t="s">
        <v>480</v>
      </c>
      <c r="FT24" s="57">
        <f>NETWORKDAYS(CP24,FI24)</f>
        <v>351</v>
      </c>
      <c r="FU24" s="57">
        <f>NETWORKDAYS(CQ24,FJ24)</f>
        <v>-87</v>
      </c>
      <c r="FV24" s="57">
        <f>IF(BH24="",NETWORKDAYS(BG24,FJ24),IF(FK24="",NETWORKDAYS(BH24,FJ24),NETWORKDAYS(BH24,FK24)))</f>
        <v>103</v>
      </c>
      <c r="FW24" s="58" t="s">
        <v>467</v>
      </c>
    </row>
    <row r="25" spans="1:179" outlineLevel="1" x14ac:dyDescent="0.25">
      <c r="A25" s="23" t="s">
        <v>478</v>
      </c>
      <c r="B25" s="23">
        <v>132495</v>
      </c>
      <c r="C25" s="24" t="str">
        <f>VLOOKUP(B25,'[1]PM View-Mastersheet'!$A:$B,2,0)</f>
        <v>3102476-4</v>
      </c>
      <c r="D25" s="95"/>
      <c r="E25" s="24"/>
      <c r="F25" s="25" t="s">
        <v>463</v>
      </c>
      <c r="G25" s="26"/>
      <c r="H25" s="26"/>
      <c r="I25" s="27"/>
      <c r="J25" s="27"/>
      <c r="K25" s="27"/>
      <c r="L25" s="27"/>
      <c r="M25" s="4">
        <v>27</v>
      </c>
      <c r="N25" s="4">
        <v>27</v>
      </c>
      <c r="O25" s="27"/>
      <c r="P25" s="4">
        <v>0</v>
      </c>
      <c r="Q25" s="4">
        <v>0</v>
      </c>
      <c r="R25" s="27"/>
      <c r="S25" s="27"/>
      <c r="T25" s="27"/>
      <c r="U25" s="27"/>
      <c r="V25" s="4">
        <v>30</v>
      </c>
      <c r="W25" s="4">
        <v>30</v>
      </c>
      <c r="X25" s="27"/>
      <c r="Y25" s="4">
        <v>70</v>
      </c>
      <c r="Z25" s="4">
        <v>70</v>
      </c>
      <c r="AA25" s="27"/>
      <c r="AB25" s="4">
        <v>0</v>
      </c>
      <c r="AC25" s="4">
        <v>0</v>
      </c>
      <c r="AD25" s="27"/>
      <c r="AE25" s="4">
        <v>75</v>
      </c>
      <c r="AF25" s="4">
        <v>75</v>
      </c>
      <c r="AG25" s="27"/>
      <c r="AH25" s="4">
        <v>5</v>
      </c>
      <c r="AI25" s="4">
        <v>5</v>
      </c>
      <c r="AJ25" s="27"/>
      <c r="AK25" s="4">
        <v>20</v>
      </c>
      <c r="AL25" s="4">
        <v>20</v>
      </c>
      <c r="AM25" s="27"/>
      <c r="AN25" s="4">
        <v>0</v>
      </c>
      <c r="AO25" s="4">
        <v>0</v>
      </c>
      <c r="AP25" s="27"/>
      <c r="AQ25" s="4">
        <v>20</v>
      </c>
      <c r="AR25" s="4">
        <v>20</v>
      </c>
      <c r="AS25" s="27"/>
      <c r="AT25" s="4">
        <v>5</v>
      </c>
      <c r="AU25" s="4">
        <v>45993</v>
      </c>
      <c r="AV25" s="27">
        <v>45993</v>
      </c>
      <c r="AW25" s="4">
        <v>10</v>
      </c>
      <c r="AX25" s="4">
        <v>10</v>
      </c>
      <c r="AY25" s="27">
        <v>46028</v>
      </c>
      <c r="AZ25" s="4">
        <v>30</v>
      </c>
      <c r="BA25" s="4">
        <v>30</v>
      </c>
      <c r="BB25" s="27">
        <v>46028</v>
      </c>
      <c r="BC25" s="4">
        <v>5</v>
      </c>
      <c r="BD25" s="4">
        <v>5</v>
      </c>
      <c r="BE25" s="27">
        <v>46035</v>
      </c>
      <c r="BF25" s="4">
        <v>5</v>
      </c>
      <c r="BG25" s="4">
        <v>5</v>
      </c>
      <c r="BH25" s="27">
        <v>46042</v>
      </c>
      <c r="BI25" s="4">
        <v>5</v>
      </c>
      <c r="BJ25" s="4">
        <v>5</v>
      </c>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4">
        <v>3</v>
      </c>
      <c r="CN25" s="4">
        <v>3</v>
      </c>
      <c r="CO25" s="27"/>
      <c r="CP25" s="4">
        <v>5</v>
      </c>
      <c r="CQ25" s="4">
        <v>5</v>
      </c>
      <c r="CR25" s="27"/>
      <c r="CS25" s="27"/>
      <c r="CT25" s="5">
        <v>120</v>
      </c>
      <c r="CU25" s="5">
        <v>120</v>
      </c>
      <c r="CV25" s="27">
        <v>46465</v>
      </c>
      <c r="CW25" s="5">
        <v>10</v>
      </c>
      <c r="CX25" s="5">
        <v>10</v>
      </c>
      <c r="CY25" s="27"/>
      <c r="CZ25" s="5">
        <v>0</v>
      </c>
      <c r="DA25" s="5">
        <v>0</v>
      </c>
      <c r="DB25" s="27">
        <v>46042</v>
      </c>
      <c r="DC25" s="31"/>
      <c r="DD25" s="31"/>
      <c r="DE25" s="31"/>
      <c r="DF25" s="4">
        <v>20</v>
      </c>
      <c r="DG25" s="4">
        <v>20</v>
      </c>
      <c r="DH25" s="27">
        <v>46493</v>
      </c>
      <c r="DI25" s="89">
        <v>1</v>
      </c>
      <c r="DJ25" s="4">
        <v>20</v>
      </c>
      <c r="DK25" s="4">
        <v>20</v>
      </c>
      <c r="DL25" s="27">
        <v>46521</v>
      </c>
      <c r="DM25" s="27"/>
      <c r="DN25" s="27"/>
      <c r="DO25" s="27"/>
      <c r="DP25" s="27"/>
      <c r="DQ25" s="27"/>
      <c r="DR25" s="27"/>
      <c r="DS25" s="27"/>
      <c r="DT25" s="27"/>
      <c r="DU25" s="27"/>
      <c r="DV25" s="27"/>
      <c r="DW25" s="27"/>
      <c r="DX25" s="27"/>
      <c r="DY25" s="27"/>
      <c r="DZ25" s="27"/>
      <c r="EA25" s="27"/>
      <c r="EB25" s="27"/>
      <c r="EC25" s="27"/>
      <c r="ED25" s="27"/>
      <c r="EE25" s="4">
        <v>0</v>
      </c>
      <c r="EF25" s="4">
        <v>0</v>
      </c>
      <c r="EG25" s="27">
        <v>46521</v>
      </c>
      <c r="EH25" s="4">
        <v>30</v>
      </c>
      <c r="EI25" s="4">
        <v>30</v>
      </c>
      <c r="EJ25" s="27">
        <v>46084</v>
      </c>
      <c r="EK25" s="27"/>
      <c r="EL25" s="27"/>
      <c r="EM25" s="27"/>
      <c r="EN25" s="27"/>
      <c r="EO25" s="27"/>
      <c r="EP25" s="27"/>
      <c r="EQ25" s="27"/>
      <c r="ER25" s="27"/>
      <c r="ES25" s="27"/>
      <c r="ET25" s="27"/>
      <c r="EU25" s="27"/>
      <c r="EV25" s="27"/>
      <c r="EW25" s="27"/>
      <c r="EX25" s="27"/>
      <c r="EY25" s="27"/>
      <c r="EZ25" s="4">
        <v>5</v>
      </c>
      <c r="FA25" s="4">
        <v>5</v>
      </c>
      <c r="FB25" s="27">
        <v>46528</v>
      </c>
      <c r="FC25" s="27"/>
      <c r="FD25" s="27"/>
      <c r="FE25" s="27"/>
      <c r="FF25" s="27"/>
      <c r="FG25" s="27"/>
      <c r="FH25" s="27"/>
      <c r="FI25" s="4">
        <v>15</v>
      </c>
      <c r="FJ25" s="4">
        <v>15</v>
      </c>
      <c r="FK25" s="27">
        <v>46549</v>
      </c>
      <c r="FL25" s="4">
        <v>0</v>
      </c>
      <c r="FM25" s="4">
        <v>0</v>
      </c>
      <c r="FN25" s="27">
        <v>46549</v>
      </c>
      <c r="FO25" s="4">
        <v>40</v>
      </c>
      <c r="FP25" s="4">
        <v>40</v>
      </c>
      <c r="FQ25" s="27">
        <v>46605</v>
      </c>
      <c r="FR25" s="27"/>
      <c r="FS25" s="109"/>
      <c r="FT25" s="54">
        <f>NETWORKDAYS($I26,FO26)</f>
        <v>566</v>
      </c>
      <c r="FU25" s="54">
        <f>NETWORKDAYS($I26,FP26)</f>
        <v>305</v>
      </c>
      <c r="FV25" s="54">
        <f>IF(FQ26="",NETWORKDAYS($I26,FP26),NETWORKDAYS($I26,FQ26))</f>
        <v>305</v>
      </c>
      <c r="FW25" s="55" t="s">
        <v>464</v>
      </c>
    </row>
    <row r="26" spans="1:179" x14ac:dyDescent="0.25">
      <c r="A26" s="23" t="s">
        <v>478</v>
      </c>
      <c r="B26" s="23">
        <v>132495</v>
      </c>
      <c r="C26" s="24" t="str">
        <f>VLOOKUP(B26,'[1]PM View-Mastersheet'!$A:$B,2,0)</f>
        <v>3102476-4</v>
      </c>
      <c r="D26" s="65"/>
      <c r="E26" s="23" t="str">
        <f>IF(D26="","Unknown",IF(D26&lt;=FM26+90,"Red",IF(AND(D26&gt;FM26+90,D26&lt;=FM26+180),"Yellow",IF(AND(D26&gt;FM26+180,D26&lt;=FM26+690),"Green","Covered"))))</f>
        <v>Unknown</v>
      </c>
      <c r="F26" s="25" t="s">
        <v>466</v>
      </c>
      <c r="G26" s="26"/>
      <c r="H26" s="26" t="str">
        <f>IF(CR26="","Pre-Execution","Execution")</f>
        <v>Execution</v>
      </c>
      <c r="I26" s="46">
        <v>45814</v>
      </c>
      <c r="J26" s="28"/>
      <c r="K26" s="28"/>
      <c r="L26" s="28"/>
      <c r="M26" s="10">
        <v>45853</v>
      </c>
      <c r="N26" s="10">
        <f>WORKDAY(I26,N25)</f>
        <v>45853</v>
      </c>
      <c r="O26" s="56">
        <v>45973</v>
      </c>
      <c r="P26" s="10">
        <v>45853</v>
      </c>
      <c r="Q26" s="10">
        <f>IF(O26="",WORKDAY(N26,Q25),WORKDAY(O26,Q25))</f>
        <v>45973</v>
      </c>
      <c r="R26" s="56">
        <v>45973</v>
      </c>
      <c r="S26" s="28"/>
      <c r="T26" s="28"/>
      <c r="U26" s="28"/>
      <c r="V26" s="10">
        <v>45895</v>
      </c>
      <c r="W26" s="10">
        <f>IF(R26="",WORKDAY(Q26,W25),WORKDAY(R26,W25))</f>
        <v>46015</v>
      </c>
      <c r="X26" s="56">
        <f>V26</f>
        <v>45895</v>
      </c>
      <c r="Y26" s="10">
        <v>45951</v>
      </c>
      <c r="Z26" s="10">
        <f>IF(R26="",WORKDAY(Q26,Z25),WORKDAY(R26,Z25))</f>
        <v>46071</v>
      </c>
      <c r="AA26" s="56"/>
      <c r="AB26" s="10">
        <v>45814</v>
      </c>
      <c r="AC26" s="10">
        <f>WORKDAY(I26,AC25)</f>
        <v>45814</v>
      </c>
      <c r="AD26" s="56"/>
      <c r="AE26" s="10">
        <v>45919</v>
      </c>
      <c r="AF26" s="10">
        <f>IF(AD26="",WORKDAY(AC26,AF25),WORKDAY(AD26,AF25))</f>
        <v>45919</v>
      </c>
      <c r="AG26" s="56">
        <v>45940</v>
      </c>
      <c r="AH26" s="10">
        <v>45958</v>
      </c>
      <c r="AI26" s="10">
        <f>WORKDAY(IF(AA26="",IF(Z26&gt;AF26,Z26,AF26),IF(AA26&gt;AG26,AA26,AG26)),AI25)</f>
        <v>46078</v>
      </c>
      <c r="AJ26" s="10">
        <f>WORKDAY(IF(AA26&gt;AG26,AA26,AG26),AJ25)</f>
        <v>45940</v>
      </c>
      <c r="AK26" s="10">
        <v>45986</v>
      </c>
      <c r="AL26" s="10">
        <f>IF(AJ26="",WORKDAY(AI26,AL25),WORKDAY(AJ26,AL25))</f>
        <v>45968</v>
      </c>
      <c r="AM26" s="10">
        <f>IF(AK26="",WORKDAY(AJ26,AM25),WORKDAY(AK26,AM25))</f>
        <v>45986</v>
      </c>
      <c r="AN26" s="10">
        <v>45986</v>
      </c>
      <c r="AO26" s="10">
        <v>45986</v>
      </c>
      <c r="AP26" s="10">
        <v>45986</v>
      </c>
      <c r="AQ26" s="10">
        <v>46014</v>
      </c>
      <c r="AR26" s="10">
        <v>46014</v>
      </c>
      <c r="AS26" s="56">
        <v>45940</v>
      </c>
      <c r="AT26" s="10">
        <v>45993</v>
      </c>
      <c r="AU26" s="10">
        <v>45993</v>
      </c>
      <c r="AV26" s="10">
        <v>45993</v>
      </c>
      <c r="AW26" s="10">
        <v>46028</v>
      </c>
      <c r="AX26" s="10">
        <f>IF(AS26="",IF(AR26&gt;AU26,WORKDAY(AR26,AX25),WORKDAY(AU26,AX25)),IF(AS26&gt;AV26,WORKDAY(AS26,AX25),WORKDAY(AV26,AX25)))</f>
        <v>46007</v>
      </c>
      <c r="AY26" s="10">
        <v>46028</v>
      </c>
      <c r="AZ26" s="10">
        <v>46028</v>
      </c>
      <c r="BA26" s="10">
        <f>IF(AP26="",WORKDAY(AO26,BA25),WORKDAY(AP26,BA25))</f>
        <v>46028</v>
      </c>
      <c r="BB26" s="56">
        <v>46028</v>
      </c>
      <c r="BC26" s="10">
        <v>46035</v>
      </c>
      <c r="BD26" s="10">
        <f>IF(AY26="",IF(AX26&gt;BA26,WORKDAY(AX26,BD25),WORKDAY(BA26,BD25)),IF(AY26&gt;BB26,WORKDAY(AY26,BD25),WORKDAY(BB26,BD25)))</f>
        <v>46035</v>
      </c>
      <c r="BE26" s="56">
        <v>46035</v>
      </c>
      <c r="BF26" s="10">
        <v>46042</v>
      </c>
      <c r="BG26" s="10">
        <f>IF(BE26="",WORKDAY(BD26,BG25),WORKDAY(BE26,BG25))</f>
        <v>46042</v>
      </c>
      <c r="BH26" s="56">
        <v>46042</v>
      </c>
      <c r="BI26" s="10">
        <v>46049</v>
      </c>
      <c r="BJ26" s="10">
        <f>IF(BH26="",WORKDAY(BG26,BJ25),WORKDAY(BH26,BJ25))</f>
        <v>46049</v>
      </c>
      <c r="BK26" s="56">
        <v>45814</v>
      </c>
      <c r="BL26" s="28"/>
      <c r="BM26" s="28"/>
      <c r="BN26" s="28"/>
      <c r="BO26" s="28"/>
      <c r="BP26" s="28"/>
      <c r="BQ26" s="28"/>
      <c r="BR26" s="28"/>
      <c r="BS26" s="28"/>
      <c r="BT26" s="28"/>
      <c r="BU26" s="28"/>
      <c r="BV26" s="28"/>
      <c r="BW26" s="28"/>
      <c r="BX26" s="46"/>
      <c r="BY26" s="28"/>
      <c r="BZ26" s="28"/>
      <c r="CA26" s="28"/>
      <c r="CB26" s="28"/>
      <c r="CC26" s="28"/>
      <c r="CD26" s="28"/>
      <c r="CE26" s="28"/>
      <c r="CF26" s="28"/>
      <c r="CG26" s="28"/>
      <c r="CH26" s="28"/>
      <c r="CI26" s="28"/>
      <c r="CJ26" s="28"/>
      <c r="CK26" s="28"/>
      <c r="CL26" s="28"/>
      <c r="CM26" s="10">
        <v>46052</v>
      </c>
      <c r="CN26" s="10">
        <f>IF(BK26="",WORKDAY(BJ26,CN25),WORKDAY(BK26,CN25))</f>
        <v>45819</v>
      </c>
      <c r="CO26" s="56">
        <v>46297</v>
      </c>
      <c r="CP26" s="10">
        <v>46059</v>
      </c>
      <c r="CQ26" s="10">
        <f>IF(CO26="",WORKDAY(CN26,CQ25),WORKDAY(CO26,CQ25))</f>
        <v>46304</v>
      </c>
      <c r="CR26" s="56">
        <v>46297</v>
      </c>
      <c r="CS26" s="77" t="s">
        <v>479</v>
      </c>
      <c r="CT26" s="10">
        <v>46465</v>
      </c>
      <c r="CU26" s="10">
        <f>IF(CR26="",WORKDAY(CQ26,CU25),WORKDAY(CR26,CU25))</f>
        <v>46465</v>
      </c>
      <c r="CV26" s="56">
        <v>46100</v>
      </c>
      <c r="CW26" s="10">
        <v>46042</v>
      </c>
      <c r="CX26" s="10">
        <f>IF(BB26="",WORKDAY(BA26,CX25),WORKDAY(BB26,CX25))</f>
        <v>46042</v>
      </c>
      <c r="CY26" s="56"/>
      <c r="CZ26" s="10">
        <v>46042</v>
      </c>
      <c r="DA26" s="10">
        <f>IF(CY26="",WORKDAY(CX26,DA25),WORKDAY(CY26,DA25))</f>
        <v>46042</v>
      </c>
      <c r="DB26" s="56">
        <v>46042</v>
      </c>
      <c r="DC26" s="45"/>
      <c r="DD26" s="45"/>
      <c r="DE26" s="45"/>
      <c r="DF26" s="10">
        <v>46493</v>
      </c>
      <c r="DG26" s="10">
        <f>IF($CV26="",IF($CU26&gt;$DA26,WORKDAY($CU26,DG25),WORKDAY($DA26,DG25)),IF($CV26&gt;$DB26,WORKDAY($CV26,DG25),WORKDAY($DB26,DG25)))</f>
        <v>46128</v>
      </c>
      <c r="DH26" s="56"/>
      <c r="DI26" s="46"/>
      <c r="DJ26" s="10">
        <v>46521</v>
      </c>
      <c r="DK26" s="10">
        <f>IF(DH26="",WORKDAY(DG26,DK25*$DI25),WORKDAY(DH26,DK25*$DI25))</f>
        <v>46156</v>
      </c>
      <c r="DL26" s="56"/>
      <c r="DM26" s="46"/>
      <c r="DN26" s="46"/>
      <c r="DO26" s="46"/>
      <c r="DP26" s="46"/>
      <c r="DQ26" s="46"/>
      <c r="DR26" s="46"/>
      <c r="DS26" s="46"/>
      <c r="DT26" s="46"/>
      <c r="DU26" s="46"/>
      <c r="DV26" s="46"/>
      <c r="DW26" s="46"/>
      <c r="DX26" s="46"/>
      <c r="DY26" s="46"/>
      <c r="DZ26" s="46"/>
      <c r="EA26" s="46"/>
      <c r="EB26" s="46"/>
      <c r="EC26" s="46"/>
      <c r="ED26" s="46"/>
      <c r="EE26" s="10">
        <v>46521</v>
      </c>
      <c r="EF26" s="10">
        <f>IF(DL26="",WORKDAY(DK26,EF25),WORKDAY(DL26,EF25))</f>
        <v>46156</v>
      </c>
      <c r="EG26" s="56"/>
      <c r="EH26" s="10">
        <v>46449</v>
      </c>
      <c r="EI26" s="10">
        <v>46449</v>
      </c>
      <c r="EJ26" s="56"/>
      <c r="EK26" s="27"/>
      <c r="EL26" s="27"/>
      <c r="EM26" s="27"/>
      <c r="EN26" s="27"/>
      <c r="EO26" s="28"/>
      <c r="EP26" s="28"/>
      <c r="EQ26" s="28"/>
      <c r="ER26" s="28"/>
      <c r="ES26" s="28"/>
      <c r="ET26" s="28"/>
      <c r="EU26" s="28"/>
      <c r="EV26" s="28"/>
      <c r="EW26" s="28"/>
      <c r="EX26" s="28"/>
      <c r="EY26" s="28"/>
      <c r="EZ26" s="10">
        <v>46528</v>
      </c>
      <c r="FA26" s="10">
        <f>IF(EG26="",WORKDAY(EF26,FA25),WORKDAY(EG26,FA25))</f>
        <v>46163</v>
      </c>
      <c r="FB26" s="56"/>
      <c r="FC26" s="28"/>
      <c r="FD26" s="28"/>
      <c r="FE26" s="28"/>
      <c r="FF26" s="28"/>
      <c r="FG26" s="28"/>
      <c r="FH26" s="28"/>
      <c r="FI26" s="10">
        <v>46549</v>
      </c>
      <c r="FJ26" s="10">
        <f>IF(FB26="",WORKDAY(FA26,FJ25),WORKDAY(FB26,FJ25))</f>
        <v>46184</v>
      </c>
      <c r="FK26" s="56"/>
      <c r="FL26" s="10">
        <v>46549</v>
      </c>
      <c r="FM26" s="10">
        <f>IF(FK26="",WORKDAY(FJ26,FM25),WORKDAY(FK26,FM25))</f>
        <v>46184</v>
      </c>
      <c r="FN26" s="56"/>
      <c r="FO26" s="10">
        <v>46605</v>
      </c>
      <c r="FP26" s="10">
        <f>WORKDAY(FM26,FP25)</f>
        <v>46240</v>
      </c>
      <c r="FQ26" s="56"/>
      <c r="FR26" s="77" t="str">
        <f>IF(NETWORKDAYS(FJ26,FO26)&gt;=30,"On-Track",IF(AND(NETWORKDAYS(FJ26,FO26)&lt;30,FJ26&lt;=FO26),"At Risk","Missed TCD"))</f>
        <v>On-Track</v>
      </c>
      <c r="FS26" s="110" t="s">
        <v>480</v>
      </c>
      <c r="FT26" s="57">
        <f>NETWORKDAYS(CP26,FI26)</f>
        <v>351</v>
      </c>
      <c r="FU26" s="57">
        <f>NETWORKDAYS(CQ26,FJ26)</f>
        <v>-87</v>
      </c>
      <c r="FV26" s="57">
        <f>IF(BH26="",NETWORKDAYS(BG26,FJ26),IF(FK26="",NETWORKDAYS(BH26,FJ26),NETWORKDAYS(BH26,FK26)))</f>
        <v>103</v>
      </c>
      <c r="FW26" s="58" t="s">
        <v>467</v>
      </c>
    </row>
    <row r="27" spans="1:179" outlineLevel="1" x14ac:dyDescent="0.25">
      <c r="A27" s="23" t="s">
        <v>478</v>
      </c>
      <c r="B27" s="23">
        <v>132512</v>
      </c>
      <c r="C27" s="24" t="str">
        <f>VLOOKUP(B27,'[1]PM View-Mastersheet'!$A:$B,2,0)</f>
        <v>897205-3</v>
      </c>
      <c r="D27" s="95"/>
      <c r="E27" s="24"/>
      <c r="F27" s="25" t="s">
        <v>463</v>
      </c>
      <c r="G27" s="26"/>
      <c r="H27" s="26"/>
      <c r="I27" s="27"/>
      <c r="J27" s="27"/>
      <c r="K27" s="27"/>
      <c r="L27" s="27"/>
      <c r="M27" s="4">
        <v>27</v>
      </c>
      <c r="N27" s="4">
        <v>27</v>
      </c>
      <c r="O27" s="27"/>
      <c r="P27" s="4">
        <v>0</v>
      </c>
      <c r="Q27" s="4">
        <v>0</v>
      </c>
      <c r="R27" s="27"/>
      <c r="S27" s="27"/>
      <c r="T27" s="27"/>
      <c r="U27" s="27"/>
      <c r="V27" s="4">
        <v>30</v>
      </c>
      <c r="W27" s="4">
        <v>30</v>
      </c>
      <c r="X27" s="27"/>
      <c r="Y27" s="4">
        <v>70</v>
      </c>
      <c r="Z27" s="4">
        <v>70</v>
      </c>
      <c r="AA27" s="27"/>
      <c r="AB27" s="4">
        <v>0</v>
      </c>
      <c r="AC27" s="4">
        <v>0</v>
      </c>
      <c r="AD27" s="27"/>
      <c r="AE27" s="4">
        <v>75</v>
      </c>
      <c r="AF27" s="4">
        <v>75</v>
      </c>
      <c r="AG27" s="27"/>
      <c r="AH27" s="4">
        <v>5</v>
      </c>
      <c r="AI27" s="4">
        <v>5</v>
      </c>
      <c r="AJ27" s="27"/>
      <c r="AK27" s="4">
        <v>20</v>
      </c>
      <c r="AL27" s="4">
        <v>20</v>
      </c>
      <c r="AM27" s="27"/>
      <c r="AN27" s="4">
        <v>0</v>
      </c>
      <c r="AO27" s="4">
        <v>0</v>
      </c>
      <c r="AP27" s="27"/>
      <c r="AQ27" s="4">
        <v>20</v>
      </c>
      <c r="AR27" s="4">
        <v>20</v>
      </c>
      <c r="AS27" s="27"/>
      <c r="AT27" s="4">
        <v>5</v>
      </c>
      <c r="AU27" s="4">
        <v>45993</v>
      </c>
      <c r="AV27" s="27">
        <v>45993</v>
      </c>
      <c r="AW27" s="4">
        <v>10</v>
      </c>
      <c r="AX27" s="4">
        <v>10</v>
      </c>
      <c r="AY27" s="27">
        <v>46028</v>
      </c>
      <c r="AZ27" s="4">
        <v>30</v>
      </c>
      <c r="BA27" s="4">
        <v>30</v>
      </c>
      <c r="BB27" s="27">
        <v>46028</v>
      </c>
      <c r="BC27" s="4">
        <v>5</v>
      </c>
      <c r="BD27" s="4">
        <v>5</v>
      </c>
      <c r="BE27" s="27">
        <v>46035</v>
      </c>
      <c r="BF27" s="4">
        <v>5</v>
      </c>
      <c r="BG27" s="4">
        <v>5</v>
      </c>
      <c r="BH27" s="27">
        <v>46042</v>
      </c>
      <c r="BI27" s="4">
        <v>5</v>
      </c>
      <c r="BJ27" s="4">
        <v>5</v>
      </c>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4">
        <v>3</v>
      </c>
      <c r="CN27" s="4">
        <v>3</v>
      </c>
      <c r="CO27" s="27"/>
      <c r="CP27" s="4">
        <v>5</v>
      </c>
      <c r="CQ27" s="4">
        <v>5</v>
      </c>
      <c r="CR27" s="27"/>
      <c r="CS27" s="27"/>
      <c r="CT27" s="5">
        <v>120</v>
      </c>
      <c r="CU27" s="5">
        <v>120</v>
      </c>
      <c r="CV27" s="27">
        <v>46465</v>
      </c>
      <c r="CW27" s="5">
        <v>10</v>
      </c>
      <c r="CX27" s="5">
        <v>10</v>
      </c>
      <c r="CY27" s="27"/>
      <c r="CZ27" s="5">
        <v>0</v>
      </c>
      <c r="DA27" s="5">
        <v>0</v>
      </c>
      <c r="DB27" s="27">
        <v>46042</v>
      </c>
      <c r="DC27" s="31"/>
      <c r="DD27" s="31"/>
      <c r="DE27" s="31"/>
      <c r="DF27" s="4">
        <v>20</v>
      </c>
      <c r="DG27" s="4">
        <v>20</v>
      </c>
      <c r="DH27" s="27">
        <v>46493</v>
      </c>
      <c r="DI27" s="89">
        <v>1</v>
      </c>
      <c r="DJ27" s="4">
        <v>20</v>
      </c>
      <c r="DK27" s="4">
        <v>20</v>
      </c>
      <c r="DL27" s="27">
        <v>46521</v>
      </c>
      <c r="DM27" s="27"/>
      <c r="DN27" s="27"/>
      <c r="DO27" s="27"/>
      <c r="DP27" s="27"/>
      <c r="DQ27" s="27"/>
      <c r="DR27" s="27"/>
      <c r="DS27" s="27"/>
      <c r="DT27" s="27"/>
      <c r="DU27" s="27"/>
      <c r="DV27" s="27"/>
      <c r="DW27" s="27"/>
      <c r="DX27" s="27"/>
      <c r="DY27" s="27"/>
      <c r="DZ27" s="27"/>
      <c r="EA27" s="27"/>
      <c r="EB27" s="27"/>
      <c r="EC27" s="27"/>
      <c r="ED27" s="27"/>
      <c r="EE27" s="4">
        <v>0</v>
      </c>
      <c r="EF27" s="4">
        <v>0</v>
      </c>
      <c r="EG27" s="27">
        <v>46521</v>
      </c>
      <c r="EH27" s="4">
        <v>30</v>
      </c>
      <c r="EI27" s="4">
        <v>30</v>
      </c>
      <c r="EJ27" s="27">
        <v>46084</v>
      </c>
      <c r="EK27" s="27"/>
      <c r="EL27" s="27"/>
      <c r="EM27" s="27"/>
      <c r="EN27" s="27"/>
      <c r="EO27" s="27"/>
      <c r="EP27" s="27"/>
      <c r="EQ27" s="27"/>
      <c r="ER27" s="27"/>
      <c r="ES27" s="27"/>
      <c r="ET27" s="27"/>
      <c r="EU27" s="27"/>
      <c r="EV27" s="27"/>
      <c r="EW27" s="27"/>
      <c r="EX27" s="27"/>
      <c r="EY27" s="27"/>
      <c r="EZ27" s="4">
        <v>5</v>
      </c>
      <c r="FA27" s="4">
        <v>5</v>
      </c>
      <c r="FB27" s="27">
        <v>46528</v>
      </c>
      <c r="FC27" s="27"/>
      <c r="FD27" s="27"/>
      <c r="FE27" s="27"/>
      <c r="FF27" s="27"/>
      <c r="FG27" s="27"/>
      <c r="FH27" s="27"/>
      <c r="FI27" s="4">
        <v>15</v>
      </c>
      <c r="FJ27" s="4">
        <v>15</v>
      </c>
      <c r="FK27" s="27">
        <v>46549</v>
      </c>
      <c r="FL27" s="4">
        <v>0</v>
      </c>
      <c r="FM27" s="4">
        <v>0</v>
      </c>
      <c r="FN27" s="27">
        <v>46549</v>
      </c>
      <c r="FO27" s="4">
        <v>40</v>
      </c>
      <c r="FP27" s="4">
        <v>40</v>
      </c>
      <c r="FQ27" s="27">
        <v>46605</v>
      </c>
      <c r="FR27" s="27"/>
      <c r="FS27" s="109"/>
      <c r="FT27" s="54">
        <f>NETWORKDAYS($I28,FO28)</f>
        <v>566</v>
      </c>
      <c r="FU27" s="54">
        <f>NETWORKDAYS($I28,FP28)</f>
        <v>305</v>
      </c>
      <c r="FV27" s="54">
        <f>IF(FQ28="",NETWORKDAYS($I28,FP28),NETWORKDAYS($I28,FQ28))</f>
        <v>305</v>
      </c>
      <c r="FW27" s="55" t="s">
        <v>464</v>
      </c>
    </row>
    <row r="28" spans="1:179" x14ac:dyDescent="0.25">
      <c r="A28" s="23" t="s">
        <v>478</v>
      </c>
      <c r="B28" s="23">
        <v>132512</v>
      </c>
      <c r="C28" s="24" t="str">
        <f>VLOOKUP(B28,'[1]PM View-Mastersheet'!$A:$B,2,0)</f>
        <v>897205-3</v>
      </c>
      <c r="D28" s="65"/>
      <c r="E28" s="23" t="str">
        <f>IF(D28="","Unknown",IF(D28&lt;=FM28+90,"Red",IF(AND(D28&gt;FM28+90,D28&lt;=FM28+180),"Yellow",IF(AND(D28&gt;FM28+180,D28&lt;=FM28+690),"Green","Covered"))))</f>
        <v>Unknown</v>
      </c>
      <c r="F28" s="25" t="s">
        <v>466</v>
      </c>
      <c r="G28" s="26"/>
      <c r="H28" s="26" t="str">
        <f>IF(CR28="","Pre-Execution","Execution")</f>
        <v>Execution</v>
      </c>
      <c r="I28" s="46">
        <v>45814</v>
      </c>
      <c r="J28" s="28"/>
      <c r="K28" s="28"/>
      <c r="L28" s="28"/>
      <c r="M28" s="10">
        <v>45853</v>
      </c>
      <c r="N28" s="10">
        <f>WORKDAY(I28,N27)</f>
        <v>45853</v>
      </c>
      <c r="O28" s="56">
        <v>45973</v>
      </c>
      <c r="P28" s="10">
        <v>45853</v>
      </c>
      <c r="Q28" s="10">
        <f>IF(O28="",WORKDAY(N28,Q27),WORKDAY(O28,Q27))</f>
        <v>45973</v>
      </c>
      <c r="R28" s="56">
        <v>45973</v>
      </c>
      <c r="S28" s="28"/>
      <c r="T28" s="28"/>
      <c r="U28" s="28"/>
      <c r="V28" s="10">
        <v>45895</v>
      </c>
      <c r="W28" s="10">
        <f>IF(R28="",WORKDAY(Q28,W27),WORKDAY(R28,W27))</f>
        <v>46015</v>
      </c>
      <c r="X28" s="56">
        <f>V28</f>
        <v>45895</v>
      </c>
      <c r="Y28" s="10">
        <v>45951</v>
      </c>
      <c r="Z28" s="10">
        <f>IF(R28="",WORKDAY(Q28,Z27),WORKDAY(R28,Z27))</f>
        <v>46071</v>
      </c>
      <c r="AA28" s="56"/>
      <c r="AB28" s="10">
        <v>45814</v>
      </c>
      <c r="AC28" s="10">
        <f>WORKDAY(I28,AC27)</f>
        <v>45814</v>
      </c>
      <c r="AD28" s="56"/>
      <c r="AE28" s="10">
        <v>45919</v>
      </c>
      <c r="AF28" s="10">
        <f>IF(AD28="",WORKDAY(AC28,AF27),WORKDAY(AD28,AF27))</f>
        <v>45919</v>
      </c>
      <c r="AG28" s="56">
        <v>45940</v>
      </c>
      <c r="AH28" s="10">
        <v>45958</v>
      </c>
      <c r="AI28" s="10">
        <f>WORKDAY(IF(AA28="",IF(Z28&gt;AF28,Z28,AF28),IF(AA28&gt;AG28,AA28,AG28)),AI27)</f>
        <v>46078</v>
      </c>
      <c r="AJ28" s="10">
        <f>WORKDAY(IF(AA28&gt;AG28,AA28,AG28),AJ27)</f>
        <v>45940</v>
      </c>
      <c r="AK28" s="10">
        <v>45986</v>
      </c>
      <c r="AL28" s="10">
        <f>IF(AJ28="",WORKDAY(AI28,AL27),WORKDAY(AJ28,AL27))</f>
        <v>45968</v>
      </c>
      <c r="AM28" s="10">
        <f>IF(AK28="",WORKDAY(AJ28,AM27),WORKDAY(AK28,AM27))</f>
        <v>45986</v>
      </c>
      <c r="AN28" s="10">
        <v>45986</v>
      </c>
      <c r="AO28" s="10">
        <v>45986</v>
      </c>
      <c r="AP28" s="10">
        <v>45986</v>
      </c>
      <c r="AQ28" s="10">
        <v>46014</v>
      </c>
      <c r="AR28" s="10">
        <v>46014</v>
      </c>
      <c r="AS28" s="56">
        <v>45940</v>
      </c>
      <c r="AT28" s="10">
        <v>45993</v>
      </c>
      <c r="AU28" s="10">
        <v>45993</v>
      </c>
      <c r="AV28" s="10">
        <v>45993</v>
      </c>
      <c r="AW28" s="10">
        <v>46028</v>
      </c>
      <c r="AX28" s="10">
        <f>IF(AS28="",IF(AR28&gt;AU28,WORKDAY(AR28,AX27),WORKDAY(AU28,AX27)),IF(AS28&gt;AV28,WORKDAY(AS28,AX27),WORKDAY(AV28,AX27)))</f>
        <v>46007</v>
      </c>
      <c r="AY28" s="10">
        <v>46028</v>
      </c>
      <c r="AZ28" s="10">
        <v>46028</v>
      </c>
      <c r="BA28" s="10">
        <f>IF(AP28="",WORKDAY(AO28,BA27),WORKDAY(AP28,BA27))</f>
        <v>46028</v>
      </c>
      <c r="BB28" s="56">
        <v>46028</v>
      </c>
      <c r="BC28" s="10">
        <v>46035</v>
      </c>
      <c r="BD28" s="10">
        <f>IF(AY28="",IF(AX28&gt;BA28,WORKDAY(AX28,BD27),WORKDAY(BA28,BD27)),IF(AY28&gt;BB28,WORKDAY(AY28,BD27),WORKDAY(BB28,BD27)))</f>
        <v>46035</v>
      </c>
      <c r="BE28" s="56">
        <v>46035</v>
      </c>
      <c r="BF28" s="10">
        <v>46042</v>
      </c>
      <c r="BG28" s="10">
        <f>IF(BE28="",WORKDAY(BD28,BG27),WORKDAY(BE28,BG27))</f>
        <v>46042</v>
      </c>
      <c r="BH28" s="56">
        <v>46042</v>
      </c>
      <c r="BI28" s="10">
        <v>46049</v>
      </c>
      <c r="BJ28" s="10">
        <f>IF(BH28="",WORKDAY(BG28,BJ27),WORKDAY(BH28,BJ27))</f>
        <v>46049</v>
      </c>
      <c r="BK28" s="56">
        <v>45814</v>
      </c>
      <c r="BL28" s="28"/>
      <c r="BM28" s="28"/>
      <c r="BN28" s="28"/>
      <c r="BO28" s="28"/>
      <c r="BP28" s="28"/>
      <c r="BQ28" s="28"/>
      <c r="BR28" s="28"/>
      <c r="BS28" s="28"/>
      <c r="BT28" s="28"/>
      <c r="BU28" s="28"/>
      <c r="BV28" s="28"/>
      <c r="BW28" s="28"/>
      <c r="BX28" s="46"/>
      <c r="BY28" s="28"/>
      <c r="BZ28" s="28"/>
      <c r="CA28" s="28"/>
      <c r="CB28" s="28"/>
      <c r="CC28" s="28"/>
      <c r="CD28" s="28"/>
      <c r="CE28" s="28"/>
      <c r="CF28" s="28"/>
      <c r="CG28" s="28"/>
      <c r="CH28" s="28"/>
      <c r="CI28" s="28"/>
      <c r="CJ28" s="28"/>
      <c r="CK28" s="28"/>
      <c r="CL28" s="28"/>
      <c r="CM28" s="10">
        <v>46052</v>
      </c>
      <c r="CN28" s="10">
        <f>IF(BK28="",WORKDAY(BJ28,CN27),WORKDAY(BK28,CN27))</f>
        <v>45819</v>
      </c>
      <c r="CO28" s="56">
        <v>46297</v>
      </c>
      <c r="CP28" s="10">
        <v>46059</v>
      </c>
      <c r="CQ28" s="10">
        <f>IF(CO28="",WORKDAY(CN28,CQ27),WORKDAY(CO28,CQ27))</f>
        <v>46304</v>
      </c>
      <c r="CR28" s="56">
        <v>46297</v>
      </c>
      <c r="CS28" s="77" t="s">
        <v>479</v>
      </c>
      <c r="CT28" s="10">
        <v>46465</v>
      </c>
      <c r="CU28" s="10">
        <f>IF(CR28="",WORKDAY(CQ28,CU27),WORKDAY(CR28,CU27))</f>
        <v>46465</v>
      </c>
      <c r="CV28" s="56">
        <v>46100</v>
      </c>
      <c r="CW28" s="10">
        <v>46042</v>
      </c>
      <c r="CX28" s="10">
        <f>IF(BB28="",WORKDAY(BA28,CX27),WORKDAY(BB28,CX27))</f>
        <v>46042</v>
      </c>
      <c r="CY28" s="56"/>
      <c r="CZ28" s="10">
        <v>46042</v>
      </c>
      <c r="DA28" s="10">
        <f>IF(CY28="",WORKDAY(CX28,DA27),WORKDAY(CY28,DA27))</f>
        <v>46042</v>
      </c>
      <c r="DB28" s="56">
        <v>46042</v>
      </c>
      <c r="DC28" s="45"/>
      <c r="DD28" s="45"/>
      <c r="DE28" s="45"/>
      <c r="DF28" s="10">
        <v>46493</v>
      </c>
      <c r="DG28" s="10">
        <f>IF($CV28="",IF($CU28&gt;$DA28,WORKDAY($CU28,DG27),WORKDAY($DA28,DG27)),IF($CV28&gt;$DB28,WORKDAY($CV28,DG27),WORKDAY($DB28,DG27)))</f>
        <v>46128</v>
      </c>
      <c r="DH28" s="56"/>
      <c r="DI28" s="46"/>
      <c r="DJ28" s="10">
        <v>46521</v>
      </c>
      <c r="DK28" s="10">
        <f>IF(DH28="",WORKDAY(DG28,DK27*$DI27),WORKDAY(DH28,DK27*$DI27))</f>
        <v>46156</v>
      </c>
      <c r="DL28" s="56"/>
      <c r="DM28" s="46"/>
      <c r="DN28" s="46"/>
      <c r="DO28" s="46"/>
      <c r="DP28" s="46"/>
      <c r="DQ28" s="46"/>
      <c r="DR28" s="46"/>
      <c r="DS28" s="46"/>
      <c r="DT28" s="46"/>
      <c r="DU28" s="46"/>
      <c r="DV28" s="46"/>
      <c r="DW28" s="46"/>
      <c r="DX28" s="46"/>
      <c r="DY28" s="46"/>
      <c r="DZ28" s="46"/>
      <c r="EA28" s="46"/>
      <c r="EB28" s="46"/>
      <c r="EC28" s="46"/>
      <c r="ED28" s="46"/>
      <c r="EE28" s="10">
        <v>46521</v>
      </c>
      <c r="EF28" s="10">
        <f>IF(DL28="",WORKDAY(DK28,EF27),WORKDAY(DL28,EF27))</f>
        <v>46156</v>
      </c>
      <c r="EG28" s="56"/>
      <c r="EH28" s="10">
        <v>46449</v>
      </c>
      <c r="EI28" s="10">
        <v>46449</v>
      </c>
      <c r="EJ28" s="56"/>
      <c r="EK28" s="27"/>
      <c r="EL28" s="27"/>
      <c r="EM28" s="27"/>
      <c r="EN28" s="27"/>
      <c r="EO28" s="28"/>
      <c r="EP28" s="28"/>
      <c r="EQ28" s="28"/>
      <c r="ER28" s="28"/>
      <c r="ES28" s="28"/>
      <c r="ET28" s="28"/>
      <c r="EU28" s="28"/>
      <c r="EV28" s="28"/>
      <c r="EW28" s="28"/>
      <c r="EX28" s="28"/>
      <c r="EY28" s="28"/>
      <c r="EZ28" s="10">
        <v>46528</v>
      </c>
      <c r="FA28" s="10">
        <f>IF(EG28="",WORKDAY(EF28,FA27),WORKDAY(EG28,FA27))</f>
        <v>46163</v>
      </c>
      <c r="FB28" s="56"/>
      <c r="FC28" s="28"/>
      <c r="FD28" s="28"/>
      <c r="FE28" s="28"/>
      <c r="FF28" s="28"/>
      <c r="FG28" s="28"/>
      <c r="FH28" s="28"/>
      <c r="FI28" s="10">
        <v>46549</v>
      </c>
      <c r="FJ28" s="10">
        <f>IF(FB28="",WORKDAY(FA28,FJ27),WORKDAY(FB28,FJ27))</f>
        <v>46184</v>
      </c>
      <c r="FK28" s="56"/>
      <c r="FL28" s="10">
        <v>46549</v>
      </c>
      <c r="FM28" s="10">
        <f>IF(FK28="",WORKDAY(FJ28,FM27),WORKDAY(FK28,FM27))</f>
        <v>46184</v>
      </c>
      <c r="FN28" s="56"/>
      <c r="FO28" s="10">
        <v>46605</v>
      </c>
      <c r="FP28" s="10">
        <f>WORKDAY(FM28,FP27)</f>
        <v>46240</v>
      </c>
      <c r="FQ28" s="56"/>
      <c r="FR28" s="77" t="str">
        <f>IF(NETWORKDAYS(FJ28,FO28)&gt;=30,"On-Track",IF(AND(NETWORKDAYS(FJ28,FO28)&lt;30,FJ28&lt;=FO28),"At Risk","Missed TCD"))</f>
        <v>On-Track</v>
      </c>
      <c r="FS28" s="110" t="s">
        <v>480</v>
      </c>
      <c r="FT28" s="57">
        <f>NETWORKDAYS(CP28,FI28)</f>
        <v>351</v>
      </c>
      <c r="FU28" s="57">
        <f>NETWORKDAYS(CQ28,FJ28)</f>
        <v>-87</v>
      </c>
      <c r="FV28" s="57">
        <f>IF(BH28="",NETWORKDAYS(BG28,FJ28),IF(FK28="",NETWORKDAYS(BH28,FJ28),NETWORKDAYS(BH28,FK28)))</f>
        <v>103</v>
      </c>
      <c r="FW28" s="58" t="s">
        <v>467</v>
      </c>
    </row>
    <row r="29" spans="1:179" outlineLevel="1" x14ac:dyDescent="0.25">
      <c r="A29" s="23" t="s">
        <v>478</v>
      </c>
      <c r="B29" s="23">
        <v>132513</v>
      </c>
      <c r="C29" s="24" t="str">
        <f>VLOOKUP(B29,'[1]PM View-Mastersheet'!$A:$B,2,0)</f>
        <v>897205-4</v>
      </c>
      <c r="D29" s="95"/>
      <c r="E29" s="24"/>
      <c r="F29" s="25" t="s">
        <v>463</v>
      </c>
      <c r="G29" s="26"/>
      <c r="H29" s="26"/>
      <c r="I29" s="27"/>
      <c r="J29" s="27"/>
      <c r="K29" s="27"/>
      <c r="L29" s="27"/>
      <c r="M29" s="4">
        <v>27</v>
      </c>
      <c r="N29" s="4">
        <v>27</v>
      </c>
      <c r="O29" s="27"/>
      <c r="P29" s="4">
        <v>0</v>
      </c>
      <c r="Q29" s="4">
        <v>0</v>
      </c>
      <c r="R29" s="27"/>
      <c r="S29" s="27"/>
      <c r="T29" s="27"/>
      <c r="U29" s="27"/>
      <c r="V29" s="4">
        <v>30</v>
      </c>
      <c r="W29" s="4">
        <v>30</v>
      </c>
      <c r="X29" s="27"/>
      <c r="Y29" s="4">
        <v>70</v>
      </c>
      <c r="Z29" s="4">
        <v>70</v>
      </c>
      <c r="AA29" s="27"/>
      <c r="AB29" s="4">
        <v>0</v>
      </c>
      <c r="AC29" s="4">
        <v>0</v>
      </c>
      <c r="AD29" s="27"/>
      <c r="AE29" s="4">
        <v>75</v>
      </c>
      <c r="AF29" s="4">
        <v>75</v>
      </c>
      <c r="AG29" s="27"/>
      <c r="AH29" s="4">
        <v>5</v>
      </c>
      <c r="AI29" s="4">
        <v>5</v>
      </c>
      <c r="AJ29" s="27"/>
      <c r="AK29" s="4">
        <v>20</v>
      </c>
      <c r="AL29" s="4">
        <v>20</v>
      </c>
      <c r="AM29" s="27"/>
      <c r="AN29" s="4">
        <v>0</v>
      </c>
      <c r="AO29" s="4">
        <v>0</v>
      </c>
      <c r="AP29" s="27"/>
      <c r="AQ29" s="4">
        <v>20</v>
      </c>
      <c r="AR29" s="4">
        <v>20</v>
      </c>
      <c r="AS29" s="27"/>
      <c r="AT29" s="4">
        <v>5</v>
      </c>
      <c r="AU29" s="4">
        <v>45993</v>
      </c>
      <c r="AV29" s="27">
        <v>45993</v>
      </c>
      <c r="AW29" s="4">
        <v>10</v>
      </c>
      <c r="AX29" s="4">
        <v>10</v>
      </c>
      <c r="AY29" s="27">
        <v>46028</v>
      </c>
      <c r="AZ29" s="4">
        <v>30</v>
      </c>
      <c r="BA29" s="4">
        <v>30</v>
      </c>
      <c r="BB29" s="27">
        <v>46028</v>
      </c>
      <c r="BC29" s="4">
        <v>5</v>
      </c>
      <c r="BD29" s="4">
        <v>5</v>
      </c>
      <c r="BE29" s="27">
        <v>46035</v>
      </c>
      <c r="BF29" s="4">
        <v>5</v>
      </c>
      <c r="BG29" s="4">
        <v>5</v>
      </c>
      <c r="BH29" s="27">
        <v>46042</v>
      </c>
      <c r="BI29" s="4">
        <v>5</v>
      </c>
      <c r="BJ29" s="4">
        <v>5</v>
      </c>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4">
        <v>3</v>
      </c>
      <c r="CN29" s="4">
        <v>3</v>
      </c>
      <c r="CO29" s="27"/>
      <c r="CP29" s="4">
        <v>5</v>
      </c>
      <c r="CQ29" s="4">
        <v>5</v>
      </c>
      <c r="CR29" s="27"/>
      <c r="CS29" s="27"/>
      <c r="CT29" s="5">
        <v>120</v>
      </c>
      <c r="CU29" s="5">
        <v>120</v>
      </c>
      <c r="CV29" s="27">
        <v>46465</v>
      </c>
      <c r="CW29" s="5">
        <v>10</v>
      </c>
      <c r="CX29" s="5">
        <v>10</v>
      </c>
      <c r="CY29" s="27"/>
      <c r="CZ29" s="5">
        <v>0</v>
      </c>
      <c r="DA29" s="5">
        <v>0</v>
      </c>
      <c r="DB29" s="27">
        <v>46042</v>
      </c>
      <c r="DC29" s="31"/>
      <c r="DD29" s="31"/>
      <c r="DE29" s="31"/>
      <c r="DF29" s="4">
        <v>20</v>
      </c>
      <c r="DG29" s="4">
        <v>20</v>
      </c>
      <c r="DH29" s="27">
        <v>46493</v>
      </c>
      <c r="DI29" s="89">
        <v>1</v>
      </c>
      <c r="DJ29" s="4">
        <v>20</v>
      </c>
      <c r="DK29" s="4">
        <v>20</v>
      </c>
      <c r="DL29" s="27">
        <v>46521</v>
      </c>
      <c r="DM29" s="27"/>
      <c r="DN29" s="27"/>
      <c r="DO29" s="27"/>
      <c r="DP29" s="27"/>
      <c r="DQ29" s="27"/>
      <c r="DR29" s="27"/>
      <c r="DS29" s="27"/>
      <c r="DT29" s="27"/>
      <c r="DU29" s="27"/>
      <c r="DV29" s="27"/>
      <c r="DW29" s="27"/>
      <c r="DX29" s="27"/>
      <c r="DY29" s="27"/>
      <c r="DZ29" s="27"/>
      <c r="EA29" s="27"/>
      <c r="EB29" s="27"/>
      <c r="EC29" s="27"/>
      <c r="ED29" s="27"/>
      <c r="EE29" s="4">
        <v>0</v>
      </c>
      <c r="EF29" s="4">
        <v>0</v>
      </c>
      <c r="EG29" s="27">
        <v>46521</v>
      </c>
      <c r="EH29" s="4">
        <v>30</v>
      </c>
      <c r="EI29" s="4">
        <v>30</v>
      </c>
      <c r="EJ29" s="27">
        <v>46084</v>
      </c>
      <c r="EK29" s="27"/>
      <c r="EL29" s="27"/>
      <c r="EM29" s="27"/>
      <c r="EN29" s="27"/>
      <c r="EO29" s="27"/>
      <c r="EP29" s="27"/>
      <c r="EQ29" s="27"/>
      <c r="ER29" s="27"/>
      <c r="ES29" s="27"/>
      <c r="ET29" s="27"/>
      <c r="EU29" s="27"/>
      <c r="EV29" s="27"/>
      <c r="EW29" s="27"/>
      <c r="EX29" s="27"/>
      <c r="EY29" s="27"/>
      <c r="EZ29" s="4">
        <v>5</v>
      </c>
      <c r="FA29" s="4">
        <v>5</v>
      </c>
      <c r="FB29" s="27">
        <v>46528</v>
      </c>
      <c r="FC29" s="27"/>
      <c r="FD29" s="27"/>
      <c r="FE29" s="27"/>
      <c r="FF29" s="27"/>
      <c r="FG29" s="27"/>
      <c r="FH29" s="27"/>
      <c r="FI29" s="4">
        <v>15</v>
      </c>
      <c r="FJ29" s="4">
        <v>15</v>
      </c>
      <c r="FK29" s="27">
        <v>46549</v>
      </c>
      <c r="FL29" s="4">
        <v>0</v>
      </c>
      <c r="FM29" s="4">
        <v>0</v>
      </c>
      <c r="FN29" s="27">
        <v>46549</v>
      </c>
      <c r="FO29" s="4">
        <v>40</v>
      </c>
      <c r="FP29" s="4">
        <v>40</v>
      </c>
      <c r="FQ29" s="27">
        <v>46605</v>
      </c>
      <c r="FR29" s="27"/>
      <c r="FS29" s="109"/>
      <c r="FT29" s="54">
        <f>NETWORKDAYS($I30,FO30)</f>
        <v>566</v>
      </c>
      <c r="FU29" s="54">
        <f>NETWORKDAYS($I30,FP30)</f>
        <v>305</v>
      </c>
      <c r="FV29" s="54">
        <f>IF(FQ30="",NETWORKDAYS($I30,FP30),NETWORKDAYS($I30,FQ30))</f>
        <v>305</v>
      </c>
      <c r="FW29" s="55" t="s">
        <v>464</v>
      </c>
    </row>
    <row r="30" spans="1:179" x14ac:dyDescent="0.25">
      <c r="A30" s="23" t="s">
        <v>478</v>
      </c>
      <c r="B30" s="23">
        <v>132513</v>
      </c>
      <c r="C30" s="24" t="str">
        <f>VLOOKUP(B30,'[1]PM View-Mastersheet'!$A:$B,2,0)</f>
        <v>897205-4</v>
      </c>
      <c r="D30" s="65"/>
      <c r="E30" s="23" t="str">
        <f>IF(D30="","Unknown",IF(D30&lt;=FM30+90,"Red",IF(AND(D30&gt;FM30+90,D30&lt;=FM30+180),"Yellow",IF(AND(D30&gt;FM30+180,D30&lt;=FM30+690),"Green","Covered"))))</f>
        <v>Unknown</v>
      </c>
      <c r="F30" s="25" t="s">
        <v>466</v>
      </c>
      <c r="G30" s="26"/>
      <c r="H30" s="26" t="str">
        <f>IF(CR30="","Pre-Execution","Execution")</f>
        <v>Execution</v>
      </c>
      <c r="I30" s="46">
        <v>45814</v>
      </c>
      <c r="J30" s="28"/>
      <c r="K30" s="28"/>
      <c r="L30" s="28"/>
      <c r="M30" s="10">
        <v>45853</v>
      </c>
      <c r="N30" s="10">
        <f>WORKDAY(I30,N29)</f>
        <v>45853</v>
      </c>
      <c r="O30" s="56">
        <v>45973</v>
      </c>
      <c r="P30" s="10">
        <v>45853</v>
      </c>
      <c r="Q30" s="10">
        <f>IF(O30="",WORKDAY(N30,Q29),WORKDAY(O30,Q29))</f>
        <v>45973</v>
      </c>
      <c r="R30" s="56">
        <v>45973</v>
      </c>
      <c r="S30" s="28"/>
      <c r="T30" s="28"/>
      <c r="U30" s="28"/>
      <c r="V30" s="10">
        <v>45895</v>
      </c>
      <c r="W30" s="10">
        <f>IF(R30="",WORKDAY(Q30,W29),WORKDAY(R30,W29))</f>
        <v>46015</v>
      </c>
      <c r="X30" s="56">
        <f>V30</f>
        <v>45895</v>
      </c>
      <c r="Y30" s="10">
        <v>45951</v>
      </c>
      <c r="Z30" s="10">
        <f>IF(R30="",WORKDAY(Q30,Z29),WORKDAY(R30,Z29))</f>
        <v>46071</v>
      </c>
      <c r="AA30" s="56"/>
      <c r="AB30" s="10">
        <v>45814</v>
      </c>
      <c r="AC30" s="10">
        <f>WORKDAY(I30,AC29)</f>
        <v>45814</v>
      </c>
      <c r="AD30" s="56"/>
      <c r="AE30" s="10">
        <v>45919</v>
      </c>
      <c r="AF30" s="10">
        <f>IF(AD30="",WORKDAY(AC30,AF29),WORKDAY(AD30,AF29))</f>
        <v>45919</v>
      </c>
      <c r="AG30" s="56">
        <v>45940</v>
      </c>
      <c r="AH30" s="10">
        <v>45958</v>
      </c>
      <c r="AI30" s="10">
        <f>WORKDAY(IF(AA30="",IF(Z30&gt;AF30,Z30,AF30),IF(AA30&gt;AG30,AA30,AG30)),AI29)</f>
        <v>46078</v>
      </c>
      <c r="AJ30" s="10">
        <f>WORKDAY(IF(AA30&gt;AG30,AA30,AG30),AJ29)</f>
        <v>45940</v>
      </c>
      <c r="AK30" s="10">
        <v>45986</v>
      </c>
      <c r="AL30" s="10">
        <f>IF(AJ30="",WORKDAY(AI30,AL29),WORKDAY(AJ30,AL29))</f>
        <v>45968</v>
      </c>
      <c r="AM30" s="10">
        <f>IF(AK30="",WORKDAY(AJ30,AM29),WORKDAY(AK30,AM29))</f>
        <v>45986</v>
      </c>
      <c r="AN30" s="10">
        <v>45986</v>
      </c>
      <c r="AO30" s="10">
        <v>45986</v>
      </c>
      <c r="AP30" s="10">
        <v>45986</v>
      </c>
      <c r="AQ30" s="10">
        <v>46014</v>
      </c>
      <c r="AR30" s="10">
        <v>46014</v>
      </c>
      <c r="AS30" s="56">
        <v>45940</v>
      </c>
      <c r="AT30" s="10">
        <v>45993</v>
      </c>
      <c r="AU30" s="10">
        <v>45993</v>
      </c>
      <c r="AV30" s="10">
        <v>45993</v>
      </c>
      <c r="AW30" s="10">
        <v>46028</v>
      </c>
      <c r="AX30" s="10">
        <f>IF(AS30="",IF(AR30&gt;AU30,WORKDAY(AR30,AX29),WORKDAY(AU30,AX29)),IF(AS30&gt;AV30,WORKDAY(AS30,AX29),WORKDAY(AV30,AX29)))</f>
        <v>46007</v>
      </c>
      <c r="AY30" s="10">
        <v>46028</v>
      </c>
      <c r="AZ30" s="10">
        <v>46028</v>
      </c>
      <c r="BA30" s="10">
        <f>IF(AP30="",WORKDAY(AO30,BA29),WORKDAY(AP30,BA29))</f>
        <v>46028</v>
      </c>
      <c r="BB30" s="56">
        <v>46028</v>
      </c>
      <c r="BC30" s="10">
        <v>46035</v>
      </c>
      <c r="BD30" s="10">
        <f>IF(AY30="",IF(AX30&gt;BA30,WORKDAY(AX30,BD29),WORKDAY(BA30,BD29)),IF(AY30&gt;BB30,WORKDAY(AY30,BD29),WORKDAY(BB30,BD29)))</f>
        <v>46035</v>
      </c>
      <c r="BE30" s="56">
        <v>46035</v>
      </c>
      <c r="BF30" s="10">
        <v>46042</v>
      </c>
      <c r="BG30" s="10">
        <f>IF(BE30="",WORKDAY(BD30,BG29),WORKDAY(BE30,BG29))</f>
        <v>46042</v>
      </c>
      <c r="BH30" s="56">
        <v>46042</v>
      </c>
      <c r="BI30" s="10">
        <v>46049</v>
      </c>
      <c r="BJ30" s="10">
        <f>IF(BH30="",WORKDAY(BG30,BJ29),WORKDAY(BH30,BJ29))</f>
        <v>46049</v>
      </c>
      <c r="BK30" s="56">
        <v>45814</v>
      </c>
      <c r="BL30" s="28"/>
      <c r="BM30" s="28"/>
      <c r="BN30" s="28"/>
      <c r="BO30" s="28"/>
      <c r="BP30" s="28"/>
      <c r="BQ30" s="28"/>
      <c r="BR30" s="28"/>
      <c r="BS30" s="28"/>
      <c r="BT30" s="28"/>
      <c r="BU30" s="28"/>
      <c r="BV30" s="28"/>
      <c r="BW30" s="28"/>
      <c r="BX30" s="46"/>
      <c r="BY30" s="28"/>
      <c r="BZ30" s="28"/>
      <c r="CA30" s="28"/>
      <c r="CB30" s="28"/>
      <c r="CC30" s="28"/>
      <c r="CD30" s="28"/>
      <c r="CE30" s="28"/>
      <c r="CF30" s="28"/>
      <c r="CG30" s="28"/>
      <c r="CH30" s="28"/>
      <c r="CI30" s="28"/>
      <c r="CJ30" s="28"/>
      <c r="CK30" s="28"/>
      <c r="CL30" s="28"/>
      <c r="CM30" s="10">
        <v>46052</v>
      </c>
      <c r="CN30" s="10">
        <f>IF(BK30="",WORKDAY(BJ30,CN29),WORKDAY(BK30,CN29))</f>
        <v>45819</v>
      </c>
      <c r="CO30" s="56">
        <v>46297</v>
      </c>
      <c r="CP30" s="10">
        <v>46059</v>
      </c>
      <c r="CQ30" s="10">
        <f>IF(CO30="",WORKDAY(CN30,CQ29),WORKDAY(CO30,CQ29))</f>
        <v>46304</v>
      </c>
      <c r="CR30" s="56">
        <v>46297</v>
      </c>
      <c r="CS30" s="77" t="s">
        <v>479</v>
      </c>
      <c r="CT30" s="10">
        <v>46465</v>
      </c>
      <c r="CU30" s="10">
        <f>IF(CR30="",WORKDAY(CQ30,CU29),WORKDAY(CR30,CU29))</f>
        <v>46465</v>
      </c>
      <c r="CV30" s="56">
        <v>46100</v>
      </c>
      <c r="CW30" s="10">
        <v>46042</v>
      </c>
      <c r="CX30" s="10">
        <f>IF(BB30="",WORKDAY(BA30,CX29),WORKDAY(BB30,CX29))</f>
        <v>46042</v>
      </c>
      <c r="CY30" s="56"/>
      <c r="CZ30" s="10">
        <v>46042</v>
      </c>
      <c r="DA30" s="10">
        <f>IF(CY30="",WORKDAY(CX30,DA29),WORKDAY(CY30,DA29))</f>
        <v>46042</v>
      </c>
      <c r="DB30" s="56">
        <v>46042</v>
      </c>
      <c r="DC30" s="45"/>
      <c r="DD30" s="45"/>
      <c r="DE30" s="45"/>
      <c r="DF30" s="10">
        <v>46493</v>
      </c>
      <c r="DG30" s="10">
        <f>IF($CV30="",IF($CU30&gt;$DA30,WORKDAY($CU30,DG29),WORKDAY($DA30,DG29)),IF($CV30&gt;$DB30,WORKDAY($CV30,DG29),WORKDAY($DB30,DG29)))</f>
        <v>46128</v>
      </c>
      <c r="DH30" s="56"/>
      <c r="DI30" s="46"/>
      <c r="DJ30" s="10">
        <v>46521</v>
      </c>
      <c r="DK30" s="10">
        <f>IF(DH30="",WORKDAY(DG30,DK29*$DI29),WORKDAY(DH30,DK29*$DI29))</f>
        <v>46156</v>
      </c>
      <c r="DL30" s="56"/>
      <c r="DM30" s="46"/>
      <c r="DN30" s="46"/>
      <c r="DO30" s="46"/>
      <c r="DP30" s="46"/>
      <c r="DQ30" s="46"/>
      <c r="DR30" s="46"/>
      <c r="DS30" s="46"/>
      <c r="DT30" s="46"/>
      <c r="DU30" s="46"/>
      <c r="DV30" s="46"/>
      <c r="DW30" s="46"/>
      <c r="DX30" s="46"/>
      <c r="DY30" s="46"/>
      <c r="DZ30" s="46"/>
      <c r="EA30" s="46"/>
      <c r="EB30" s="46"/>
      <c r="EC30" s="46"/>
      <c r="ED30" s="46"/>
      <c r="EE30" s="10">
        <v>46521</v>
      </c>
      <c r="EF30" s="10">
        <f>IF(DL30="",WORKDAY(DK30,EF29),WORKDAY(DL30,EF29))</f>
        <v>46156</v>
      </c>
      <c r="EG30" s="56"/>
      <c r="EH30" s="10">
        <v>46449</v>
      </c>
      <c r="EI30" s="10">
        <v>46449</v>
      </c>
      <c r="EJ30" s="56"/>
      <c r="EK30" s="27"/>
      <c r="EL30" s="27"/>
      <c r="EM30" s="27"/>
      <c r="EN30" s="27"/>
      <c r="EO30" s="28"/>
      <c r="EP30" s="28"/>
      <c r="EQ30" s="28"/>
      <c r="ER30" s="28"/>
      <c r="ES30" s="28"/>
      <c r="ET30" s="28"/>
      <c r="EU30" s="28"/>
      <c r="EV30" s="28"/>
      <c r="EW30" s="28"/>
      <c r="EX30" s="28"/>
      <c r="EY30" s="28"/>
      <c r="EZ30" s="10">
        <v>46528</v>
      </c>
      <c r="FA30" s="10">
        <f>IF(EG30="",WORKDAY(EF30,FA29),WORKDAY(EG30,FA29))</f>
        <v>46163</v>
      </c>
      <c r="FB30" s="56"/>
      <c r="FC30" s="28"/>
      <c r="FD30" s="28"/>
      <c r="FE30" s="28"/>
      <c r="FF30" s="28"/>
      <c r="FG30" s="28"/>
      <c r="FH30" s="28"/>
      <c r="FI30" s="10">
        <v>46549</v>
      </c>
      <c r="FJ30" s="10">
        <f>IF(FB30="",WORKDAY(FA30,FJ29),WORKDAY(FB30,FJ29))</f>
        <v>46184</v>
      </c>
      <c r="FK30" s="56"/>
      <c r="FL30" s="10">
        <v>46549</v>
      </c>
      <c r="FM30" s="10">
        <f>IF(FK30="",WORKDAY(FJ30,FM29),WORKDAY(FK30,FM29))</f>
        <v>46184</v>
      </c>
      <c r="FN30" s="56"/>
      <c r="FO30" s="10">
        <v>46605</v>
      </c>
      <c r="FP30" s="10">
        <f>WORKDAY(FM30,FP29)</f>
        <v>46240</v>
      </c>
      <c r="FQ30" s="56"/>
      <c r="FR30" s="77" t="str">
        <f>IF(NETWORKDAYS(FJ30,FO30)&gt;=30,"On-Track",IF(AND(NETWORKDAYS(FJ30,FO30)&lt;30,FJ30&lt;=FO30),"At Risk","Missed TCD"))</f>
        <v>On-Track</v>
      </c>
      <c r="FS30" s="110" t="s">
        <v>480</v>
      </c>
      <c r="FT30" s="57">
        <f>NETWORKDAYS(CP30,FI30)</f>
        <v>351</v>
      </c>
      <c r="FU30" s="57">
        <f>NETWORKDAYS(CQ30,FJ30)</f>
        <v>-87</v>
      </c>
      <c r="FV30" s="57">
        <f>IF(BH30="",NETWORKDAYS(BG30,FJ30),IF(FK30="",NETWORKDAYS(BH30,FJ30),NETWORKDAYS(BH30,FK30)))</f>
        <v>103</v>
      </c>
      <c r="FW30" s="58" t="s">
        <v>467</v>
      </c>
    </row>
    <row r="31" spans="1:179" outlineLevel="1" x14ac:dyDescent="0.25">
      <c r="A31" s="23" t="s">
        <v>478</v>
      </c>
      <c r="B31" s="23">
        <v>132493</v>
      </c>
      <c r="C31" s="24" t="str">
        <f>VLOOKUP(B31,'[1]PM View-Mastersheet'!$A:$B,2,0)</f>
        <v>3102476-1</v>
      </c>
      <c r="D31" s="95"/>
      <c r="E31" s="24"/>
      <c r="F31" s="25" t="s">
        <v>463</v>
      </c>
      <c r="G31" s="26"/>
      <c r="H31" s="26"/>
      <c r="I31" s="27"/>
      <c r="J31" s="27"/>
      <c r="K31" s="27"/>
      <c r="L31" s="27"/>
      <c r="M31" s="4">
        <v>27</v>
      </c>
      <c r="N31" s="4">
        <v>27</v>
      </c>
      <c r="O31" s="27"/>
      <c r="P31" s="4">
        <v>0</v>
      </c>
      <c r="Q31" s="4">
        <v>0</v>
      </c>
      <c r="R31" s="27"/>
      <c r="S31" s="27"/>
      <c r="T31" s="27"/>
      <c r="U31" s="27"/>
      <c r="V31" s="4">
        <v>30</v>
      </c>
      <c r="W31" s="4">
        <v>30</v>
      </c>
      <c r="X31" s="27"/>
      <c r="Y31" s="4">
        <v>70</v>
      </c>
      <c r="Z31" s="4">
        <v>70</v>
      </c>
      <c r="AA31" s="27"/>
      <c r="AB31" s="4">
        <v>0</v>
      </c>
      <c r="AC31" s="4">
        <v>0</v>
      </c>
      <c r="AD31" s="27"/>
      <c r="AE31" s="4">
        <v>75</v>
      </c>
      <c r="AF31" s="4">
        <v>75</v>
      </c>
      <c r="AG31" s="27"/>
      <c r="AH31" s="4">
        <v>5</v>
      </c>
      <c r="AI31" s="4">
        <v>5</v>
      </c>
      <c r="AJ31" s="27"/>
      <c r="AK31" s="4">
        <v>20</v>
      </c>
      <c r="AL31" s="4">
        <v>20</v>
      </c>
      <c r="AM31" s="27"/>
      <c r="AN31" s="4">
        <v>0</v>
      </c>
      <c r="AO31" s="4">
        <v>0</v>
      </c>
      <c r="AP31" s="27"/>
      <c r="AQ31" s="4">
        <v>20</v>
      </c>
      <c r="AR31" s="4">
        <v>20</v>
      </c>
      <c r="AS31" s="27"/>
      <c r="AT31" s="4">
        <v>5</v>
      </c>
      <c r="AU31" s="4">
        <v>45993</v>
      </c>
      <c r="AV31" s="27">
        <v>45993</v>
      </c>
      <c r="AW31" s="4">
        <v>10</v>
      </c>
      <c r="AX31" s="4">
        <v>10</v>
      </c>
      <c r="AY31" s="27">
        <v>46028</v>
      </c>
      <c r="AZ31" s="4">
        <v>30</v>
      </c>
      <c r="BA31" s="4">
        <v>30</v>
      </c>
      <c r="BB31" s="27">
        <v>46028</v>
      </c>
      <c r="BC31" s="4">
        <v>5</v>
      </c>
      <c r="BD31" s="4">
        <v>5</v>
      </c>
      <c r="BE31" s="27">
        <v>46035</v>
      </c>
      <c r="BF31" s="4">
        <v>5</v>
      </c>
      <c r="BG31" s="4">
        <v>5</v>
      </c>
      <c r="BH31" s="27">
        <v>46042</v>
      </c>
      <c r="BI31" s="4">
        <v>5</v>
      </c>
      <c r="BJ31" s="4">
        <v>5</v>
      </c>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4">
        <v>3</v>
      </c>
      <c r="CN31" s="4">
        <v>3</v>
      </c>
      <c r="CO31" s="27"/>
      <c r="CP31" s="4">
        <v>5</v>
      </c>
      <c r="CQ31" s="4">
        <v>5</v>
      </c>
      <c r="CR31" s="27"/>
      <c r="CS31" s="27"/>
      <c r="CT31" s="5">
        <v>120</v>
      </c>
      <c r="CU31" s="5">
        <v>120</v>
      </c>
      <c r="CV31" s="27">
        <v>46465</v>
      </c>
      <c r="CW31" s="5">
        <v>10</v>
      </c>
      <c r="CX31" s="5">
        <v>10</v>
      </c>
      <c r="CY31" s="27"/>
      <c r="CZ31" s="5">
        <v>0</v>
      </c>
      <c r="DA31" s="5">
        <v>0</v>
      </c>
      <c r="DB31" s="27">
        <v>46042</v>
      </c>
      <c r="DC31" s="31"/>
      <c r="DD31" s="31"/>
      <c r="DE31" s="31"/>
      <c r="DF31" s="4">
        <v>20</v>
      </c>
      <c r="DG31" s="4">
        <v>20</v>
      </c>
      <c r="DH31" s="27">
        <v>46493</v>
      </c>
      <c r="DI31" s="89">
        <v>1</v>
      </c>
      <c r="DJ31" s="4">
        <v>20</v>
      </c>
      <c r="DK31" s="4">
        <v>20</v>
      </c>
      <c r="DL31" s="27">
        <v>46521</v>
      </c>
      <c r="DM31" s="27"/>
      <c r="DN31" s="27"/>
      <c r="DO31" s="27"/>
      <c r="DP31" s="27"/>
      <c r="DQ31" s="27"/>
      <c r="DR31" s="27"/>
      <c r="DS31" s="27"/>
      <c r="DT31" s="27"/>
      <c r="DU31" s="27"/>
      <c r="DV31" s="27"/>
      <c r="DW31" s="27"/>
      <c r="DX31" s="27"/>
      <c r="DY31" s="27"/>
      <c r="DZ31" s="27"/>
      <c r="EA31" s="27"/>
      <c r="EB31" s="27"/>
      <c r="EC31" s="27"/>
      <c r="ED31" s="27"/>
      <c r="EE31" s="4">
        <v>0</v>
      </c>
      <c r="EF31" s="4">
        <v>0</v>
      </c>
      <c r="EG31" s="27">
        <v>46521</v>
      </c>
      <c r="EH31" s="4">
        <v>30</v>
      </c>
      <c r="EI31" s="4">
        <v>30</v>
      </c>
      <c r="EJ31" s="27">
        <v>46084</v>
      </c>
      <c r="EK31" s="27"/>
      <c r="EL31" s="27"/>
      <c r="EM31" s="27"/>
      <c r="EN31" s="27"/>
      <c r="EO31" s="27"/>
      <c r="EP31" s="27"/>
      <c r="EQ31" s="27"/>
      <c r="ER31" s="27"/>
      <c r="ES31" s="27"/>
      <c r="ET31" s="27"/>
      <c r="EU31" s="27"/>
      <c r="EV31" s="27"/>
      <c r="EW31" s="27"/>
      <c r="EX31" s="27"/>
      <c r="EY31" s="27"/>
      <c r="EZ31" s="4">
        <v>5</v>
      </c>
      <c r="FA31" s="4">
        <v>5</v>
      </c>
      <c r="FB31" s="27">
        <v>46528</v>
      </c>
      <c r="FC31" s="27"/>
      <c r="FD31" s="27"/>
      <c r="FE31" s="27"/>
      <c r="FF31" s="27"/>
      <c r="FG31" s="27"/>
      <c r="FH31" s="27"/>
      <c r="FI31" s="4">
        <v>15</v>
      </c>
      <c r="FJ31" s="4">
        <v>15</v>
      </c>
      <c r="FK31" s="27">
        <v>46549</v>
      </c>
      <c r="FL31" s="4">
        <v>0</v>
      </c>
      <c r="FM31" s="4">
        <v>0</v>
      </c>
      <c r="FN31" s="27">
        <v>46549</v>
      </c>
      <c r="FO31" s="4">
        <v>40</v>
      </c>
      <c r="FP31" s="4">
        <v>40</v>
      </c>
      <c r="FQ31" s="27">
        <v>46605</v>
      </c>
      <c r="FR31" s="27"/>
      <c r="FS31" s="109"/>
      <c r="FT31" s="54">
        <f>NETWORKDAYS($I32,FO32)</f>
        <v>566</v>
      </c>
      <c r="FU31" s="54">
        <f>NETWORKDAYS($I32,FP32)</f>
        <v>305</v>
      </c>
      <c r="FV31" s="54">
        <f>IF(FQ32="",NETWORKDAYS($I32,FP32),NETWORKDAYS($I32,FQ32))</f>
        <v>305</v>
      </c>
      <c r="FW31" s="55" t="s">
        <v>464</v>
      </c>
    </row>
    <row r="32" spans="1:179" x14ac:dyDescent="0.25">
      <c r="A32" s="23" t="s">
        <v>478</v>
      </c>
      <c r="B32" s="23">
        <v>132493</v>
      </c>
      <c r="C32" s="24" t="str">
        <f>VLOOKUP(B32,'[1]PM View-Mastersheet'!$A:$B,2,0)</f>
        <v>3102476-1</v>
      </c>
      <c r="D32" s="65"/>
      <c r="E32" s="23" t="str">
        <f>IF(D32="","Unknown",IF(D32&lt;=FM32+90,"Red",IF(AND(D32&gt;FM32+90,D32&lt;=FM32+180),"Yellow",IF(AND(D32&gt;FM32+180,D32&lt;=FM32+690),"Green","Covered"))))</f>
        <v>Unknown</v>
      </c>
      <c r="F32" s="25" t="s">
        <v>466</v>
      </c>
      <c r="G32" s="26"/>
      <c r="H32" s="26" t="str">
        <f>IF(CR32="","Pre-Execution","Execution")</f>
        <v>Execution</v>
      </c>
      <c r="I32" s="46">
        <v>45814</v>
      </c>
      <c r="J32" s="28"/>
      <c r="K32" s="28"/>
      <c r="L32" s="28"/>
      <c r="M32" s="10">
        <v>45853</v>
      </c>
      <c r="N32" s="10">
        <f>WORKDAY(I32,N31)</f>
        <v>45853</v>
      </c>
      <c r="O32" s="56">
        <v>45973</v>
      </c>
      <c r="P32" s="10">
        <v>45853</v>
      </c>
      <c r="Q32" s="10">
        <f>IF(O32="",WORKDAY(N32,Q31),WORKDAY(O32,Q31))</f>
        <v>45973</v>
      </c>
      <c r="R32" s="56">
        <v>45973</v>
      </c>
      <c r="S32" s="28"/>
      <c r="T32" s="28"/>
      <c r="U32" s="28"/>
      <c r="V32" s="10">
        <v>45895</v>
      </c>
      <c r="W32" s="10">
        <f>IF(R32="",WORKDAY(Q32,W31),WORKDAY(R32,W31))</f>
        <v>46015</v>
      </c>
      <c r="X32" s="56">
        <f>V32</f>
        <v>45895</v>
      </c>
      <c r="Y32" s="10">
        <v>45951</v>
      </c>
      <c r="Z32" s="10">
        <f>IF(R32="",WORKDAY(Q32,Z31),WORKDAY(R32,Z31))</f>
        <v>46071</v>
      </c>
      <c r="AA32" s="56"/>
      <c r="AB32" s="10">
        <v>45814</v>
      </c>
      <c r="AC32" s="10">
        <f>WORKDAY(I32,AC31)</f>
        <v>45814</v>
      </c>
      <c r="AD32" s="56"/>
      <c r="AE32" s="10">
        <v>45919</v>
      </c>
      <c r="AF32" s="10">
        <f>IF(AD32="",WORKDAY(AC32,AF31),WORKDAY(AD32,AF31))</f>
        <v>45919</v>
      </c>
      <c r="AG32" s="56">
        <v>45940</v>
      </c>
      <c r="AH32" s="10">
        <v>45958</v>
      </c>
      <c r="AI32" s="10">
        <f>WORKDAY(IF(AA32="",IF(Z32&gt;AF32,Z32,AF32),IF(AA32&gt;AG32,AA32,AG32)),AI31)</f>
        <v>46078</v>
      </c>
      <c r="AJ32" s="10">
        <f>WORKDAY(IF(AA32&gt;AG32,AA32,AG32),AJ31)</f>
        <v>45940</v>
      </c>
      <c r="AK32" s="10">
        <v>45986</v>
      </c>
      <c r="AL32" s="10">
        <f>IF(AJ32="",WORKDAY(AI32,AL31),WORKDAY(AJ32,AL31))</f>
        <v>45968</v>
      </c>
      <c r="AM32" s="10">
        <f>IF(AK32="",WORKDAY(AJ32,AM31),WORKDAY(AK32,AM31))</f>
        <v>45986</v>
      </c>
      <c r="AN32" s="10">
        <v>45986</v>
      </c>
      <c r="AO32" s="10">
        <v>45986</v>
      </c>
      <c r="AP32" s="10">
        <v>45986</v>
      </c>
      <c r="AQ32" s="10">
        <v>46014</v>
      </c>
      <c r="AR32" s="10">
        <v>46014</v>
      </c>
      <c r="AS32" s="56">
        <v>45940</v>
      </c>
      <c r="AT32" s="10">
        <v>45993</v>
      </c>
      <c r="AU32" s="10">
        <v>45993</v>
      </c>
      <c r="AV32" s="10">
        <v>45993</v>
      </c>
      <c r="AW32" s="10">
        <v>46028</v>
      </c>
      <c r="AX32" s="10">
        <f>IF(AS32="",IF(AR32&gt;AU32,WORKDAY(AR32,AX31),WORKDAY(AU32,AX31)),IF(AS32&gt;AV32,WORKDAY(AS32,AX31),WORKDAY(AV32,AX31)))</f>
        <v>46007</v>
      </c>
      <c r="AY32" s="10">
        <v>46028</v>
      </c>
      <c r="AZ32" s="10">
        <v>46028</v>
      </c>
      <c r="BA32" s="10">
        <f>IF(AP32="",WORKDAY(AO32,BA31),WORKDAY(AP32,BA31))</f>
        <v>46028</v>
      </c>
      <c r="BB32" s="56">
        <v>46028</v>
      </c>
      <c r="BC32" s="10">
        <v>46035</v>
      </c>
      <c r="BD32" s="10">
        <f>IF(AY32="",IF(AX32&gt;BA32,WORKDAY(AX32,BD31),WORKDAY(BA32,BD31)),IF(AY32&gt;BB32,WORKDAY(AY32,BD31),WORKDAY(BB32,BD31)))</f>
        <v>46035</v>
      </c>
      <c r="BE32" s="56">
        <v>46035</v>
      </c>
      <c r="BF32" s="10">
        <v>46042</v>
      </c>
      <c r="BG32" s="10">
        <f>IF(BE32="",WORKDAY(BD32,BG31),WORKDAY(BE32,BG31))</f>
        <v>46042</v>
      </c>
      <c r="BH32" s="56">
        <v>46042</v>
      </c>
      <c r="BI32" s="10">
        <v>46049</v>
      </c>
      <c r="BJ32" s="10">
        <f>IF(BH32="",WORKDAY(BG32,BJ31),WORKDAY(BH32,BJ31))</f>
        <v>46049</v>
      </c>
      <c r="BK32" s="56">
        <v>45814</v>
      </c>
      <c r="BL32" s="28"/>
      <c r="BM32" s="28"/>
      <c r="BN32" s="28"/>
      <c r="BO32" s="28"/>
      <c r="BP32" s="28"/>
      <c r="BQ32" s="28"/>
      <c r="BR32" s="28"/>
      <c r="BS32" s="28"/>
      <c r="BT32" s="28"/>
      <c r="BU32" s="28"/>
      <c r="BV32" s="28"/>
      <c r="BW32" s="28"/>
      <c r="BX32" s="46"/>
      <c r="BY32" s="28"/>
      <c r="BZ32" s="28"/>
      <c r="CA32" s="28"/>
      <c r="CB32" s="28"/>
      <c r="CC32" s="28"/>
      <c r="CD32" s="28"/>
      <c r="CE32" s="28"/>
      <c r="CF32" s="28"/>
      <c r="CG32" s="28"/>
      <c r="CH32" s="28"/>
      <c r="CI32" s="28"/>
      <c r="CJ32" s="28"/>
      <c r="CK32" s="28"/>
      <c r="CL32" s="28"/>
      <c r="CM32" s="10">
        <v>46052</v>
      </c>
      <c r="CN32" s="10">
        <f>IF(BK32="",WORKDAY(BJ32,CN31),WORKDAY(BK32,CN31))</f>
        <v>45819</v>
      </c>
      <c r="CO32" s="56">
        <v>46297</v>
      </c>
      <c r="CP32" s="10">
        <v>46059</v>
      </c>
      <c r="CQ32" s="10">
        <f>IF(CO32="",WORKDAY(CN32,CQ31),WORKDAY(CO32,CQ31))</f>
        <v>46304</v>
      </c>
      <c r="CR32" s="56">
        <v>46297</v>
      </c>
      <c r="CS32" s="77" t="s">
        <v>479</v>
      </c>
      <c r="CT32" s="10">
        <v>46465</v>
      </c>
      <c r="CU32" s="10">
        <f>IF(CR32="",WORKDAY(CQ32,CU31),WORKDAY(CR32,CU31))</f>
        <v>46465</v>
      </c>
      <c r="CV32" s="56">
        <v>46100</v>
      </c>
      <c r="CW32" s="10">
        <v>46042</v>
      </c>
      <c r="CX32" s="10">
        <f>IF(BB32="",WORKDAY(BA32,CX31),WORKDAY(BB32,CX31))</f>
        <v>46042</v>
      </c>
      <c r="CY32" s="56"/>
      <c r="CZ32" s="10">
        <v>46042</v>
      </c>
      <c r="DA32" s="10">
        <f>IF(CY32="",WORKDAY(CX32,DA31),WORKDAY(CY32,DA31))</f>
        <v>46042</v>
      </c>
      <c r="DB32" s="56">
        <v>46042</v>
      </c>
      <c r="DC32" s="45"/>
      <c r="DD32" s="45"/>
      <c r="DE32" s="45"/>
      <c r="DF32" s="10">
        <v>46493</v>
      </c>
      <c r="DG32" s="10">
        <f>IF($CV32="",IF($CU32&gt;$DA32,WORKDAY($CU32,DG31),WORKDAY($DA32,DG31)),IF($CV32&gt;$DB32,WORKDAY($CV32,DG31),WORKDAY($DB32,DG31)))</f>
        <v>46128</v>
      </c>
      <c r="DH32" s="56"/>
      <c r="DI32" s="46"/>
      <c r="DJ32" s="10">
        <v>46521</v>
      </c>
      <c r="DK32" s="10">
        <f>IF(DH32="",WORKDAY(DG32,DK31*$DI31),WORKDAY(DH32,DK31*$DI31))</f>
        <v>46156</v>
      </c>
      <c r="DL32" s="56"/>
      <c r="DM32" s="46"/>
      <c r="DN32" s="46"/>
      <c r="DO32" s="46"/>
      <c r="DP32" s="46"/>
      <c r="DQ32" s="46"/>
      <c r="DR32" s="46"/>
      <c r="DS32" s="46"/>
      <c r="DT32" s="46"/>
      <c r="DU32" s="46"/>
      <c r="DV32" s="46"/>
      <c r="DW32" s="46"/>
      <c r="DX32" s="46"/>
      <c r="DY32" s="46"/>
      <c r="DZ32" s="46"/>
      <c r="EA32" s="46"/>
      <c r="EB32" s="46"/>
      <c r="EC32" s="46"/>
      <c r="ED32" s="46"/>
      <c r="EE32" s="10">
        <v>46521</v>
      </c>
      <c r="EF32" s="10">
        <f>IF(DL32="",WORKDAY(DK32,EF31),WORKDAY(DL32,EF31))</f>
        <v>46156</v>
      </c>
      <c r="EG32" s="56"/>
      <c r="EH32" s="10">
        <v>46449</v>
      </c>
      <c r="EI32" s="10">
        <v>46449</v>
      </c>
      <c r="EJ32" s="56"/>
      <c r="EK32" s="27"/>
      <c r="EL32" s="27"/>
      <c r="EM32" s="27"/>
      <c r="EN32" s="27"/>
      <c r="EO32" s="28"/>
      <c r="EP32" s="28"/>
      <c r="EQ32" s="28"/>
      <c r="ER32" s="28"/>
      <c r="ES32" s="28"/>
      <c r="ET32" s="28"/>
      <c r="EU32" s="28"/>
      <c r="EV32" s="28"/>
      <c r="EW32" s="28"/>
      <c r="EX32" s="28"/>
      <c r="EY32" s="28"/>
      <c r="EZ32" s="10">
        <v>46528</v>
      </c>
      <c r="FA32" s="10">
        <f>IF(EG32="",WORKDAY(EF32,FA31),WORKDAY(EG32,FA31))</f>
        <v>46163</v>
      </c>
      <c r="FB32" s="56"/>
      <c r="FC32" s="28"/>
      <c r="FD32" s="28"/>
      <c r="FE32" s="28"/>
      <c r="FF32" s="28"/>
      <c r="FG32" s="28"/>
      <c r="FH32" s="28"/>
      <c r="FI32" s="10">
        <v>46549</v>
      </c>
      <c r="FJ32" s="10">
        <f>IF(FB32="",WORKDAY(FA32,FJ31),WORKDAY(FB32,FJ31))</f>
        <v>46184</v>
      </c>
      <c r="FK32" s="56"/>
      <c r="FL32" s="10">
        <v>46549</v>
      </c>
      <c r="FM32" s="10">
        <f>IF(FK32="",WORKDAY(FJ32,FM31),WORKDAY(FK32,FM31))</f>
        <v>46184</v>
      </c>
      <c r="FN32" s="56"/>
      <c r="FO32" s="10">
        <v>46605</v>
      </c>
      <c r="FP32" s="10">
        <f>WORKDAY(FM32,FP31)</f>
        <v>46240</v>
      </c>
      <c r="FQ32" s="56"/>
      <c r="FR32" s="77" t="str">
        <f>IF(NETWORKDAYS(FJ32,FO32)&gt;=30,"On-Track",IF(AND(NETWORKDAYS(FJ32,FO32)&lt;30,FJ32&lt;=FO32),"At Risk","Missed TCD"))</f>
        <v>On-Track</v>
      </c>
      <c r="FS32" s="110" t="s">
        <v>480</v>
      </c>
      <c r="FT32" s="57">
        <f>NETWORKDAYS(CP32,FI32)</f>
        <v>351</v>
      </c>
      <c r="FU32" s="57">
        <f>NETWORKDAYS(CQ32,FJ32)</f>
        <v>-87</v>
      </c>
      <c r="FV32" s="57">
        <f>IF(BH32="",NETWORKDAYS(BG32,FJ32),IF(FK32="",NETWORKDAYS(BH32,FJ32),NETWORKDAYS(BH32,FK32)))</f>
        <v>103</v>
      </c>
      <c r="FW32" s="58" t="s">
        <v>467</v>
      </c>
    </row>
    <row r="33" spans="1:179" outlineLevel="1" x14ac:dyDescent="0.25">
      <c r="A33" s="23" t="s">
        <v>478</v>
      </c>
      <c r="B33" s="23">
        <v>132496</v>
      </c>
      <c r="C33" s="24" t="str">
        <f>VLOOKUP(B33,'[1]PM View-Mastersheet'!$A:$B,2,0)</f>
        <v>3102476-7</v>
      </c>
      <c r="D33" s="95"/>
      <c r="E33" s="24"/>
      <c r="F33" s="25" t="s">
        <v>463</v>
      </c>
      <c r="G33" s="26"/>
      <c r="H33" s="26"/>
      <c r="I33" s="27"/>
      <c r="J33" s="27"/>
      <c r="K33" s="27"/>
      <c r="L33" s="27"/>
      <c r="M33" s="4">
        <v>27</v>
      </c>
      <c r="N33" s="4">
        <v>27</v>
      </c>
      <c r="O33" s="27"/>
      <c r="P33" s="4">
        <v>0</v>
      </c>
      <c r="Q33" s="4">
        <v>0</v>
      </c>
      <c r="R33" s="27"/>
      <c r="S33" s="27"/>
      <c r="T33" s="27"/>
      <c r="U33" s="27"/>
      <c r="V33" s="4">
        <v>30</v>
      </c>
      <c r="W33" s="4">
        <v>30</v>
      </c>
      <c r="X33" s="27"/>
      <c r="Y33" s="4">
        <v>70</v>
      </c>
      <c r="Z33" s="4">
        <v>70</v>
      </c>
      <c r="AA33" s="27"/>
      <c r="AB33" s="4">
        <v>0</v>
      </c>
      <c r="AC33" s="4">
        <v>0</v>
      </c>
      <c r="AD33" s="27"/>
      <c r="AE33" s="4">
        <v>75</v>
      </c>
      <c r="AF33" s="4">
        <v>75</v>
      </c>
      <c r="AG33" s="27"/>
      <c r="AH33" s="4">
        <v>5</v>
      </c>
      <c r="AI33" s="4">
        <v>5</v>
      </c>
      <c r="AJ33" s="27"/>
      <c r="AK33" s="4">
        <v>20</v>
      </c>
      <c r="AL33" s="4">
        <v>20</v>
      </c>
      <c r="AM33" s="27"/>
      <c r="AN33" s="4">
        <v>0</v>
      </c>
      <c r="AO33" s="4">
        <v>0</v>
      </c>
      <c r="AP33" s="27"/>
      <c r="AQ33" s="4">
        <v>20</v>
      </c>
      <c r="AR33" s="4">
        <v>20</v>
      </c>
      <c r="AS33" s="27"/>
      <c r="AT33" s="4">
        <v>5</v>
      </c>
      <c r="AU33" s="4">
        <v>45993</v>
      </c>
      <c r="AV33" s="27">
        <v>45993</v>
      </c>
      <c r="AW33" s="4">
        <v>10</v>
      </c>
      <c r="AX33" s="4">
        <v>10</v>
      </c>
      <c r="AY33" s="27">
        <v>46028</v>
      </c>
      <c r="AZ33" s="4">
        <v>30</v>
      </c>
      <c r="BA33" s="4">
        <v>30</v>
      </c>
      <c r="BB33" s="27">
        <v>46028</v>
      </c>
      <c r="BC33" s="4">
        <v>5</v>
      </c>
      <c r="BD33" s="4">
        <v>5</v>
      </c>
      <c r="BE33" s="27">
        <v>46035</v>
      </c>
      <c r="BF33" s="4">
        <v>5</v>
      </c>
      <c r="BG33" s="4">
        <v>5</v>
      </c>
      <c r="BH33" s="27">
        <v>46042</v>
      </c>
      <c r="BI33" s="4">
        <v>5</v>
      </c>
      <c r="BJ33" s="4">
        <v>5</v>
      </c>
      <c r="BK33" s="27"/>
      <c r="BL33" s="27"/>
      <c r="BM33" s="27"/>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4">
        <v>3</v>
      </c>
      <c r="CN33" s="4">
        <v>3</v>
      </c>
      <c r="CO33" s="27"/>
      <c r="CP33" s="4">
        <v>5</v>
      </c>
      <c r="CQ33" s="4">
        <v>5</v>
      </c>
      <c r="CR33" s="27"/>
      <c r="CS33" s="27"/>
      <c r="CT33" s="5">
        <v>120</v>
      </c>
      <c r="CU33" s="5">
        <v>120</v>
      </c>
      <c r="CV33" s="27">
        <v>46465</v>
      </c>
      <c r="CW33" s="5">
        <v>10</v>
      </c>
      <c r="CX33" s="5">
        <v>10</v>
      </c>
      <c r="CY33" s="27"/>
      <c r="CZ33" s="5">
        <v>0</v>
      </c>
      <c r="DA33" s="5">
        <v>0</v>
      </c>
      <c r="DB33" s="27">
        <v>46042</v>
      </c>
      <c r="DC33" s="31"/>
      <c r="DD33" s="31"/>
      <c r="DE33" s="31"/>
      <c r="DF33" s="4">
        <v>20</v>
      </c>
      <c r="DG33" s="4">
        <v>20</v>
      </c>
      <c r="DH33" s="27">
        <v>46493</v>
      </c>
      <c r="DI33" s="89">
        <v>1</v>
      </c>
      <c r="DJ33" s="4">
        <v>20</v>
      </c>
      <c r="DK33" s="4">
        <v>20</v>
      </c>
      <c r="DL33" s="27">
        <v>46521</v>
      </c>
      <c r="DM33" s="27"/>
      <c r="DN33" s="27"/>
      <c r="DO33" s="27"/>
      <c r="DP33" s="27"/>
      <c r="DQ33" s="27"/>
      <c r="DR33" s="27"/>
      <c r="DS33" s="27"/>
      <c r="DT33" s="27"/>
      <c r="DU33" s="27"/>
      <c r="DV33" s="27"/>
      <c r="DW33" s="27"/>
      <c r="DX33" s="27"/>
      <c r="DY33" s="27"/>
      <c r="DZ33" s="27"/>
      <c r="EA33" s="27"/>
      <c r="EB33" s="27"/>
      <c r="EC33" s="27"/>
      <c r="ED33" s="27"/>
      <c r="EE33" s="4">
        <v>0</v>
      </c>
      <c r="EF33" s="4">
        <v>0</v>
      </c>
      <c r="EG33" s="27">
        <v>46521</v>
      </c>
      <c r="EH33" s="4">
        <v>30</v>
      </c>
      <c r="EI33" s="4">
        <v>30</v>
      </c>
      <c r="EJ33" s="27">
        <v>46084</v>
      </c>
      <c r="EK33" s="27"/>
      <c r="EL33" s="27"/>
      <c r="EM33" s="27"/>
      <c r="EN33" s="27"/>
      <c r="EO33" s="27"/>
      <c r="EP33" s="27"/>
      <c r="EQ33" s="27"/>
      <c r="ER33" s="27"/>
      <c r="ES33" s="27"/>
      <c r="ET33" s="27"/>
      <c r="EU33" s="27"/>
      <c r="EV33" s="27"/>
      <c r="EW33" s="27"/>
      <c r="EX33" s="27"/>
      <c r="EY33" s="27"/>
      <c r="EZ33" s="4">
        <v>5</v>
      </c>
      <c r="FA33" s="4">
        <v>5</v>
      </c>
      <c r="FB33" s="27">
        <v>46528</v>
      </c>
      <c r="FC33" s="27"/>
      <c r="FD33" s="27"/>
      <c r="FE33" s="27"/>
      <c r="FF33" s="27"/>
      <c r="FG33" s="27"/>
      <c r="FH33" s="27"/>
      <c r="FI33" s="4">
        <v>15</v>
      </c>
      <c r="FJ33" s="4">
        <v>15</v>
      </c>
      <c r="FK33" s="27">
        <v>46549</v>
      </c>
      <c r="FL33" s="4">
        <v>0</v>
      </c>
      <c r="FM33" s="4">
        <v>0</v>
      </c>
      <c r="FN33" s="27">
        <v>46549</v>
      </c>
      <c r="FO33" s="4">
        <v>40</v>
      </c>
      <c r="FP33" s="4">
        <v>40</v>
      </c>
      <c r="FQ33" s="27">
        <v>46605</v>
      </c>
      <c r="FR33" s="27"/>
      <c r="FS33" s="109"/>
      <c r="FT33" s="54">
        <f>NETWORKDAYS($I34,FO34)</f>
        <v>566</v>
      </c>
      <c r="FU33" s="54">
        <f>NETWORKDAYS($I34,FP34)</f>
        <v>305</v>
      </c>
      <c r="FV33" s="54">
        <f>IF(FQ34="",NETWORKDAYS($I34,FP34),NETWORKDAYS($I34,FQ34))</f>
        <v>305</v>
      </c>
      <c r="FW33" s="55" t="s">
        <v>464</v>
      </c>
    </row>
    <row r="34" spans="1:179" x14ac:dyDescent="0.25">
      <c r="A34" s="23" t="s">
        <v>478</v>
      </c>
      <c r="B34" s="23">
        <v>132496</v>
      </c>
      <c r="C34" s="24" t="str">
        <f>VLOOKUP(B34,'[1]PM View-Mastersheet'!$A:$B,2,0)</f>
        <v>3102476-7</v>
      </c>
      <c r="D34" s="65"/>
      <c r="E34" s="23" t="str">
        <f>IF(D34="","Unknown",IF(D34&lt;=FM34+90,"Red",IF(AND(D34&gt;FM34+90,D34&lt;=FM34+180),"Yellow",IF(AND(D34&gt;FM34+180,D34&lt;=FM34+690),"Green","Covered"))))</f>
        <v>Unknown</v>
      </c>
      <c r="F34" s="25" t="s">
        <v>466</v>
      </c>
      <c r="G34" s="26"/>
      <c r="H34" s="26" t="str">
        <f>IF(CR34="","Pre-Execution","Execution")</f>
        <v>Execution</v>
      </c>
      <c r="I34" s="46">
        <v>45814</v>
      </c>
      <c r="J34" s="28"/>
      <c r="K34" s="28"/>
      <c r="L34" s="28"/>
      <c r="M34" s="10">
        <v>45853</v>
      </c>
      <c r="N34" s="10">
        <f>WORKDAY(I34,N33)</f>
        <v>45853</v>
      </c>
      <c r="O34" s="56">
        <v>45973</v>
      </c>
      <c r="P34" s="10">
        <v>45853</v>
      </c>
      <c r="Q34" s="10">
        <f>IF(O34="",WORKDAY(N34,Q33),WORKDAY(O34,Q33))</f>
        <v>45973</v>
      </c>
      <c r="R34" s="56">
        <v>45973</v>
      </c>
      <c r="S34" s="28"/>
      <c r="T34" s="28"/>
      <c r="U34" s="28"/>
      <c r="V34" s="10">
        <v>45895</v>
      </c>
      <c r="W34" s="10">
        <f>IF(R34="",WORKDAY(Q34,W33),WORKDAY(R34,W33))</f>
        <v>46015</v>
      </c>
      <c r="X34" s="56">
        <f>V34</f>
        <v>45895</v>
      </c>
      <c r="Y34" s="10">
        <v>45951</v>
      </c>
      <c r="Z34" s="10">
        <f>IF(R34="",WORKDAY(Q34,Z33),WORKDAY(R34,Z33))</f>
        <v>46071</v>
      </c>
      <c r="AA34" s="56"/>
      <c r="AB34" s="10">
        <v>45814</v>
      </c>
      <c r="AC34" s="10">
        <f>WORKDAY(I34,AC33)</f>
        <v>45814</v>
      </c>
      <c r="AD34" s="56"/>
      <c r="AE34" s="10">
        <v>45919</v>
      </c>
      <c r="AF34" s="10">
        <f>IF(AD34="",WORKDAY(AC34,AF33),WORKDAY(AD34,AF33))</f>
        <v>45919</v>
      </c>
      <c r="AG34" s="56">
        <v>45940</v>
      </c>
      <c r="AH34" s="10">
        <v>45958</v>
      </c>
      <c r="AI34" s="10">
        <f>WORKDAY(IF(AA34="",IF(Z34&gt;AF34,Z34,AF34),IF(AA34&gt;AG34,AA34,AG34)),AI33)</f>
        <v>46078</v>
      </c>
      <c r="AJ34" s="10">
        <f>WORKDAY(IF(AA34&gt;AG34,AA34,AG34),AJ33)</f>
        <v>45940</v>
      </c>
      <c r="AK34" s="10">
        <v>45986</v>
      </c>
      <c r="AL34" s="10">
        <f>IF(AJ34="",WORKDAY(AI34,AL33),WORKDAY(AJ34,AL33))</f>
        <v>45968</v>
      </c>
      <c r="AM34" s="10">
        <f>IF(AK34="",WORKDAY(AJ34,AM33),WORKDAY(AK34,AM33))</f>
        <v>45986</v>
      </c>
      <c r="AN34" s="10">
        <v>45986</v>
      </c>
      <c r="AO34" s="10">
        <v>45986</v>
      </c>
      <c r="AP34" s="10">
        <v>45986</v>
      </c>
      <c r="AQ34" s="10">
        <v>46014</v>
      </c>
      <c r="AR34" s="10">
        <v>46014</v>
      </c>
      <c r="AS34" s="56">
        <v>45940</v>
      </c>
      <c r="AT34" s="10">
        <v>45993</v>
      </c>
      <c r="AU34" s="10">
        <v>45993</v>
      </c>
      <c r="AV34" s="10">
        <v>45993</v>
      </c>
      <c r="AW34" s="10">
        <v>46028</v>
      </c>
      <c r="AX34" s="10">
        <f>IF(AS34="",IF(AR34&gt;AU34,WORKDAY(AR34,AX33),WORKDAY(AU34,AX33)),IF(AS34&gt;AV34,WORKDAY(AS34,AX33),WORKDAY(AV34,AX33)))</f>
        <v>46007</v>
      </c>
      <c r="AY34" s="10">
        <v>46028</v>
      </c>
      <c r="AZ34" s="10">
        <v>46028</v>
      </c>
      <c r="BA34" s="10">
        <f>IF(AP34="",WORKDAY(AO34,BA33),WORKDAY(AP34,BA33))</f>
        <v>46028</v>
      </c>
      <c r="BB34" s="56">
        <v>46028</v>
      </c>
      <c r="BC34" s="10">
        <v>46035</v>
      </c>
      <c r="BD34" s="10">
        <f>IF(AY34="",IF(AX34&gt;BA34,WORKDAY(AX34,BD33),WORKDAY(BA34,BD33)),IF(AY34&gt;BB34,WORKDAY(AY34,BD33),WORKDAY(BB34,BD33)))</f>
        <v>46035</v>
      </c>
      <c r="BE34" s="56">
        <v>46035</v>
      </c>
      <c r="BF34" s="10">
        <v>46042</v>
      </c>
      <c r="BG34" s="10">
        <f>IF(BE34="",WORKDAY(BD34,BG33),WORKDAY(BE34,BG33))</f>
        <v>46042</v>
      </c>
      <c r="BH34" s="56">
        <v>46042</v>
      </c>
      <c r="BI34" s="10">
        <v>46049</v>
      </c>
      <c r="BJ34" s="10">
        <f>IF(BH34="",WORKDAY(BG34,BJ33),WORKDAY(BH34,BJ33))</f>
        <v>46049</v>
      </c>
      <c r="BK34" s="56">
        <v>45814</v>
      </c>
      <c r="BL34" s="28"/>
      <c r="BM34" s="28"/>
      <c r="BN34" s="28"/>
      <c r="BO34" s="28"/>
      <c r="BP34" s="28"/>
      <c r="BQ34" s="28"/>
      <c r="BR34" s="28"/>
      <c r="BS34" s="28"/>
      <c r="BT34" s="28"/>
      <c r="BU34" s="28"/>
      <c r="BV34" s="28"/>
      <c r="BW34" s="28"/>
      <c r="BX34" s="46"/>
      <c r="BY34" s="28"/>
      <c r="BZ34" s="28"/>
      <c r="CA34" s="28"/>
      <c r="CB34" s="28"/>
      <c r="CC34" s="28"/>
      <c r="CD34" s="28"/>
      <c r="CE34" s="28"/>
      <c r="CF34" s="28"/>
      <c r="CG34" s="28"/>
      <c r="CH34" s="28"/>
      <c r="CI34" s="28"/>
      <c r="CJ34" s="28"/>
      <c r="CK34" s="28"/>
      <c r="CL34" s="28"/>
      <c r="CM34" s="10">
        <v>46052</v>
      </c>
      <c r="CN34" s="10">
        <f>IF(BK34="",WORKDAY(BJ34,CN33),WORKDAY(BK34,CN33))</f>
        <v>45819</v>
      </c>
      <c r="CO34" s="56">
        <v>46297</v>
      </c>
      <c r="CP34" s="10">
        <v>46059</v>
      </c>
      <c r="CQ34" s="10">
        <f>IF(CO34="",WORKDAY(CN34,CQ33),WORKDAY(CO34,CQ33))</f>
        <v>46304</v>
      </c>
      <c r="CR34" s="56">
        <v>46297</v>
      </c>
      <c r="CS34" s="77" t="s">
        <v>479</v>
      </c>
      <c r="CT34" s="10">
        <v>46465</v>
      </c>
      <c r="CU34" s="10">
        <f>IF(CR34="",WORKDAY(CQ34,CU33),WORKDAY(CR34,CU33))</f>
        <v>46465</v>
      </c>
      <c r="CV34" s="56">
        <v>46100</v>
      </c>
      <c r="CW34" s="10">
        <v>46042</v>
      </c>
      <c r="CX34" s="10">
        <f>IF(BB34="",WORKDAY(BA34,CX33),WORKDAY(BB34,CX33))</f>
        <v>46042</v>
      </c>
      <c r="CY34" s="56"/>
      <c r="CZ34" s="10">
        <v>46042</v>
      </c>
      <c r="DA34" s="10">
        <f>IF(CY34="",WORKDAY(CX34,DA33),WORKDAY(CY34,DA33))</f>
        <v>46042</v>
      </c>
      <c r="DB34" s="56">
        <v>46042</v>
      </c>
      <c r="DC34" s="45"/>
      <c r="DD34" s="45"/>
      <c r="DE34" s="45"/>
      <c r="DF34" s="10">
        <v>46493</v>
      </c>
      <c r="DG34" s="10">
        <f>IF($CV34="",IF($CU34&gt;$DA34,WORKDAY($CU34,DG33),WORKDAY($DA34,DG33)),IF($CV34&gt;$DB34,WORKDAY($CV34,DG33),WORKDAY($DB34,DG33)))</f>
        <v>46128</v>
      </c>
      <c r="DH34" s="56"/>
      <c r="DI34" s="46"/>
      <c r="DJ34" s="10">
        <v>46521</v>
      </c>
      <c r="DK34" s="10">
        <f>IF(DH34="",WORKDAY(DG34,DK33*$DI33),WORKDAY(DH34,DK33*$DI33))</f>
        <v>46156</v>
      </c>
      <c r="DL34" s="56"/>
      <c r="DM34" s="46"/>
      <c r="DN34" s="46"/>
      <c r="DO34" s="46"/>
      <c r="DP34" s="46"/>
      <c r="DQ34" s="46"/>
      <c r="DR34" s="46"/>
      <c r="DS34" s="46"/>
      <c r="DT34" s="46"/>
      <c r="DU34" s="46"/>
      <c r="DV34" s="46"/>
      <c r="DW34" s="46"/>
      <c r="DX34" s="46"/>
      <c r="DY34" s="46"/>
      <c r="DZ34" s="46"/>
      <c r="EA34" s="46"/>
      <c r="EB34" s="46"/>
      <c r="EC34" s="46"/>
      <c r="ED34" s="46"/>
      <c r="EE34" s="10">
        <v>46521</v>
      </c>
      <c r="EF34" s="10">
        <f>IF(DL34="",WORKDAY(DK34,EF33),WORKDAY(DL34,EF33))</f>
        <v>46156</v>
      </c>
      <c r="EG34" s="56"/>
      <c r="EH34" s="10">
        <v>46449</v>
      </c>
      <c r="EI34" s="10">
        <v>46449</v>
      </c>
      <c r="EJ34" s="56"/>
      <c r="EK34" s="27"/>
      <c r="EL34" s="27"/>
      <c r="EM34" s="27"/>
      <c r="EN34" s="27"/>
      <c r="EO34" s="28"/>
      <c r="EP34" s="28"/>
      <c r="EQ34" s="28"/>
      <c r="ER34" s="28"/>
      <c r="ES34" s="28"/>
      <c r="ET34" s="28"/>
      <c r="EU34" s="28"/>
      <c r="EV34" s="28"/>
      <c r="EW34" s="28"/>
      <c r="EX34" s="28"/>
      <c r="EY34" s="28"/>
      <c r="EZ34" s="10">
        <v>46528</v>
      </c>
      <c r="FA34" s="10">
        <f>IF(EG34="",WORKDAY(EF34,FA33),WORKDAY(EG34,FA33))</f>
        <v>46163</v>
      </c>
      <c r="FB34" s="56"/>
      <c r="FC34" s="28"/>
      <c r="FD34" s="28"/>
      <c r="FE34" s="28"/>
      <c r="FF34" s="28"/>
      <c r="FG34" s="28"/>
      <c r="FH34" s="28"/>
      <c r="FI34" s="10">
        <v>46549</v>
      </c>
      <c r="FJ34" s="10">
        <f>IF(FB34="",WORKDAY(FA34,FJ33),WORKDAY(FB34,FJ33))</f>
        <v>46184</v>
      </c>
      <c r="FK34" s="56"/>
      <c r="FL34" s="10">
        <v>46549</v>
      </c>
      <c r="FM34" s="10">
        <f>IF(FK34="",WORKDAY(FJ34,FM33),WORKDAY(FK34,FM33))</f>
        <v>46184</v>
      </c>
      <c r="FN34" s="56"/>
      <c r="FO34" s="10">
        <v>46605</v>
      </c>
      <c r="FP34" s="10">
        <f>WORKDAY(FM34,FP33)</f>
        <v>46240</v>
      </c>
      <c r="FQ34" s="56"/>
      <c r="FR34" s="77" t="str">
        <f>IF(NETWORKDAYS(FJ34,FO34)&gt;=30,"On-Track",IF(AND(NETWORKDAYS(FJ34,FO34)&lt;30,FJ34&lt;=FO34),"At Risk","Missed TCD"))</f>
        <v>On-Track</v>
      </c>
      <c r="FS34" s="110" t="s">
        <v>480</v>
      </c>
      <c r="FT34" s="57">
        <f>NETWORKDAYS(CP34,FI34)</f>
        <v>351</v>
      </c>
      <c r="FU34" s="57">
        <f>NETWORKDAYS(CQ34,FJ34)</f>
        <v>-87</v>
      </c>
      <c r="FV34" s="57">
        <f>IF(BH34="",NETWORKDAYS(BG34,FJ34),IF(FK34="",NETWORKDAYS(BH34,FJ34),NETWORKDAYS(BH34,FK34)))</f>
        <v>103</v>
      </c>
      <c r="FW34" s="58" t="s">
        <v>467</v>
      </c>
    </row>
    <row r="35" spans="1:179" outlineLevel="1" x14ac:dyDescent="0.25">
      <c r="A35" s="23" t="s">
        <v>478</v>
      </c>
      <c r="B35" s="23">
        <v>132497</v>
      </c>
      <c r="C35" s="24" t="str">
        <f>VLOOKUP(B35,'[1]PM View-Mastersheet'!$A:$B,2,0)</f>
        <v>897069-3</v>
      </c>
      <c r="D35" s="95"/>
      <c r="E35" s="24"/>
      <c r="F35" s="25" t="s">
        <v>463</v>
      </c>
      <c r="G35" s="26"/>
      <c r="H35" s="26"/>
      <c r="I35" s="27"/>
      <c r="J35" s="27"/>
      <c r="K35" s="27"/>
      <c r="L35" s="27"/>
      <c r="M35" s="4">
        <v>27</v>
      </c>
      <c r="N35" s="4">
        <v>27</v>
      </c>
      <c r="O35" s="27"/>
      <c r="P35" s="4">
        <v>0</v>
      </c>
      <c r="Q35" s="4">
        <v>0</v>
      </c>
      <c r="R35" s="27"/>
      <c r="S35" s="27"/>
      <c r="T35" s="27"/>
      <c r="U35" s="27"/>
      <c r="V35" s="4">
        <v>30</v>
      </c>
      <c r="W35" s="4">
        <v>30</v>
      </c>
      <c r="X35" s="27"/>
      <c r="Y35" s="4">
        <v>70</v>
      </c>
      <c r="Z35" s="4">
        <v>70</v>
      </c>
      <c r="AA35" s="27"/>
      <c r="AB35" s="4">
        <v>0</v>
      </c>
      <c r="AC35" s="4">
        <v>0</v>
      </c>
      <c r="AD35" s="27"/>
      <c r="AE35" s="4">
        <v>75</v>
      </c>
      <c r="AF35" s="4">
        <v>75</v>
      </c>
      <c r="AG35" s="27"/>
      <c r="AH35" s="4">
        <v>5</v>
      </c>
      <c r="AI35" s="4">
        <v>5</v>
      </c>
      <c r="AJ35" s="27"/>
      <c r="AK35" s="4">
        <v>20</v>
      </c>
      <c r="AL35" s="4">
        <v>20</v>
      </c>
      <c r="AM35" s="27"/>
      <c r="AN35" s="4">
        <v>0</v>
      </c>
      <c r="AO35" s="4">
        <v>0</v>
      </c>
      <c r="AP35" s="27"/>
      <c r="AQ35" s="4">
        <v>20</v>
      </c>
      <c r="AR35" s="4">
        <v>20</v>
      </c>
      <c r="AS35" s="27"/>
      <c r="AT35" s="4">
        <v>5</v>
      </c>
      <c r="AU35" s="4">
        <v>45993</v>
      </c>
      <c r="AV35" s="27">
        <v>45993</v>
      </c>
      <c r="AW35" s="4">
        <v>10</v>
      </c>
      <c r="AX35" s="4">
        <v>10</v>
      </c>
      <c r="AY35" s="27">
        <v>46028</v>
      </c>
      <c r="AZ35" s="4">
        <v>30</v>
      </c>
      <c r="BA35" s="4">
        <v>30</v>
      </c>
      <c r="BB35" s="27">
        <v>46028</v>
      </c>
      <c r="BC35" s="4">
        <v>5</v>
      </c>
      <c r="BD35" s="4">
        <v>5</v>
      </c>
      <c r="BE35" s="27">
        <v>46035</v>
      </c>
      <c r="BF35" s="4">
        <v>5</v>
      </c>
      <c r="BG35" s="4">
        <v>5</v>
      </c>
      <c r="BH35" s="27">
        <v>46042</v>
      </c>
      <c r="BI35" s="4">
        <v>5</v>
      </c>
      <c r="BJ35" s="4">
        <v>5</v>
      </c>
      <c r="BK35" s="27"/>
      <c r="BL35" s="27"/>
      <c r="BM35" s="27"/>
      <c r="BN35" s="27"/>
      <c r="BO35" s="27"/>
      <c r="BP35" s="27"/>
      <c r="BQ35" s="27"/>
      <c r="BR35" s="27"/>
      <c r="BS35" s="27"/>
      <c r="BT35" s="27"/>
      <c r="BU35" s="27"/>
      <c r="BV35" s="27"/>
      <c r="BW35" s="27"/>
      <c r="BX35" s="27"/>
      <c r="BY35" s="27"/>
      <c r="BZ35" s="27"/>
      <c r="CA35" s="27"/>
      <c r="CB35" s="27"/>
      <c r="CC35" s="27"/>
      <c r="CD35" s="27"/>
      <c r="CE35" s="27"/>
      <c r="CF35" s="27"/>
      <c r="CG35" s="27"/>
      <c r="CH35" s="27"/>
      <c r="CI35" s="27"/>
      <c r="CJ35" s="27"/>
      <c r="CK35" s="27"/>
      <c r="CL35" s="27"/>
      <c r="CM35" s="4">
        <v>3</v>
      </c>
      <c r="CN35" s="4">
        <v>3</v>
      </c>
      <c r="CO35" s="27"/>
      <c r="CP35" s="4">
        <v>5</v>
      </c>
      <c r="CQ35" s="4">
        <v>5</v>
      </c>
      <c r="CR35" s="27"/>
      <c r="CS35" s="27"/>
      <c r="CT35" s="5">
        <v>120</v>
      </c>
      <c r="CU35" s="5">
        <v>120</v>
      </c>
      <c r="CV35" s="27">
        <v>46465</v>
      </c>
      <c r="CW35" s="5">
        <v>10</v>
      </c>
      <c r="CX35" s="5">
        <v>10</v>
      </c>
      <c r="CY35" s="27"/>
      <c r="CZ35" s="5">
        <v>0</v>
      </c>
      <c r="DA35" s="5">
        <v>0</v>
      </c>
      <c r="DB35" s="27">
        <v>46042</v>
      </c>
      <c r="DC35" s="31"/>
      <c r="DD35" s="31"/>
      <c r="DE35" s="31"/>
      <c r="DF35" s="4">
        <v>20</v>
      </c>
      <c r="DG35" s="4">
        <v>20</v>
      </c>
      <c r="DH35" s="27">
        <v>46493</v>
      </c>
      <c r="DI35" s="89">
        <v>1</v>
      </c>
      <c r="DJ35" s="4">
        <v>20</v>
      </c>
      <c r="DK35" s="4">
        <v>20</v>
      </c>
      <c r="DL35" s="27">
        <v>46521</v>
      </c>
      <c r="DM35" s="27"/>
      <c r="DN35" s="27"/>
      <c r="DO35" s="27"/>
      <c r="DP35" s="27"/>
      <c r="DQ35" s="27"/>
      <c r="DR35" s="27"/>
      <c r="DS35" s="27"/>
      <c r="DT35" s="27"/>
      <c r="DU35" s="27"/>
      <c r="DV35" s="27"/>
      <c r="DW35" s="27"/>
      <c r="DX35" s="27"/>
      <c r="DY35" s="27"/>
      <c r="DZ35" s="27"/>
      <c r="EA35" s="27"/>
      <c r="EB35" s="27"/>
      <c r="EC35" s="27"/>
      <c r="ED35" s="27"/>
      <c r="EE35" s="4">
        <v>0</v>
      </c>
      <c r="EF35" s="4">
        <v>0</v>
      </c>
      <c r="EG35" s="27">
        <v>46521</v>
      </c>
      <c r="EH35" s="4">
        <v>30</v>
      </c>
      <c r="EI35" s="4">
        <v>30</v>
      </c>
      <c r="EJ35" s="27">
        <v>46084</v>
      </c>
      <c r="EK35" s="27"/>
      <c r="EL35" s="27"/>
      <c r="EM35" s="27"/>
      <c r="EN35" s="27"/>
      <c r="EO35" s="27"/>
      <c r="EP35" s="27"/>
      <c r="EQ35" s="27"/>
      <c r="ER35" s="27"/>
      <c r="ES35" s="27"/>
      <c r="ET35" s="27"/>
      <c r="EU35" s="27"/>
      <c r="EV35" s="27"/>
      <c r="EW35" s="27"/>
      <c r="EX35" s="27"/>
      <c r="EY35" s="27"/>
      <c r="EZ35" s="4">
        <v>5</v>
      </c>
      <c r="FA35" s="4">
        <v>5</v>
      </c>
      <c r="FB35" s="27">
        <v>46528</v>
      </c>
      <c r="FC35" s="27"/>
      <c r="FD35" s="27"/>
      <c r="FE35" s="27"/>
      <c r="FF35" s="27"/>
      <c r="FG35" s="27"/>
      <c r="FH35" s="27"/>
      <c r="FI35" s="4">
        <v>15</v>
      </c>
      <c r="FJ35" s="4">
        <v>15</v>
      </c>
      <c r="FK35" s="27">
        <v>46549</v>
      </c>
      <c r="FL35" s="4">
        <v>0</v>
      </c>
      <c r="FM35" s="4">
        <v>0</v>
      </c>
      <c r="FN35" s="27">
        <v>46549</v>
      </c>
      <c r="FO35" s="4">
        <v>40</v>
      </c>
      <c r="FP35" s="4">
        <v>40</v>
      </c>
      <c r="FQ35" s="27">
        <v>46605</v>
      </c>
      <c r="FR35" s="27"/>
      <c r="FS35" s="109"/>
      <c r="FT35" s="54">
        <f>NETWORKDAYS($I36,FO36)</f>
        <v>566</v>
      </c>
      <c r="FU35" s="54">
        <f>NETWORKDAYS($I36,FP36)</f>
        <v>305</v>
      </c>
      <c r="FV35" s="54">
        <f>IF(FQ36="",NETWORKDAYS($I36,FP36),NETWORKDAYS($I36,FQ36))</f>
        <v>305</v>
      </c>
      <c r="FW35" s="55" t="s">
        <v>464</v>
      </c>
    </row>
    <row r="36" spans="1:179" x14ac:dyDescent="0.25">
      <c r="A36" s="23" t="s">
        <v>478</v>
      </c>
      <c r="B36" s="23">
        <v>132497</v>
      </c>
      <c r="C36" s="24" t="str">
        <f>VLOOKUP(B36,'[1]PM View-Mastersheet'!$A:$B,2,0)</f>
        <v>897069-3</v>
      </c>
      <c r="D36" s="65"/>
      <c r="E36" s="23" t="str">
        <f>IF(D36="","Unknown",IF(D36&lt;=FM36+90,"Red",IF(AND(D36&gt;FM36+90,D36&lt;=FM36+180),"Yellow",IF(AND(D36&gt;FM36+180,D36&lt;=FM36+690),"Green","Covered"))))</f>
        <v>Unknown</v>
      </c>
      <c r="F36" s="25" t="s">
        <v>466</v>
      </c>
      <c r="G36" s="26"/>
      <c r="H36" s="26" t="str">
        <f>IF(CR36="","Pre-Execution","Execution")</f>
        <v>Execution</v>
      </c>
      <c r="I36" s="46">
        <v>45814</v>
      </c>
      <c r="J36" s="28"/>
      <c r="K36" s="28"/>
      <c r="L36" s="28"/>
      <c r="M36" s="10">
        <v>45853</v>
      </c>
      <c r="N36" s="10">
        <f>WORKDAY(I36,N35)</f>
        <v>45853</v>
      </c>
      <c r="O36" s="56">
        <v>45973</v>
      </c>
      <c r="P36" s="10">
        <v>45853</v>
      </c>
      <c r="Q36" s="10">
        <f>IF(O36="",WORKDAY(N36,Q35),WORKDAY(O36,Q35))</f>
        <v>45973</v>
      </c>
      <c r="R36" s="56">
        <v>45973</v>
      </c>
      <c r="S36" s="28"/>
      <c r="T36" s="28"/>
      <c r="U36" s="28"/>
      <c r="V36" s="10">
        <v>45895</v>
      </c>
      <c r="W36" s="10">
        <f>IF(R36="",WORKDAY(Q36,W35),WORKDAY(R36,W35))</f>
        <v>46015</v>
      </c>
      <c r="X36" s="56">
        <f>V36</f>
        <v>45895</v>
      </c>
      <c r="Y36" s="10">
        <v>45951</v>
      </c>
      <c r="Z36" s="10">
        <f>IF(R36="",WORKDAY(Q36,Z35),WORKDAY(R36,Z35))</f>
        <v>46071</v>
      </c>
      <c r="AA36" s="56"/>
      <c r="AB36" s="10">
        <v>45814</v>
      </c>
      <c r="AC36" s="10">
        <f>WORKDAY(I36,AC35)</f>
        <v>45814</v>
      </c>
      <c r="AD36" s="56"/>
      <c r="AE36" s="10">
        <v>45919</v>
      </c>
      <c r="AF36" s="10">
        <f>IF(AD36="",WORKDAY(AC36,AF35),WORKDAY(AD36,AF35))</f>
        <v>45919</v>
      </c>
      <c r="AG36" s="56">
        <v>45940</v>
      </c>
      <c r="AH36" s="10">
        <v>45958</v>
      </c>
      <c r="AI36" s="10">
        <f>WORKDAY(IF(AA36="",IF(Z36&gt;AF36,Z36,AF36),IF(AA36&gt;AG36,AA36,AG36)),AI35)</f>
        <v>46078</v>
      </c>
      <c r="AJ36" s="10">
        <f>WORKDAY(IF(AA36&gt;AG36,AA36,AG36),AJ35)</f>
        <v>45940</v>
      </c>
      <c r="AK36" s="10">
        <v>45986</v>
      </c>
      <c r="AL36" s="10">
        <f>IF(AJ36="",WORKDAY(AI36,AL35),WORKDAY(AJ36,AL35))</f>
        <v>45968</v>
      </c>
      <c r="AM36" s="10">
        <f>IF(AK36="",WORKDAY(AJ36,AM35),WORKDAY(AK36,AM35))</f>
        <v>45986</v>
      </c>
      <c r="AN36" s="10">
        <v>45986</v>
      </c>
      <c r="AO36" s="10">
        <v>45986</v>
      </c>
      <c r="AP36" s="10">
        <v>45986</v>
      </c>
      <c r="AQ36" s="10">
        <v>46014</v>
      </c>
      <c r="AR36" s="10">
        <v>46014</v>
      </c>
      <c r="AS36" s="56">
        <v>45940</v>
      </c>
      <c r="AT36" s="10">
        <v>45993</v>
      </c>
      <c r="AU36" s="10">
        <v>45993</v>
      </c>
      <c r="AV36" s="10">
        <v>45993</v>
      </c>
      <c r="AW36" s="10">
        <v>46028</v>
      </c>
      <c r="AX36" s="10">
        <f>IF(AS36="",IF(AR36&gt;AU36,WORKDAY(AR36,AX35),WORKDAY(AU36,AX35)),IF(AS36&gt;AV36,WORKDAY(AS36,AX35),WORKDAY(AV36,AX35)))</f>
        <v>46007</v>
      </c>
      <c r="AY36" s="10">
        <v>46028</v>
      </c>
      <c r="AZ36" s="10">
        <v>46028</v>
      </c>
      <c r="BA36" s="10">
        <f>IF(AP36="",WORKDAY(AO36,BA35),WORKDAY(AP36,BA35))</f>
        <v>46028</v>
      </c>
      <c r="BB36" s="56">
        <v>46028</v>
      </c>
      <c r="BC36" s="10">
        <v>46035</v>
      </c>
      <c r="BD36" s="10">
        <f>IF(AY36="",IF(AX36&gt;BA36,WORKDAY(AX36,BD35),WORKDAY(BA36,BD35)),IF(AY36&gt;BB36,WORKDAY(AY36,BD35),WORKDAY(BB36,BD35)))</f>
        <v>46035</v>
      </c>
      <c r="BE36" s="56">
        <v>46035</v>
      </c>
      <c r="BF36" s="10">
        <v>46042</v>
      </c>
      <c r="BG36" s="10">
        <f>IF(BE36="",WORKDAY(BD36,BG35),WORKDAY(BE36,BG35))</f>
        <v>46042</v>
      </c>
      <c r="BH36" s="56">
        <v>46042</v>
      </c>
      <c r="BI36" s="10">
        <v>46049</v>
      </c>
      <c r="BJ36" s="10">
        <f>IF(BH36="",WORKDAY(BG36,BJ35),WORKDAY(BH36,BJ35))</f>
        <v>46049</v>
      </c>
      <c r="BK36" s="56">
        <v>45814</v>
      </c>
      <c r="BL36" s="28"/>
      <c r="BM36" s="28"/>
      <c r="BN36" s="28"/>
      <c r="BO36" s="28"/>
      <c r="BP36" s="28"/>
      <c r="BQ36" s="28"/>
      <c r="BR36" s="28"/>
      <c r="BS36" s="28"/>
      <c r="BT36" s="28"/>
      <c r="BU36" s="28"/>
      <c r="BV36" s="28"/>
      <c r="BW36" s="28"/>
      <c r="BX36" s="46"/>
      <c r="BY36" s="28"/>
      <c r="BZ36" s="28"/>
      <c r="CA36" s="28"/>
      <c r="CB36" s="28"/>
      <c r="CC36" s="28"/>
      <c r="CD36" s="28"/>
      <c r="CE36" s="28"/>
      <c r="CF36" s="28"/>
      <c r="CG36" s="28"/>
      <c r="CH36" s="28"/>
      <c r="CI36" s="28"/>
      <c r="CJ36" s="28"/>
      <c r="CK36" s="28"/>
      <c r="CL36" s="28"/>
      <c r="CM36" s="10">
        <v>46052</v>
      </c>
      <c r="CN36" s="10">
        <f>IF(BK36="",WORKDAY(BJ36,CN35),WORKDAY(BK36,CN35))</f>
        <v>45819</v>
      </c>
      <c r="CO36" s="56">
        <v>46297</v>
      </c>
      <c r="CP36" s="10">
        <v>46059</v>
      </c>
      <c r="CQ36" s="10">
        <f>IF(CO36="",WORKDAY(CN36,CQ35),WORKDAY(CO36,CQ35))</f>
        <v>46304</v>
      </c>
      <c r="CR36" s="56">
        <v>46297</v>
      </c>
      <c r="CS36" s="77" t="s">
        <v>479</v>
      </c>
      <c r="CT36" s="10">
        <v>46465</v>
      </c>
      <c r="CU36" s="10">
        <f>IF(CR36="",WORKDAY(CQ36,CU35),WORKDAY(CR36,CU35))</f>
        <v>46465</v>
      </c>
      <c r="CV36" s="56">
        <v>46100</v>
      </c>
      <c r="CW36" s="10">
        <v>46042</v>
      </c>
      <c r="CX36" s="10">
        <f>IF(BB36="",WORKDAY(BA36,CX35),WORKDAY(BB36,CX35))</f>
        <v>46042</v>
      </c>
      <c r="CY36" s="56"/>
      <c r="CZ36" s="10">
        <v>46042</v>
      </c>
      <c r="DA36" s="10">
        <f>IF(CY36="",WORKDAY(CX36,DA35),WORKDAY(CY36,DA35))</f>
        <v>46042</v>
      </c>
      <c r="DB36" s="56">
        <v>46042</v>
      </c>
      <c r="DC36" s="45"/>
      <c r="DD36" s="45"/>
      <c r="DE36" s="45"/>
      <c r="DF36" s="10">
        <v>46493</v>
      </c>
      <c r="DG36" s="10">
        <f>IF($CV36="",IF($CU36&gt;$DA36,WORKDAY($CU36,DG35),WORKDAY($DA36,DG35)),IF($CV36&gt;$DB36,WORKDAY($CV36,DG35),WORKDAY($DB36,DG35)))</f>
        <v>46128</v>
      </c>
      <c r="DH36" s="56"/>
      <c r="DI36" s="46"/>
      <c r="DJ36" s="10">
        <v>46521</v>
      </c>
      <c r="DK36" s="10">
        <f>IF(DH36="",WORKDAY(DG36,DK35*$DI35),WORKDAY(DH36,DK35*$DI35))</f>
        <v>46156</v>
      </c>
      <c r="DL36" s="56"/>
      <c r="DM36" s="46"/>
      <c r="DN36" s="46"/>
      <c r="DO36" s="46"/>
      <c r="DP36" s="46"/>
      <c r="DQ36" s="46"/>
      <c r="DR36" s="46"/>
      <c r="DS36" s="46"/>
      <c r="DT36" s="46"/>
      <c r="DU36" s="46"/>
      <c r="DV36" s="46"/>
      <c r="DW36" s="46"/>
      <c r="DX36" s="46"/>
      <c r="DY36" s="46"/>
      <c r="DZ36" s="46"/>
      <c r="EA36" s="46"/>
      <c r="EB36" s="46"/>
      <c r="EC36" s="46"/>
      <c r="ED36" s="46"/>
      <c r="EE36" s="10">
        <v>46521</v>
      </c>
      <c r="EF36" s="10">
        <f>IF(DL36="",WORKDAY(DK36,EF35),WORKDAY(DL36,EF35))</f>
        <v>46156</v>
      </c>
      <c r="EG36" s="56"/>
      <c r="EH36" s="10">
        <v>46449</v>
      </c>
      <c r="EI36" s="10">
        <v>46449</v>
      </c>
      <c r="EJ36" s="56"/>
      <c r="EK36" s="27"/>
      <c r="EL36" s="27"/>
      <c r="EM36" s="27"/>
      <c r="EN36" s="27"/>
      <c r="EO36" s="28"/>
      <c r="EP36" s="28"/>
      <c r="EQ36" s="28"/>
      <c r="ER36" s="28"/>
      <c r="ES36" s="28"/>
      <c r="ET36" s="28"/>
      <c r="EU36" s="28"/>
      <c r="EV36" s="28"/>
      <c r="EW36" s="28"/>
      <c r="EX36" s="28"/>
      <c r="EY36" s="28"/>
      <c r="EZ36" s="10">
        <v>46528</v>
      </c>
      <c r="FA36" s="10">
        <f>IF(EG36="",WORKDAY(EF36,FA35),WORKDAY(EG36,FA35))</f>
        <v>46163</v>
      </c>
      <c r="FB36" s="56"/>
      <c r="FC36" s="28"/>
      <c r="FD36" s="28"/>
      <c r="FE36" s="28"/>
      <c r="FF36" s="28"/>
      <c r="FG36" s="28"/>
      <c r="FH36" s="28"/>
      <c r="FI36" s="10">
        <v>46549</v>
      </c>
      <c r="FJ36" s="10">
        <f>IF(FB36="",WORKDAY(FA36,FJ35),WORKDAY(FB36,FJ35))</f>
        <v>46184</v>
      </c>
      <c r="FK36" s="56"/>
      <c r="FL36" s="10">
        <v>46549</v>
      </c>
      <c r="FM36" s="10">
        <f>IF(FK36="",WORKDAY(FJ36,FM35),WORKDAY(FK36,FM35))</f>
        <v>46184</v>
      </c>
      <c r="FN36" s="56"/>
      <c r="FO36" s="10">
        <v>46605</v>
      </c>
      <c r="FP36" s="10">
        <f>WORKDAY(FM36,FP35)</f>
        <v>46240</v>
      </c>
      <c r="FQ36" s="56"/>
      <c r="FR36" s="77" t="str">
        <f>IF(NETWORKDAYS(FJ36,FO36)&gt;=30,"On-Track",IF(AND(NETWORKDAYS(FJ36,FO36)&lt;30,FJ36&lt;=FO36),"At Risk","Missed TCD"))</f>
        <v>On-Track</v>
      </c>
      <c r="FS36" s="110" t="s">
        <v>480</v>
      </c>
      <c r="FT36" s="57">
        <f>NETWORKDAYS(CP36,FI36)</f>
        <v>351</v>
      </c>
      <c r="FU36" s="57">
        <f>NETWORKDAYS(CQ36,FJ36)</f>
        <v>-87</v>
      </c>
      <c r="FV36" s="57">
        <f>IF(BH36="",NETWORKDAYS(BG36,FJ36),IF(FK36="",NETWORKDAYS(BH36,FJ36),NETWORKDAYS(BH36,FK36)))</f>
        <v>103</v>
      </c>
      <c r="FW36" s="58" t="s">
        <v>467</v>
      </c>
    </row>
    <row r="37" spans="1:179" outlineLevel="1" x14ac:dyDescent="0.25">
      <c r="A37" s="23" t="s">
        <v>478</v>
      </c>
      <c r="B37" s="23">
        <v>132510</v>
      </c>
      <c r="C37" s="24" t="str">
        <f>VLOOKUP(B37,'[1]PM View-Mastersheet'!$A:$B,2,0)</f>
        <v>3102476-5</v>
      </c>
      <c r="D37" s="95"/>
      <c r="E37" s="24"/>
      <c r="F37" s="25" t="s">
        <v>463</v>
      </c>
      <c r="G37" s="26"/>
      <c r="H37" s="26"/>
      <c r="I37" s="27"/>
      <c r="J37" s="27"/>
      <c r="K37" s="27"/>
      <c r="L37" s="27"/>
      <c r="M37" s="4">
        <v>27</v>
      </c>
      <c r="N37" s="4">
        <v>27</v>
      </c>
      <c r="O37" s="27"/>
      <c r="P37" s="4">
        <v>0</v>
      </c>
      <c r="Q37" s="4">
        <v>0</v>
      </c>
      <c r="R37" s="27"/>
      <c r="S37" s="27"/>
      <c r="T37" s="27"/>
      <c r="U37" s="27"/>
      <c r="V37" s="4">
        <v>30</v>
      </c>
      <c r="W37" s="4">
        <v>30</v>
      </c>
      <c r="X37" s="27"/>
      <c r="Y37" s="4">
        <v>70</v>
      </c>
      <c r="Z37" s="4">
        <v>70</v>
      </c>
      <c r="AA37" s="27"/>
      <c r="AB37" s="4">
        <v>0</v>
      </c>
      <c r="AC37" s="4">
        <v>0</v>
      </c>
      <c r="AD37" s="27"/>
      <c r="AE37" s="4">
        <v>75</v>
      </c>
      <c r="AF37" s="4">
        <v>75</v>
      </c>
      <c r="AG37" s="27"/>
      <c r="AH37" s="4">
        <v>5</v>
      </c>
      <c r="AI37" s="4">
        <v>5</v>
      </c>
      <c r="AJ37" s="27"/>
      <c r="AK37" s="4">
        <v>20</v>
      </c>
      <c r="AL37" s="4">
        <v>20</v>
      </c>
      <c r="AM37" s="27"/>
      <c r="AN37" s="4">
        <v>0</v>
      </c>
      <c r="AO37" s="4">
        <v>0</v>
      </c>
      <c r="AP37" s="27"/>
      <c r="AQ37" s="4">
        <v>20</v>
      </c>
      <c r="AR37" s="4">
        <v>20</v>
      </c>
      <c r="AS37" s="27"/>
      <c r="AT37" s="4">
        <v>5</v>
      </c>
      <c r="AU37" s="4">
        <v>45993</v>
      </c>
      <c r="AV37" s="27">
        <v>45993</v>
      </c>
      <c r="AW37" s="4">
        <v>10</v>
      </c>
      <c r="AX37" s="4">
        <v>10</v>
      </c>
      <c r="AY37" s="27">
        <v>46028</v>
      </c>
      <c r="AZ37" s="4">
        <v>30</v>
      </c>
      <c r="BA37" s="4">
        <v>30</v>
      </c>
      <c r="BB37" s="27">
        <v>46028</v>
      </c>
      <c r="BC37" s="4">
        <v>5</v>
      </c>
      <c r="BD37" s="4">
        <v>5</v>
      </c>
      <c r="BE37" s="27">
        <v>46035</v>
      </c>
      <c r="BF37" s="4">
        <v>5</v>
      </c>
      <c r="BG37" s="4">
        <v>5</v>
      </c>
      <c r="BH37" s="27">
        <v>46042</v>
      </c>
      <c r="BI37" s="4">
        <v>5</v>
      </c>
      <c r="BJ37" s="4">
        <v>5</v>
      </c>
      <c r="BK37" s="27"/>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4">
        <v>3</v>
      </c>
      <c r="CN37" s="4">
        <v>3</v>
      </c>
      <c r="CO37" s="27"/>
      <c r="CP37" s="4">
        <v>5</v>
      </c>
      <c r="CQ37" s="4">
        <v>5</v>
      </c>
      <c r="CR37" s="27"/>
      <c r="CS37" s="27"/>
      <c r="CT37" s="5">
        <v>120</v>
      </c>
      <c r="CU37" s="5">
        <v>120</v>
      </c>
      <c r="CV37" s="27">
        <v>46465</v>
      </c>
      <c r="CW37" s="5">
        <v>10</v>
      </c>
      <c r="CX37" s="5">
        <v>10</v>
      </c>
      <c r="CY37" s="27"/>
      <c r="CZ37" s="5">
        <v>0</v>
      </c>
      <c r="DA37" s="5">
        <v>0</v>
      </c>
      <c r="DB37" s="27">
        <v>46042</v>
      </c>
      <c r="DC37" s="31"/>
      <c r="DD37" s="31"/>
      <c r="DE37" s="31"/>
      <c r="DF37" s="4">
        <v>20</v>
      </c>
      <c r="DG37" s="4">
        <v>20</v>
      </c>
      <c r="DH37" s="27">
        <v>46493</v>
      </c>
      <c r="DI37" s="89">
        <v>1</v>
      </c>
      <c r="DJ37" s="4">
        <v>20</v>
      </c>
      <c r="DK37" s="4">
        <v>20</v>
      </c>
      <c r="DL37" s="27">
        <v>46521</v>
      </c>
      <c r="DM37" s="27"/>
      <c r="DN37" s="27"/>
      <c r="DO37" s="27"/>
      <c r="DP37" s="27"/>
      <c r="DQ37" s="27"/>
      <c r="DR37" s="27"/>
      <c r="DS37" s="27"/>
      <c r="DT37" s="27"/>
      <c r="DU37" s="27"/>
      <c r="DV37" s="27"/>
      <c r="DW37" s="27"/>
      <c r="DX37" s="27"/>
      <c r="DY37" s="27"/>
      <c r="DZ37" s="27"/>
      <c r="EA37" s="27"/>
      <c r="EB37" s="27"/>
      <c r="EC37" s="27"/>
      <c r="ED37" s="27"/>
      <c r="EE37" s="4">
        <v>0</v>
      </c>
      <c r="EF37" s="4">
        <v>0</v>
      </c>
      <c r="EG37" s="27">
        <v>46521</v>
      </c>
      <c r="EH37" s="4">
        <v>30</v>
      </c>
      <c r="EI37" s="4">
        <v>30</v>
      </c>
      <c r="EJ37" s="27">
        <v>46084</v>
      </c>
      <c r="EK37" s="27"/>
      <c r="EL37" s="27"/>
      <c r="EM37" s="27"/>
      <c r="EN37" s="27"/>
      <c r="EO37" s="27"/>
      <c r="EP37" s="27"/>
      <c r="EQ37" s="27"/>
      <c r="ER37" s="27"/>
      <c r="ES37" s="27"/>
      <c r="ET37" s="27"/>
      <c r="EU37" s="27"/>
      <c r="EV37" s="27"/>
      <c r="EW37" s="27"/>
      <c r="EX37" s="27"/>
      <c r="EY37" s="27"/>
      <c r="EZ37" s="4">
        <v>5</v>
      </c>
      <c r="FA37" s="4">
        <v>5</v>
      </c>
      <c r="FB37" s="27">
        <v>46528</v>
      </c>
      <c r="FC37" s="27"/>
      <c r="FD37" s="27"/>
      <c r="FE37" s="27"/>
      <c r="FF37" s="27"/>
      <c r="FG37" s="27"/>
      <c r="FH37" s="27"/>
      <c r="FI37" s="4">
        <v>15</v>
      </c>
      <c r="FJ37" s="4">
        <v>15</v>
      </c>
      <c r="FK37" s="27">
        <v>46549</v>
      </c>
      <c r="FL37" s="4">
        <v>0</v>
      </c>
      <c r="FM37" s="4">
        <v>0</v>
      </c>
      <c r="FN37" s="27">
        <v>46549</v>
      </c>
      <c r="FO37" s="4">
        <v>40</v>
      </c>
      <c r="FP37" s="4">
        <v>40</v>
      </c>
      <c r="FQ37" s="27">
        <v>46605</v>
      </c>
      <c r="FR37" s="27"/>
      <c r="FS37" s="109"/>
      <c r="FT37" s="54">
        <f>NETWORKDAYS($I38,FO38)</f>
        <v>566</v>
      </c>
      <c r="FU37" s="54">
        <f>NETWORKDAYS($I38,FP38)</f>
        <v>305</v>
      </c>
      <c r="FV37" s="54">
        <f>IF(FQ38="",NETWORKDAYS($I38,FP38),NETWORKDAYS($I38,FQ38))</f>
        <v>305</v>
      </c>
      <c r="FW37" s="55" t="s">
        <v>464</v>
      </c>
    </row>
    <row r="38" spans="1:179" x14ac:dyDescent="0.25">
      <c r="A38" s="23" t="s">
        <v>478</v>
      </c>
      <c r="B38" s="23">
        <v>132510</v>
      </c>
      <c r="C38" s="24" t="str">
        <f>VLOOKUP(B38,'[1]PM View-Mastersheet'!$A:$B,2,0)</f>
        <v>3102476-5</v>
      </c>
      <c r="D38" s="65"/>
      <c r="E38" s="23" t="str">
        <f>IF(D38="","Unknown",IF(D38&lt;=FM38+90,"Red",IF(AND(D38&gt;FM38+90,D38&lt;=FM38+180),"Yellow",IF(AND(D38&gt;FM38+180,D38&lt;=FM38+690),"Green","Covered"))))</f>
        <v>Unknown</v>
      </c>
      <c r="F38" s="25" t="s">
        <v>466</v>
      </c>
      <c r="G38" s="26"/>
      <c r="H38" s="26" t="str">
        <f>IF(CR38="","Pre-Execution","Execution")</f>
        <v>Execution</v>
      </c>
      <c r="I38" s="46">
        <v>45814</v>
      </c>
      <c r="J38" s="28"/>
      <c r="K38" s="28"/>
      <c r="L38" s="28"/>
      <c r="M38" s="10">
        <v>45853</v>
      </c>
      <c r="N38" s="10">
        <f>WORKDAY(I38,N37)</f>
        <v>45853</v>
      </c>
      <c r="O38" s="56">
        <v>45973</v>
      </c>
      <c r="P38" s="10">
        <v>45853</v>
      </c>
      <c r="Q38" s="10">
        <f>IF(O38="",WORKDAY(N38,Q37),WORKDAY(O38,Q37))</f>
        <v>45973</v>
      </c>
      <c r="R38" s="56">
        <v>45973</v>
      </c>
      <c r="S38" s="28"/>
      <c r="T38" s="28"/>
      <c r="U38" s="28"/>
      <c r="V38" s="10">
        <v>45895</v>
      </c>
      <c r="W38" s="10">
        <f>IF(R38="",WORKDAY(Q38,W37),WORKDAY(R38,W37))</f>
        <v>46015</v>
      </c>
      <c r="X38" s="56">
        <f>V38</f>
        <v>45895</v>
      </c>
      <c r="Y38" s="10">
        <v>45951</v>
      </c>
      <c r="Z38" s="10">
        <f>IF(R38="",WORKDAY(Q38,Z37),WORKDAY(R38,Z37))</f>
        <v>46071</v>
      </c>
      <c r="AA38" s="56"/>
      <c r="AB38" s="10">
        <v>45814</v>
      </c>
      <c r="AC38" s="10">
        <f>WORKDAY(I38,AC37)</f>
        <v>45814</v>
      </c>
      <c r="AD38" s="56"/>
      <c r="AE38" s="10">
        <v>45919</v>
      </c>
      <c r="AF38" s="10">
        <f>IF(AD38="",WORKDAY(AC38,AF37),WORKDAY(AD38,AF37))</f>
        <v>45919</v>
      </c>
      <c r="AG38" s="56">
        <v>45940</v>
      </c>
      <c r="AH38" s="10">
        <v>45958</v>
      </c>
      <c r="AI38" s="10">
        <f>WORKDAY(IF(AA38="",IF(Z38&gt;AF38,Z38,AF38),IF(AA38&gt;AG38,AA38,AG38)),AI37)</f>
        <v>46078</v>
      </c>
      <c r="AJ38" s="10">
        <f>WORKDAY(IF(AA38&gt;AG38,AA38,AG38),AJ37)</f>
        <v>45940</v>
      </c>
      <c r="AK38" s="10">
        <v>45986</v>
      </c>
      <c r="AL38" s="10">
        <f>IF(AJ38="",WORKDAY(AI38,AL37),WORKDAY(AJ38,AL37))</f>
        <v>45968</v>
      </c>
      <c r="AM38" s="10">
        <f>IF(AK38="",WORKDAY(AJ38,AM37),WORKDAY(AK38,AM37))</f>
        <v>45986</v>
      </c>
      <c r="AN38" s="10">
        <v>45986</v>
      </c>
      <c r="AO38" s="10">
        <v>45986</v>
      </c>
      <c r="AP38" s="10">
        <v>45986</v>
      </c>
      <c r="AQ38" s="10">
        <v>46014</v>
      </c>
      <c r="AR38" s="10">
        <v>46014</v>
      </c>
      <c r="AS38" s="56">
        <v>45940</v>
      </c>
      <c r="AT38" s="10">
        <v>45993</v>
      </c>
      <c r="AU38" s="10">
        <v>45993</v>
      </c>
      <c r="AV38" s="10">
        <v>45993</v>
      </c>
      <c r="AW38" s="10">
        <v>46028</v>
      </c>
      <c r="AX38" s="10">
        <f>IF(AS38="",IF(AR38&gt;AU38,WORKDAY(AR38,AX37),WORKDAY(AU38,AX37)),IF(AS38&gt;AV38,WORKDAY(AS38,AX37),WORKDAY(AV38,AX37)))</f>
        <v>46007</v>
      </c>
      <c r="AY38" s="10">
        <v>46028</v>
      </c>
      <c r="AZ38" s="10">
        <v>46028</v>
      </c>
      <c r="BA38" s="10">
        <f>IF(AP38="",WORKDAY(AO38,BA37),WORKDAY(AP38,BA37))</f>
        <v>46028</v>
      </c>
      <c r="BB38" s="56">
        <v>46028</v>
      </c>
      <c r="BC38" s="10">
        <v>46035</v>
      </c>
      <c r="BD38" s="10">
        <f>IF(AY38="",IF(AX38&gt;BA38,WORKDAY(AX38,BD37),WORKDAY(BA38,BD37)),IF(AY38&gt;BB38,WORKDAY(AY38,BD37),WORKDAY(BB38,BD37)))</f>
        <v>46035</v>
      </c>
      <c r="BE38" s="56">
        <v>46035</v>
      </c>
      <c r="BF38" s="10">
        <v>46042</v>
      </c>
      <c r="BG38" s="10">
        <f>IF(BE38="",WORKDAY(BD38,BG37),WORKDAY(BE38,BG37))</f>
        <v>46042</v>
      </c>
      <c r="BH38" s="56">
        <v>46042</v>
      </c>
      <c r="BI38" s="10">
        <v>46049</v>
      </c>
      <c r="BJ38" s="10">
        <f>IF(BH38="",WORKDAY(BG38,BJ37),WORKDAY(BH38,BJ37))</f>
        <v>46049</v>
      </c>
      <c r="BK38" s="56">
        <v>45814</v>
      </c>
      <c r="BL38" s="28"/>
      <c r="BM38" s="28"/>
      <c r="BN38" s="28"/>
      <c r="BO38" s="28"/>
      <c r="BP38" s="28"/>
      <c r="BQ38" s="28"/>
      <c r="BR38" s="28"/>
      <c r="BS38" s="28"/>
      <c r="BT38" s="28"/>
      <c r="BU38" s="28"/>
      <c r="BV38" s="28"/>
      <c r="BW38" s="28"/>
      <c r="BX38" s="46"/>
      <c r="BY38" s="28"/>
      <c r="BZ38" s="28"/>
      <c r="CA38" s="28"/>
      <c r="CB38" s="28"/>
      <c r="CC38" s="28"/>
      <c r="CD38" s="28"/>
      <c r="CE38" s="28"/>
      <c r="CF38" s="28"/>
      <c r="CG38" s="28"/>
      <c r="CH38" s="28"/>
      <c r="CI38" s="28"/>
      <c r="CJ38" s="28"/>
      <c r="CK38" s="28"/>
      <c r="CL38" s="28"/>
      <c r="CM38" s="10">
        <v>46052</v>
      </c>
      <c r="CN38" s="10">
        <f>IF(BK38="",WORKDAY(BJ38,CN37),WORKDAY(BK38,CN37))</f>
        <v>45819</v>
      </c>
      <c r="CO38" s="56">
        <v>46297</v>
      </c>
      <c r="CP38" s="10">
        <v>46059</v>
      </c>
      <c r="CQ38" s="10">
        <f>IF(CO38="",WORKDAY(CN38,CQ37),WORKDAY(CO38,CQ37))</f>
        <v>46304</v>
      </c>
      <c r="CR38" s="56">
        <v>46297</v>
      </c>
      <c r="CS38" s="77" t="s">
        <v>479</v>
      </c>
      <c r="CT38" s="10">
        <v>46465</v>
      </c>
      <c r="CU38" s="10">
        <f>IF(CR38="",WORKDAY(CQ38,CU37),WORKDAY(CR38,CU37))</f>
        <v>46465</v>
      </c>
      <c r="CV38" s="56">
        <v>46100</v>
      </c>
      <c r="CW38" s="10">
        <v>46042</v>
      </c>
      <c r="CX38" s="10">
        <f>IF(BB38="",WORKDAY(BA38,CX37),WORKDAY(BB38,CX37))</f>
        <v>46042</v>
      </c>
      <c r="CY38" s="56"/>
      <c r="CZ38" s="10">
        <v>46042</v>
      </c>
      <c r="DA38" s="10">
        <f>IF(CY38="",WORKDAY(CX38,DA37),WORKDAY(CY38,DA37))</f>
        <v>46042</v>
      </c>
      <c r="DB38" s="56">
        <v>46042</v>
      </c>
      <c r="DC38" s="45"/>
      <c r="DD38" s="45"/>
      <c r="DE38" s="45"/>
      <c r="DF38" s="10">
        <v>46493</v>
      </c>
      <c r="DG38" s="10">
        <f>IF($CV38="",IF($CU38&gt;$DA38,WORKDAY($CU38,DG37),WORKDAY($DA38,DG37)),IF($CV38&gt;$DB38,WORKDAY($CV38,DG37),WORKDAY($DB38,DG37)))</f>
        <v>46128</v>
      </c>
      <c r="DH38" s="56"/>
      <c r="DI38" s="46"/>
      <c r="DJ38" s="10">
        <v>46521</v>
      </c>
      <c r="DK38" s="10">
        <f>IF(DH38="",WORKDAY(DG38,DK37*$DI37),WORKDAY(DH38,DK37*$DI37))</f>
        <v>46156</v>
      </c>
      <c r="DL38" s="56"/>
      <c r="DM38" s="46"/>
      <c r="DN38" s="46"/>
      <c r="DO38" s="46"/>
      <c r="DP38" s="46"/>
      <c r="DQ38" s="46"/>
      <c r="DR38" s="46"/>
      <c r="DS38" s="46"/>
      <c r="DT38" s="46"/>
      <c r="DU38" s="46"/>
      <c r="DV38" s="46"/>
      <c r="DW38" s="46"/>
      <c r="DX38" s="46"/>
      <c r="DY38" s="46"/>
      <c r="DZ38" s="46"/>
      <c r="EA38" s="46"/>
      <c r="EB38" s="46"/>
      <c r="EC38" s="46"/>
      <c r="ED38" s="46"/>
      <c r="EE38" s="10">
        <v>46521</v>
      </c>
      <c r="EF38" s="10">
        <f>IF(DL38="",WORKDAY(DK38,EF37),WORKDAY(DL38,EF37))</f>
        <v>46156</v>
      </c>
      <c r="EG38" s="56"/>
      <c r="EH38" s="10">
        <v>46449</v>
      </c>
      <c r="EI38" s="10">
        <v>46449</v>
      </c>
      <c r="EJ38" s="56"/>
      <c r="EK38" s="27"/>
      <c r="EL38" s="27"/>
      <c r="EM38" s="27"/>
      <c r="EN38" s="27"/>
      <c r="EO38" s="28"/>
      <c r="EP38" s="28"/>
      <c r="EQ38" s="28"/>
      <c r="ER38" s="28"/>
      <c r="ES38" s="28"/>
      <c r="ET38" s="28"/>
      <c r="EU38" s="28"/>
      <c r="EV38" s="28"/>
      <c r="EW38" s="28"/>
      <c r="EX38" s="28"/>
      <c r="EY38" s="28"/>
      <c r="EZ38" s="10">
        <v>46528</v>
      </c>
      <c r="FA38" s="10">
        <f>IF(EG38="",WORKDAY(EF38,FA37),WORKDAY(EG38,FA37))</f>
        <v>46163</v>
      </c>
      <c r="FB38" s="56"/>
      <c r="FC38" s="28"/>
      <c r="FD38" s="28"/>
      <c r="FE38" s="28"/>
      <c r="FF38" s="28"/>
      <c r="FG38" s="28"/>
      <c r="FH38" s="28"/>
      <c r="FI38" s="10">
        <v>46549</v>
      </c>
      <c r="FJ38" s="10">
        <f>IF(FB38="",WORKDAY(FA38,FJ37),WORKDAY(FB38,FJ37))</f>
        <v>46184</v>
      </c>
      <c r="FK38" s="56"/>
      <c r="FL38" s="10">
        <v>46549</v>
      </c>
      <c r="FM38" s="10">
        <f>IF(FK38="",WORKDAY(FJ38,FM37),WORKDAY(FK38,FM37))</f>
        <v>46184</v>
      </c>
      <c r="FN38" s="56"/>
      <c r="FO38" s="10">
        <v>46605</v>
      </c>
      <c r="FP38" s="10">
        <f>WORKDAY(FM38,FP37)</f>
        <v>46240</v>
      </c>
      <c r="FQ38" s="56"/>
      <c r="FR38" s="77" t="str">
        <f>IF(NETWORKDAYS(FJ38,FO38)&gt;=30,"On-Track",IF(AND(NETWORKDAYS(FJ38,FO38)&lt;30,FJ38&lt;=FO38),"At Risk","Missed TCD"))</f>
        <v>On-Track</v>
      </c>
      <c r="FS38" s="110" t="s">
        <v>480</v>
      </c>
      <c r="FT38" s="57">
        <f>NETWORKDAYS(CP38,FI38)</f>
        <v>351</v>
      </c>
      <c r="FU38" s="57">
        <f>NETWORKDAYS(CQ38,FJ38)</f>
        <v>-87</v>
      </c>
      <c r="FV38" s="57">
        <f>IF(BH38="",NETWORKDAYS(BG38,FJ38),IF(FK38="",NETWORKDAYS(BH38,FJ38),NETWORKDAYS(BH38,FK38)))</f>
        <v>103</v>
      </c>
      <c r="FW38" s="58" t="s">
        <v>467</v>
      </c>
    </row>
    <row r="39" spans="1:179" outlineLevel="1" x14ac:dyDescent="0.25">
      <c r="A39" s="23" t="s">
        <v>478</v>
      </c>
      <c r="B39" s="23">
        <v>132511</v>
      </c>
      <c r="C39" s="24" t="str">
        <f>VLOOKUP(B39,'[1]PM View-Mastersheet'!$A:$B,2,0)</f>
        <v>3102476-6</v>
      </c>
      <c r="D39" s="95"/>
      <c r="E39" s="24"/>
      <c r="F39" s="25" t="s">
        <v>463</v>
      </c>
      <c r="G39" s="26"/>
      <c r="H39" s="26"/>
      <c r="I39" s="27"/>
      <c r="J39" s="27"/>
      <c r="K39" s="27"/>
      <c r="L39" s="27"/>
      <c r="M39" s="4">
        <v>27</v>
      </c>
      <c r="N39" s="4">
        <v>27</v>
      </c>
      <c r="O39" s="27"/>
      <c r="P39" s="4">
        <v>0</v>
      </c>
      <c r="Q39" s="4">
        <v>0</v>
      </c>
      <c r="R39" s="27"/>
      <c r="S39" s="27"/>
      <c r="T39" s="27"/>
      <c r="U39" s="27"/>
      <c r="V39" s="4">
        <v>30</v>
      </c>
      <c r="W39" s="4">
        <v>30</v>
      </c>
      <c r="X39" s="27"/>
      <c r="Y39" s="4">
        <v>70</v>
      </c>
      <c r="Z39" s="4">
        <v>70</v>
      </c>
      <c r="AA39" s="27"/>
      <c r="AB39" s="4">
        <v>0</v>
      </c>
      <c r="AC39" s="4">
        <v>0</v>
      </c>
      <c r="AD39" s="27"/>
      <c r="AE39" s="4">
        <v>75</v>
      </c>
      <c r="AF39" s="4">
        <v>75</v>
      </c>
      <c r="AG39" s="27"/>
      <c r="AH39" s="4">
        <v>5</v>
      </c>
      <c r="AI39" s="4">
        <v>5</v>
      </c>
      <c r="AJ39" s="27"/>
      <c r="AK39" s="4">
        <v>20</v>
      </c>
      <c r="AL39" s="4">
        <v>20</v>
      </c>
      <c r="AM39" s="27"/>
      <c r="AN39" s="4">
        <v>0</v>
      </c>
      <c r="AO39" s="4">
        <v>0</v>
      </c>
      <c r="AP39" s="27"/>
      <c r="AQ39" s="4">
        <v>20</v>
      </c>
      <c r="AR39" s="4">
        <v>20</v>
      </c>
      <c r="AS39" s="27"/>
      <c r="AT39" s="4">
        <v>5</v>
      </c>
      <c r="AU39" s="4">
        <v>45993</v>
      </c>
      <c r="AV39" s="27">
        <v>45993</v>
      </c>
      <c r="AW39" s="4">
        <v>10</v>
      </c>
      <c r="AX39" s="4">
        <v>10</v>
      </c>
      <c r="AY39" s="27">
        <v>46028</v>
      </c>
      <c r="AZ39" s="4">
        <v>30</v>
      </c>
      <c r="BA39" s="4">
        <v>30</v>
      </c>
      <c r="BB39" s="27">
        <v>46028</v>
      </c>
      <c r="BC39" s="4">
        <v>5</v>
      </c>
      <c r="BD39" s="4">
        <v>5</v>
      </c>
      <c r="BE39" s="27">
        <v>46035</v>
      </c>
      <c r="BF39" s="4">
        <v>5</v>
      </c>
      <c r="BG39" s="4">
        <v>5</v>
      </c>
      <c r="BH39" s="27">
        <v>46042</v>
      </c>
      <c r="BI39" s="4">
        <v>5</v>
      </c>
      <c r="BJ39" s="4">
        <v>5</v>
      </c>
      <c r="BK39" s="27"/>
      <c r="BL39" s="27"/>
      <c r="BM39" s="27"/>
      <c r="BN39" s="27"/>
      <c r="BO39" s="27"/>
      <c r="BP39" s="27"/>
      <c r="BQ39" s="27"/>
      <c r="BR39" s="27"/>
      <c r="BS39" s="27"/>
      <c r="BT39" s="27"/>
      <c r="BU39" s="27"/>
      <c r="BV39" s="27"/>
      <c r="BW39" s="27"/>
      <c r="BX39" s="27"/>
      <c r="BY39" s="27"/>
      <c r="BZ39" s="27"/>
      <c r="CA39" s="27"/>
      <c r="CB39" s="27"/>
      <c r="CC39" s="27"/>
      <c r="CD39" s="27"/>
      <c r="CE39" s="27"/>
      <c r="CF39" s="27"/>
      <c r="CG39" s="27"/>
      <c r="CH39" s="27"/>
      <c r="CI39" s="27"/>
      <c r="CJ39" s="27"/>
      <c r="CK39" s="27"/>
      <c r="CL39" s="27"/>
      <c r="CM39" s="4">
        <v>3</v>
      </c>
      <c r="CN39" s="4">
        <v>3</v>
      </c>
      <c r="CO39" s="27"/>
      <c r="CP39" s="4">
        <v>5</v>
      </c>
      <c r="CQ39" s="4">
        <v>5</v>
      </c>
      <c r="CR39" s="27"/>
      <c r="CS39" s="27"/>
      <c r="CT39" s="5">
        <v>120</v>
      </c>
      <c r="CU39" s="5">
        <v>120</v>
      </c>
      <c r="CV39" s="27">
        <v>46465</v>
      </c>
      <c r="CW39" s="5">
        <v>10</v>
      </c>
      <c r="CX39" s="5">
        <v>10</v>
      </c>
      <c r="CY39" s="27"/>
      <c r="CZ39" s="5">
        <v>0</v>
      </c>
      <c r="DA39" s="5">
        <v>0</v>
      </c>
      <c r="DB39" s="27">
        <v>46042</v>
      </c>
      <c r="DC39" s="31"/>
      <c r="DD39" s="31"/>
      <c r="DE39" s="31"/>
      <c r="DF39" s="4">
        <v>20</v>
      </c>
      <c r="DG39" s="4">
        <v>20</v>
      </c>
      <c r="DH39" s="27">
        <v>46493</v>
      </c>
      <c r="DI39" s="89">
        <v>1</v>
      </c>
      <c r="DJ39" s="4">
        <v>20</v>
      </c>
      <c r="DK39" s="4">
        <v>20</v>
      </c>
      <c r="DL39" s="27">
        <v>46521</v>
      </c>
      <c r="DM39" s="27"/>
      <c r="DN39" s="27"/>
      <c r="DO39" s="27"/>
      <c r="DP39" s="27"/>
      <c r="DQ39" s="27"/>
      <c r="DR39" s="27"/>
      <c r="DS39" s="27"/>
      <c r="DT39" s="27"/>
      <c r="DU39" s="27"/>
      <c r="DV39" s="27"/>
      <c r="DW39" s="27"/>
      <c r="DX39" s="27"/>
      <c r="DY39" s="27"/>
      <c r="DZ39" s="27"/>
      <c r="EA39" s="27"/>
      <c r="EB39" s="27"/>
      <c r="EC39" s="27"/>
      <c r="ED39" s="27"/>
      <c r="EE39" s="4">
        <v>0</v>
      </c>
      <c r="EF39" s="4">
        <v>0</v>
      </c>
      <c r="EG39" s="27">
        <v>46521</v>
      </c>
      <c r="EH39" s="4">
        <v>30</v>
      </c>
      <c r="EI39" s="4">
        <v>30</v>
      </c>
      <c r="EJ39" s="27">
        <v>46084</v>
      </c>
      <c r="EK39" s="27"/>
      <c r="EL39" s="27"/>
      <c r="EM39" s="27"/>
      <c r="EN39" s="27"/>
      <c r="EO39" s="27"/>
      <c r="EP39" s="27"/>
      <c r="EQ39" s="27"/>
      <c r="ER39" s="27"/>
      <c r="ES39" s="27"/>
      <c r="ET39" s="27"/>
      <c r="EU39" s="27"/>
      <c r="EV39" s="27"/>
      <c r="EW39" s="27"/>
      <c r="EX39" s="27"/>
      <c r="EY39" s="27"/>
      <c r="EZ39" s="4">
        <v>5</v>
      </c>
      <c r="FA39" s="4">
        <v>5</v>
      </c>
      <c r="FB39" s="27">
        <v>46528</v>
      </c>
      <c r="FC39" s="27"/>
      <c r="FD39" s="27"/>
      <c r="FE39" s="27"/>
      <c r="FF39" s="27"/>
      <c r="FG39" s="27"/>
      <c r="FH39" s="27"/>
      <c r="FI39" s="4">
        <v>15</v>
      </c>
      <c r="FJ39" s="4">
        <v>15</v>
      </c>
      <c r="FK39" s="27">
        <v>46549</v>
      </c>
      <c r="FL39" s="4">
        <v>0</v>
      </c>
      <c r="FM39" s="4">
        <v>0</v>
      </c>
      <c r="FN39" s="27">
        <v>46549</v>
      </c>
      <c r="FO39" s="4">
        <v>40</v>
      </c>
      <c r="FP39" s="4">
        <v>40</v>
      </c>
      <c r="FQ39" s="27">
        <v>46605</v>
      </c>
      <c r="FR39" s="27"/>
      <c r="FS39" s="109"/>
      <c r="FT39" s="54">
        <f>NETWORKDAYS($I40,FO40)</f>
        <v>566</v>
      </c>
      <c r="FU39" s="54">
        <f>NETWORKDAYS($I40,FP40)</f>
        <v>305</v>
      </c>
      <c r="FV39" s="54">
        <f>IF(FQ40="",NETWORKDAYS($I40,FP40),NETWORKDAYS($I40,FQ40))</f>
        <v>305</v>
      </c>
      <c r="FW39" s="55" t="s">
        <v>464</v>
      </c>
    </row>
    <row r="40" spans="1:179" x14ac:dyDescent="0.25">
      <c r="A40" s="23" t="s">
        <v>478</v>
      </c>
      <c r="B40" s="23">
        <v>132511</v>
      </c>
      <c r="C40" s="24" t="str">
        <f>VLOOKUP(B40,'[1]PM View-Mastersheet'!$A:$B,2,0)</f>
        <v>3102476-6</v>
      </c>
      <c r="D40" s="65"/>
      <c r="E40" s="23" t="str">
        <f>IF(D40="","Unknown",IF(D40&lt;=FM40+90,"Red",IF(AND(D40&gt;FM40+90,D40&lt;=FM40+180),"Yellow",IF(AND(D40&gt;FM40+180,D40&lt;=FM40+690),"Green","Covered"))))</f>
        <v>Unknown</v>
      </c>
      <c r="F40" s="25" t="s">
        <v>466</v>
      </c>
      <c r="G40" s="26"/>
      <c r="H40" s="26" t="str">
        <f>IF(CR40="","Pre-Execution","Execution")</f>
        <v>Execution</v>
      </c>
      <c r="I40" s="46">
        <v>45814</v>
      </c>
      <c r="J40" s="28"/>
      <c r="K40" s="28"/>
      <c r="L40" s="28"/>
      <c r="M40" s="10">
        <v>45853</v>
      </c>
      <c r="N40" s="10">
        <f>WORKDAY(I40,N39)</f>
        <v>45853</v>
      </c>
      <c r="O40" s="56">
        <v>45973</v>
      </c>
      <c r="P40" s="10">
        <v>45853</v>
      </c>
      <c r="Q40" s="10">
        <f>IF(O40="",WORKDAY(N40,Q39),WORKDAY(O40,Q39))</f>
        <v>45973</v>
      </c>
      <c r="R40" s="56">
        <v>45973</v>
      </c>
      <c r="S40" s="28"/>
      <c r="T40" s="28"/>
      <c r="U40" s="28"/>
      <c r="V40" s="10">
        <v>45895</v>
      </c>
      <c r="W40" s="10">
        <f>IF(R40="",WORKDAY(Q40,W39),WORKDAY(R40,W39))</f>
        <v>46015</v>
      </c>
      <c r="X40" s="56">
        <f>V40</f>
        <v>45895</v>
      </c>
      <c r="Y40" s="10">
        <v>45951</v>
      </c>
      <c r="Z40" s="10">
        <f>IF(R40="",WORKDAY(Q40,Z39),WORKDAY(R40,Z39))</f>
        <v>46071</v>
      </c>
      <c r="AA40" s="56"/>
      <c r="AB40" s="10">
        <v>45814</v>
      </c>
      <c r="AC40" s="10">
        <f>WORKDAY(I40,AC39)</f>
        <v>45814</v>
      </c>
      <c r="AD40" s="56"/>
      <c r="AE40" s="10">
        <v>45919</v>
      </c>
      <c r="AF40" s="10">
        <f>IF(AD40="",WORKDAY(AC40,AF39),WORKDAY(AD40,AF39))</f>
        <v>45919</v>
      </c>
      <c r="AG40" s="56">
        <v>45940</v>
      </c>
      <c r="AH40" s="10">
        <v>45958</v>
      </c>
      <c r="AI40" s="10">
        <f>WORKDAY(IF(AA40="",IF(Z40&gt;AF40,Z40,AF40),IF(AA40&gt;AG40,AA40,AG40)),AI39)</f>
        <v>46078</v>
      </c>
      <c r="AJ40" s="10">
        <f>WORKDAY(IF(AA40&gt;AG40,AA40,AG40),AJ39)</f>
        <v>45940</v>
      </c>
      <c r="AK40" s="10">
        <v>45986</v>
      </c>
      <c r="AL40" s="10">
        <f>IF(AJ40="",WORKDAY(AI40,AL39),WORKDAY(AJ40,AL39))</f>
        <v>45968</v>
      </c>
      <c r="AM40" s="10">
        <f>IF(AK40="",WORKDAY(AJ40,AM39),WORKDAY(AK40,AM39))</f>
        <v>45986</v>
      </c>
      <c r="AN40" s="10">
        <v>45986</v>
      </c>
      <c r="AO40" s="10">
        <v>45986</v>
      </c>
      <c r="AP40" s="10">
        <v>45986</v>
      </c>
      <c r="AQ40" s="10">
        <v>46014</v>
      </c>
      <c r="AR40" s="10">
        <v>46014</v>
      </c>
      <c r="AS40" s="56">
        <v>45940</v>
      </c>
      <c r="AT40" s="10">
        <v>45993</v>
      </c>
      <c r="AU40" s="10">
        <v>45993</v>
      </c>
      <c r="AV40" s="10">
        <v>45993</v>
      </c>
      <c r="AW40" s="10">
        <v>46028</v>
      </c>
      <c r="AX40" s="10">
        <f>IF(AS40="",IF(AR40&gt;AU40,WORKDAY(AR40,AX39),WORKDAY(AU40,AX39)),IF(AS40&gt;AV40,WORKDAY(AS40,AX39),WORKDAY(AV40,AX39)))</f>
        <v>46007</v>
      </c>
      <c r="AY40" s="10">
        <v>46028</v>
      </c>
      <c r="AZ40" s="10">
        <v>46028</v>
      </c>
      <c r="BA40" s="10">
        <f>IF(AP40="",WORKDAY(AO40,BA39),WORKDAY(AP40,BA39))</f>
        <v>46028</v>
      </c>
      <c r="BB40" s="56">
        <v>46028</v>
      </c>
      <c r="BC40" s="10">
        <v>46035</v>
      </c>
      <c r="BD40" s="10">
        <f>IF(AY40="",IF(AX40&gt;BA40,WORKDAY(AX40,BD39),WORKDAY(BA40,BD39)),IF(AY40&gt;BB40,WORKDAY(AY40,BD39),WORKDAY(BB40,BD39)))</f>
        <v>46035</v>
      </c>
      <c r="BE40" s="56">
        <v>46035</v>
      </c>
      <c r="BF40" s="10">
        <v>46042</v>
      </c>
      <c r="BG40" s="10">
        <f>IF(BE40="",WORKDAY(BD40,BG39),WORKDAY(BE40,BG39))</f>
        <v>46042</v>
      </c>
      <c r="BH40" s="56">
        <v>46042</v>
      </c>
      <c r="BI40" s="10">
        <v>46049</v>
      </c>
      <c r="BJ40" s="10">
        <f>IF(BH40="",WORKDAY(BG40,BJ39),WORKDAY(BH40,BJ39))</f>
        <v>46049</v>
      </c>
      <c r="BK40" s="56">
        <v>45814</v>
      </c>
      <c r="BL40" s="28"/>
      <c r="BM40" s="28"/>
      <c r="BN40" s="28"/>
      <c r="BO40" s="28"/>
      <c r="BP40" s="28"/>
      <c r="BQ40" s="28"/>
      <c r="BR40" s="28"/>
      <c r="BS40" s="28"/>
      <c r="BT40" s="28"/>
      <c r="BU40" s="28"/>
      <c r="BV40" s="28"/>
      <c r="BW40" s="28"/>
      <c r="BX40" s="46"/>
      <c r="BY40" s="28"/>
      <c r="BZ40" s="28"/>
      <c r="CA40" s="28"/>
      <c r="CB40" s="28"/>
      <c r="CC40" s="28"/>
      <c r="CD40" s="28"/>
      <c r="CE40" s="28"/>
      <c r="CF40" s="28"/>
      <c r="CG40" s="28"/>
      <c r="CH40" s="28"/>
      <c r="CI40" s="28"/>
      <c r="CJ40" s="28"/>
      <c r="CK40" s="28"/>
      <c r="CL40" s="28"/>
      <c r="CM40" s="10">
        <v>46052</v>
      </c>
      <c r="CN40" s="10">
        <f>IF(BK40="",WORKDAY(BJ40,CN39),WORKDAY(BK40,CN39))</f>
        <v>45819</v>
      </c>
      <c r="CO40" s="56">
        <v>46297</v>
      </c>
      <c r="CP40" s="10">
        <v>46059</v>
      </c>
      <c r="CQ40" s="10">
        <f>IF(CO40="",WORKDAY(CN40,CQ39),WORKDAY(CO40,CQ39))</f>
        <v>46304</v>
      </c>
      <c r="CR40" s="56">
        <v>46297</v>
      </c>
      <c r="CS40" s="77" t="s">
        <v>479</v>
      </c>
      <c r="CT40" s="10">
        <v>46465</v>
      </c>
      <c r="CU40" s="10">
        <f>IF(CR40="",WORKDAY(CQ40,CU39),WORKDAY(CR40,CU39))</f>
        <v>46465</v>
      </c>
      <c r="CV40" s="56">
        <v>46100</v>
      </c>
      <c r="CW40" s="10">
        <v>46042</v>
      </c>
      <c r="CX40" s="10">
        <f>IF(BB40="",WORKDAY(BA40,CX39),WORKDAY(BB40,CX39))</f>
        <v>46042</v>
      </c>
      <c r="CY40" s="56"/>
      <c r="CZ40" s="10">
        <v>46042</v>
      </c>
      <c r="DA40" s="10">
        <f>IF(CY40="",WORKDAY(CX40,DA39),WORKDAY(CY40,DA39))</f>
        <v>46042</v>
      </c>
      <c r="DB40" s="56">
        <v>46042</v>
      </c>
      <c r="DC40" s="45"/>
      <c r="DD40" s="45"/>
      <c r="DE40" s="45"/>
      <c r="DF40" s="10">
        <v>46493</v>
      </c>
      <c r="DG40" s="10">
        <f>IF($CV40="",IF($CU40&gt;$DA40,WORKDAY($CU40,DG39),WORKDAY($DA40,DG39)),IF($CV40&gt;$DB40,WORKDAY($CV40,DG39),WORKDAY($DB40,DG39)))</f>
        <v>46128</v>
      </c>
      <c r="DH40" s="56"/>
      <c r="DI40" s="46"/>
      <c r="DJ40" s="10">
        <v>46521</v>
      </c>
      <c r="DK40" s="10">
        <f>IF(DH40="",WORKDAY(DG40,DK39*$DI39),WORKDAY(DH40,DK39*$DI39))</f>
        <v>46156</v>
      </c>
      <c r="DL40" s="56"/>
      <c r="DM40" s="46"/>
      <c r="DN40" s="46"/>
      <c r="DO40" s="46"/>
      <c r="DP40" s="46"/>
      <c r="DQ40" s="46"/>
      <c r="DR40" s="46"/>
      <c r="DS40" s="46"/>
      <c r="DT40" s="46"/>
      <c r="DU40" s="46"/>
      <c r="DV40" s="46"/>
      <c r="DW40" s="46"/>
      <c r="DX40" s="46"/>
      <c r="DY40" s="46"/>
      <c r="DZ40" s="46"/>
      <c r="EA40" s="46"/>
      <c r="EB40" s="46"/>
      <c r="EC40" s="46"/>
      <c r="ED40" s="46"/>
      <c r="EE40" s="10">
        <v>46521</v>
      </c>
      <c r="EF40" s="10">
        <f>IF(DL40="",WORKDAY(DK40,EF39),WORKDAY(DL40,EF39))</f>
        <v>46156</v>
      </c>
      <c r="EG40" s="56"/>
      <c r="EH40" s="10">
        <v>46449</v>
      </c>
      <c r="EI40" s="10">
        <v>46449</v>
      </c>
      <c r="EJ40" s="56"/>
      <c r="EK40" s="27"/>
      <c r="EL40" s="27"/>
      <c r="EM40" s="27"/>
      <c r="EN40" s="27"/>
      <c r="EO40" s="28"/>
      <c r="EP40" s="28"/>
      <c r="EQ40" s="28"/>
      <c r="ER40" s="28"/>
      <c r="ES40" s="28"/>
      <c r="ET40" s="28"/>
      <c r="EU40" s="28"/>
      <c r="EV40" s="28"/>
      <c r="EW40" s="28"/>
      <c r="EX40" s="28"/>
      <c r="EY40" s="28"/>
      <c r="EZ40" s="10">
        <v>46528</v>
      </c>
      <c r="FA40" s="10">
        <f>IF(EG40="",WORKDAY(EF40,FA39),WORKDAY(EG40,FA39))</f>
        <v>46163</v>
      </c>
      <c r="FB40" s="56"/>
      <c r="FC40" s="28"/>
      <c r="FD40" s="28"/>
      <c r="FE40" s="28"/>
      <c r="FF40" s="28"/>
      <c r="FG40" s="28"/>
      <c r="FH40" s="28"/>
      <c r="FI40" s="10">
        <v>46549</v>
      </c>
      <c r="FJ40" s="10">
        <f>IF(FB40="",WORKDAY(FA40,FJ39),WORKDAY(FB40,FJ39))</f>
        <v>46184</v>
      </c>
      <c r="FK40" s="56"/>
      <c r="FL40" s="10">
        <v>46549</v>
      </c>
      <c r="FM40" s="10">
        <f>IF(FK40="",WORKDAY(FJ40,FM39),WORKDAY(FK40,FM39))</f>
        <v>46184</v>
      </c>
      <c r="FN40" s="56"/>
      <c r="FO40" s="10">
        <v>46605</v>
      </c>
      <c r="FP40" s="10">
        <f>WORKDAY(FM40,FP39)</f>
        <v>46240</v>
      </c>
      <c r="FQ40" s="56"/>
      <c r="FR40" s="77" t="str">
        <f>IF(NETWORKDAYS(FJ40,FO40)&gt;=30,"On-Track",IF(AND(NETWORKDAYS(FJ40,FO40)&lt;30,FJ40&lt;=FO40),"At Risk","Missed TCD"))</f>
        <v>On-Track</v>
      </c>
      <c r="FS40" s="110" t="s">
        <v>480</v>
      </c>
      <c r="FT40" s="57">
        <f>NETWORKDAYS(CP40,FI40)</f>
        <v>351</v>
      </c>
      <c r="FU40" s="57">
        <f>NETWORKDAYS(CQ40,FJ40)</f>
        <v>-87</v>
      </c>
      <c r="FV40" s="57">
        <f>IF(BH40="",NETWORKDAYS(BG40,FJ40),IF(FK40="",NETWORKDAYS(BH40,FJ40),NETWORKDAYS(BH40,FK40)))</f>
        <v>103</v>
      </c>
      <c r="FW40" s="58" t="s">
        <v>467</v>
      </c>
    </row>
    <row r="41" spans="1:179" outlineLevel="1" x14ac:dyDescent="0.25">
      <c r="A41" s="23" t="s">
        <v>478</v>
      </c>
      <c r="B41" s="23">
        <v>132490</v>
      </c>
      <c r="C41" s="24" t="str">
        <f>VLOOKUP(B41,'[1]PM View-Mastersheet'!$A:$B,2,0)</f>
        <v>3060735-6</v>
      </c>
      <c r="D41" s="95"/>
      <c r="E41" s="24"/>
      <c r="F41" s="25" t="s">
        <v>463</v>
      </c>
      <c r="G41" s="26"/>
      <c r="H41" s="26"/>
      <c r="I41" s="27"/>
      <c r="J41" s="27"/>
      <c r="K41" s="27"/>
      <c r="L41" s="27"/>
      <c r="M41" s="4">
        <v>27</v>
      </c>
      <c r="N41" s="4">
        <v>27</v>
      </c>
      <c r="O41" s="27"/>
      <c r="P41" s="4">
        <v>0</v>
      </c>
      <c r="Q41" s="4">
        <v>0</v>
      </c>
      <c r="R41" s="27"/>
      <c r="S41" s="27"/>
      <c r="T41" s="27"/>
      <c r="U41" s="27"/>
      <c r="V41" s="4">
        <v>30</v>
      </c>
      <c r="W41" s="4">
        <v>30</v>
      </c>
      <c r="X41" s="27"/>
      <c r="Y41" s="4">
        <v>70</v>
      </c>
      <c r="Z41" s="4">
        <v>70</v>
      </c>
      <c r="AA41" s="27"/>
      <c r="AB41" s="4">
        <v>0</v>
      </c>
      <c r="AC41" s="4">
        <v>0</v>
      </c>
      <c r="AD41" s="27"/>
      <c r="AE41" s="4">
        <v>75</v>
      </c>
      <c r="AF41" s="4">
        <v>75</v>
      </c>
      <c r="AG41" s="27"/>
      <c r="AH41" s="4">
        <v>5</v>
      </c>
      <c r="AI41" s="4">
        <v>5</v>
      </c>
      <c r="AJ41" s="27"/>
      <c r="AK41" s="4">
        <v>20</v>
      </c>
      <c r="AL41" s="4">
        <v>20</v>
      </c>
      <c r="AM41" s="27"/>
      <c r="AN41" s="4">
        <v>0</v>
      </c>
      <c r="AO41" s="4">
        <v>0</v>
      </c>
      <c r="AP41" s="27"/>
      <c r="AQ41" s="4">
        <v>20</v>
      </c>
      <c r="AR41" s="4">
        <v>20</v>
      </c>
      <c r="AS41" s="27"/>
      <c r="AT41" s="4">
        <v>5</v>
      </c>
      <c r="AU41" s="4">
        <v>45993</v>
      </c>
      <c r="AV41" s="27">
        <v>45993</v>
      </c>
      <c r="AW41" s="4">
        <v>10</v>
      </c>
      <c r="AX41" s="4">
        <v>10</v>
      </c>
      <c r="AY41" s="27">
        <v>46028</v>
      </c>
      <c r="AZ41" s="4">
        <v>30</v>
      </c>
      <c r="BA41" s="4">
        <v>30</v>
      </c>
      <c r="BB41" s="27">
        <v>46028</v>
      </c>
      <c r="BC41" s="4">
        <v>5</v>
      </c>
      <c r="BD41" s="4">
        <v>5</v>
      </c>
      <c r="BE41" s="27">
        <v>46035</v>
      </c>
      <c r="BF41" s="4">
        <v>5</v>
      </c>
      <c r="BG41" s="4">
        <v>5</v>
      </c>
      <c r="BH41" s="27">
        <v>46042</v>
      </c>
      <c r="BI41" s="4">
        <v>5</v>
      </c>
      <c r="BJ41" s="4">
        <v>5</v>
      </c>
      <c r="BK41" s="27"/>
      <c r="BL41" s="27"/>
      <c r="BM41" s="27"/>
      <c r="BN41" s="27"/>
      <c r="BO41" s="27"/>
      <c r="BP41" s="27"/>
      <c r="BQ41" s="27"/>
      <c r="BR41" s="27"/>
      <c r="BS41" s="27"/>
      <c r="BT41" s="27"/>
      <c r="BU41" s="27"/>
      <c r="BV41" s="27"/>
      <c r="BW41" s="27"/>
      <c r="BX41" s="27"/>
      <c r="BY41" s="27"/>
      <c r="BZ41" s="27"/>
      <c r="CA41" s="27"/>
      <c r="CB41" s="27"/>
      <c r="CC41" s="27"/>
      <c r="CD41" s="27"/>
      <c r="CE41" s="27"/>
      <c r="CF41" s="27"/>
      <c r="CG41" s="27"/>
      <c r="CH41" s="27"/>
      <c r="CI41" s="27"/>
      <c r="CJ41" s="27"/>
      <c r="CK41" s="27"/>
      <c r="CL41" s="27"/>
      <c r="CM41" s="4">
        <v>3</v>
      </c>
      <c r="CN41" s="4">
        <v>3</v>
      </c>
      <c r="CO41" s="27"/>
      <c r="CP41" s="4">
        <v>5</v>
      </c>
      <c r="CQ41" s="4">
        <v>5</v>
      </c>
      <c r="CR41" s="27"/>
      <c r="CS41" s="27"/>
      <c r="CT41" s="5">
        <v>120</v>
      </c>
      <c r="CU41" s="5">
        <v>120</v>
      </c>
      <c r="CV41" s="27">
        <v>46465</v>
      </c>
      <c r="CW41" s="5">
        <v>10</v>
      </c>
      <c r="CX41" s="5">
        <v>10</v>
      </c>
      <c r="CY41" s="27"/>
      <c r="CZ41" s="5">
        <v>0</v>
      </c>
      <c r="DA41" s="5">
        <v>0</v>
      </c>
      <c r="DB41" s="27">
        <v>46042</v>
      </c>
      <c r="DC41" s="31"/>
      <c r="DD41" s="31"/>
      <c r="DE41" s="31"/>
      <c r="DF41" s="4">
        <v>20</v>
      </c>
      <c r="DG41" s="4">
        <v>20</v>
      </c>
      <c r="DH41" s="27">
        <v>46493</v>
      </c>
      <c r="DI41" s="89">
        <v>1</v>
      </c>
      <c r="DJ41" s="4">
        <v>20</v>
      </c>
      <c r="DK41" s="4">
        <v>20</v>
      </c>
      <c r="DL41" s="27">
        <v>46521</v>
      </c>
      <c r="DM41" s="27"/>
      <c r="DN41" s="27"/>
      <c r="DO41" s="27"/>
      <c r="DP41" s="27"/>
      <c r="DQ41" s="27"/>
      <c r="DR41" s="27"/>
      <c r="DS41" s="27"/>
      <c r="DT41" s="27"/>
      <c r="DU41" s="27"/>
      <c r="DV41" s="27"/>
      <c r="DW41" s="27"/>
      <c r="DX41" s="27"/>
      <c r="DY41" s="27"/>
      <c r="DZ41" s="27"/>
      <c r="EA41" s="27"/>
      <c r="EB41" s="27"/>
      <c r="EC41" s="27"/>
      <c r="ED41" s="27"/>
      <c r="EE41" s="4">
        <v>0</v>
      </c>
      <c r="EF41" s="4">
        <v>0</v>
      </c>
      <c r="EG41" s="27">
        <v>46521</v>
      </c>
      <c r="EH41" s="4">
        <v>30</v>
      </c>
      <c r="EI41" s="4">
        <v>30</v>
      </c>
      <c r="EJ41" s="27">
        <v>46084</v>
      </c>
      <c r="EK41" s="27"/>
      <c r="EL41" s="27"/>
      <c r="EM41" s="27"/>
      <c r="EN41" s="27"/>
      <c r="EO41" s="27"/>
      <c r="EP41" s="27"/>
      <c r="EQ41" s="27"/>
      <c r="ER41" s="27"/>
      <c r="ES41" s="27"/>
      <c r="ET41" s="27"/>
      <c r="EU41" s="27"/>
      <c r="EV41" s="27"/>
      <c r="EW41" s="27"/>
      <c r="EX41" s="27"/>
      <c r="EY41" s="27"/>
      <c r="EZ41" s="4">
        <v>5</v>
      </c>
      <c r="FA41" s="4">
        <v>5</v>
      </c>
      <c r="FB41" s="27">
        <v>46528</v>
      </c>
      <c r="FC41" s="27"/>
      <c r="FD41" s="27"/>
      <c r="FE41" s="27"/>
      <c r="FF41" s="27"/>
      <c r="FG41" s="27"/>
      <c r="FH41" s="27"/>
      <c r="FI41" s="4">
        <v>15</v>
      </c>
      <c r="FJ41" s="4">
        <v>15</v>
      </c>
      <c r="FK41" s="27">
        <v>46549</v>
      </c>
      <c r="FL41" s="4">
        <v>0</v>
      </c>
      <c r="FM41" s="4">
        <v>0</v>
      </c>
      <c r="FN41" s="27">
        <v>46549</v>
      </c>
      <c r="FO41" s="4">
        <v>40</v>
      </c>
      <c r="FP41" s="4">
        <v>40</v>
      </c>
      <c r="FQ41" s="27">
        <v>46605</v>
      </c>
      <c r="FR41" s="27"/>
      <c r="FS41" s="109"/>
      <c r="FT41" s="54">
        <f>NETWORKDAYS($I42,FO42)</f>
        <v>566</v>
      </c>
      <c r="FU41" s="54">
        <f>NETWORKDAYS($I42,FP42)</f>
        <v>305</v>
      </c>
      <c r="FV41" s="54">
        <f>IF(FQ42="",NETWORKDAYS($I42,FP42),NETWORKDAYS($I42,FQ42))</f>
        <v>305</v>
      </c>
      <c r="FW41" s="55" t="s">
        <v>464</v>
      </c>
    </row>
    <row r="42" spans="1:179" x14ac:dyDescent="0.25">
      <c r="A42" s="23" t="s">
        <v>478</v>
      </c>
      <c r="B42" s="23">
        <v>132490</v>
      </c>
      <c r="C42" s="24" t="str">
        <f>VLOOKUP(B42,'[1]PM View-Mastersheet'!$A:$B,2,0)</f>
        <v>3060735-6</v>
      </c>
      <c r="D42" s="65"/>
      <c r="E42" s="23" t="str">
        <f>IF(D42="","Unknown",IF(D42&lt;=FM42+90,"Red",IF(AND(D42&gt;FM42+90,D42&lt;=FM42+180),"Yellow",IF(AND(D42&gt;FM42+180,D42&lt;=FM42+690),"Green","Covered"))))</f>
        <v>Unknown</v>
      </c>
      <c r="F42" s="25" t="s">
        <v>466</v>
      </c>
      <c r="G42" s="26"/>
      <c r="H42" s="26" t="str">
        <f>IF(CR42="","Pre-Execution","Execution")</f>
        <v>Execution</v>
      </c>
      <c r="I42" s="46">
        <v>45814</v>
      </c>
      <c r="J42" s="28"/>
      <c r="K42" s="28"/>
      <c r="L42" s="28"/>
      <c r="M42" s="10">
        <v>45853</v>
      </c>
      <c r="N42" s="10">
        <f>WORKDAY(I42,N41)</f>
        <v>45853</v>
      </c>
      <c r="O42" s="56">
        <v>45973</v>
      </c>
      <c r="P42" s="10">
        <v>45853</v>
      </c>
      <c r="Q42" s="10">
        <f>IF(O42="",WORKDAY(N42,Q41),WORKDAY(O42,Q41))</f>
        <v>45973</v>
      </c>
      <c r="R42" s="56">
        <v>45973</v>
      </c>
      <c r="S42" s="28"/>
      <c r="T42" s="28"/>
      <c r="U42" s="28"/>
      <c r="V42" s="10">
        <v>45895</v>
      </c>
      <c r="W42" s="10">
        <f>IF(R42="",WORKDAY(Q42,W41),WORKDAY(R42,W41))</f>
        <v>46015</v>
      </c>
      <c r="X42" s="56">
        <f>V42</f>
        <v>45895</v>
      </c>
      <c r="Y42" s="10">
        <v>45951</v>
      </c>
      <c r="Z42" s="10">
        <f>IF(R42="",WORKDAY(Q42,Z41),WORKDAY(R42,Z41))</f>
        <v>46071</v>
      </c>
      <c r="AA42" s="56"/>
      <c r="AB42" s="10">
        <v>45814</v>
      </c>
      <c r="AC42" s="10">
        <f>WORKDAY(I42,AC41)</f>
        <v>45814</v>
      </c>
      <c r="AD42" s="56"/>
      <c r="AE42" s="10">
        <v>45919</v>
      </c>
      <c r="AF42" s="10">
        <f>IF(AD42="",WORKDAY(AC42,AF41),WORKDAY(AD42,AF41))</f>
        <v>45919</v>
      </c>
      <c r="AG42" s="56">
        <v>45940</v>
      </c>
      <c r="AH42" s="10">
        <v>45958</v>
      </c>
      <c r="AI42" s="10">
        <f>WORKDAY(IF(AA42="",IF(Z42&gt;AF42,Z42,AF42),IF(AA42&gt;AG42,AA42,AG42)),AI41)</f>
        <v>46078</v>
      </c>
      <c r="AJ42" s="10">
        <f>WORKDAY(IF(AA42&gt;AG42,AA42,AG42),AJ41)</f>
        <v>45940</v>
      </c>
      <c r="AK42" s="10">
        <v>45986</v>
      </c>
      <c r="AL42" s="10">
        <f>IF(AJ42="",WORKDAY(AI42,AL41),WORKDAY(AJ42,AL41))</f>
        <v>45968</v>
      </c>
      <c r="AM42" s="10">
        <f>IF(AK42="",WORKDAY(AJ42,AM41),WORKDAY(AK42,AM41))</f>
        <v>45986</v>
      </c>
      <c r="AN42" s="10">
        <v>45986</v>
      </c>
      <c r="AO42" s="10">
        <v>45986</v>
      </c>
      <c r="AP42" s="10">
        <v>45986</v>
      </c>
      <c r="AQ42" s="10">
        <v>46014</v>
      </c>
      <c r="AR42" s="10">
        <v>46014</v>
      </c>
      <c r="AS42" s="56">
        <v>45940</v>
      </c>
      <c r="AT42" s="10">
        <v>45993</v>
      </c>
      <c r="AU42" s="10">
        <v>45993</v>
      </c>
      <c r="AV42" s="10">
        <v>45993</v>
      </c>
      <c r="AW42" s="10">
        <v>46028</v>
      </c>
      <c r="AX42" s="10">
        <f>IF(AS42="",IF(AR42&gt;AU42,WORKDAY(AR42,AX41),WORKDAY(AU42,AX41)),IF(AS42&gt;AV42,WORKDAY(AS42,AX41),WORKDAY(AV42,AX41)))</f>
        <v>46007</v>
      </c>
      <c r="AY42" s="10">
        <v>46028</v>
      </c>
      <c r="AZ42" s="10">
        <v>46028</v>
      </c>
      <c r="BA42" s="10">
        <f>IF(AP42="",WORKDAY(AO42,BA41),WORKDAY(AP42,BA41))</f>
        <v>46028</v>
      </c>
      <c r="BB42" s="56">
        <v>46028</v>
      </c>
      <c r="BC42" s="10">
        <v>46035</v>
      </c>
      <c r="BD42" s="10">
        <f>IF(AY42="",IF(AX42&gt;BA42,WORKDAY(AX42,BD41),WORKDAY(BA42,BD41)),IF(AY42&gt;BB42,WORKDAY(AY42,BD41),WORKDAY(BB42,BD41)))</f>
        <v>46035</v>
      </c>
      <c r="BE42" s="56">
        <v>46035</v>
      </c>
      <c r="BF42" s="10">
        <v>46042</v>
      </c>
      <c r="BG42" s="10">
        <f>IF(BE42="",WORKDAY(BD42,BG41),WORKDAY(BE42,BG41))</f>
        <v>46042</v>
      </c>
      <c r="BH42" s="56">
        <v>46042</v>
      </c>
      <c r="BI42" s="10">
        <v>46049</v>
      </c>
      <c r="BJ42" s="10">
        <f>IF(BH42="",WORKDAY(BG42,BJ41),WORKDAY(BH42,BJ41))</f>
        <v>46049</v>
      </c>
      <c r="BK42" s="56">
        <v>45814</v>
      </c>
      <c r="BL42" s="28"/>
      <c r="BM42" s="28"/>
      <c r="BN42" s="28"/>
      <c r="BO42" s="28"/>
      <c r="BP42" s="28"/>
      <c r="BQ42" s="28"/>
      <c r="BR42" s="28"/>
      <c r="BS42" s="28"/>
      <c r="BT42" s="28"/>
      <c r="BU42" s="28"/>
      <c r="BV42" s="28"/>
      <c r="BW42" s="28"/>
      <c r="BX42" s="46"/>
      <c r="BY42" s="28"/>
      <c r="BZ42" s="28"/>
      <c r="CA42" s="28"/>
      <c r="CB42" s="28"/>
      <c r="CC42" s="28"/>
      <c r="CD42" s="28"/>
      <c r="CE42" s="28"/>
      <c r="CF42" s="28"/>
      <c r="CG42" s="28"/>
      <c r="CH42" s="28"/>
      <c r="CI42" s="28"/>
      <c r="CJ42" s="28"/>
      <c r="CK42" s="28"/>
      <c r="CL42" s="28"/>
      <c r="CM42" s="10">
        <v>46052</v>
      </c>
      <c r="CN42" s="10">
        <f>IF(BK42="",WORKDAY(BJ42,CN41),WORKDAY(BK42,CN41))</f>
        <v>45819</v>
      </c>
      <c r="CO42" s="56">
        <v>46297</v>
      </c>
      <c r="CP42" s="10">
        <v>46059</v>
      </c>
      <c r="CQ42" s="10">
        <f>IF(CO42="",WORKDAY(CN42,CQ41),WORKDAY(CO42,CQ41))</f>
        <v>46304</v>
      </c>
      <c r="CR42" s="56">
        <v>46297</v>
      </c>
      <c r="CS42" s="77" t="s">
        <v>479</v>
      </c>
      <c r="CT42" s="10">
        <v>46465</v>
      </c>
      <c r="CU42" s="10">
        <f>IF(CR42="",WORKDAY(CQ42,CU41),WORKDAY(CR42,CU41))</f>
        <v>46465</v>
      </c>
      <c r="CV42" s="56">
        <v>46100</v>
      </c>
      <c r="CW42" s="10">
        <v>46042</v>
      </c>
      <c r="CX42" s="10">
        <f>IF(BB42="",WORKDAY(BA42,CX41),WORKDAY(BB42,CX41))</f>
        <v>46042</v>
      </c>
      <c r="CY42" s="56"/>
      <c r="CZ42" s="10">
        <v>46042</v>
      </c>
      <c r="DA42" s="10">
        <f>IF(CY42="",WORKDAY(CX42,DA41),WORKDAY(CY42,DA41))</f>
        <v>46042</v>
      </c>
      <c r="DB42" s="56">
        <v>46042</v>
      </c>
      <c r="DC42" s="45"/>
      <c r="DD42" s="45"/>
      <c r="DE42" s="45"/>
      <c r="DF42" s="10">
        <v>46493</v>
      </c>
      <c r="DG42" s="10">
        <f>IF($CV42="",IF($CU42&gt;$DA42,WORKDAY($CU42,DG41),WORKDAY($DA42,DG41)),IF($CV42&gt;$DB42,WORKDAY($CV42,DG41),WORKDAY($DB42,DG41)))</f>
        <v>46128</v>
      </c>
      <c r="DH42" s="56"/>
      <c r="DI42" s="46"/>
      <c r="DJ42" s="10">
        <v>46521</v>
      </c>
      <c r="DK42" s="10">
        <f>IF(DH42="",WORKDAY(DG42,DK41*$DI41),WORKDAY(DH42,DK41*$DI41))</f>
        <v>46156</v>
      </c>
      <c r="DL42" s="56"/>
      <c r="DM42" s="46"/>
      <c r="DN42" s="46"/>
      <c r="DO42" s="46"/>
      <c r="DP42" s="46"/>
      <c r="DQ42" s="46"/>
      <c r="DR42" s="46"/>
      <c r="DS42" s="46"/>
      <c r="DT42" s="46"/>
      <c r="DU42" s="46"/>
      <c r="DV42" s="46"/>
      <c r="DW42" s="46"/>
      <c r="DX42" s="46"/>
      <c r="DY42" s="46"/>
      <c r="DZ42" s="46"/>
      <c r="EA42" s="46"/>
      <c r="EB42" s="46"/>
      <c r="EC42" s="46"/>
      <c r="ED42" s="46"/>
      <c r="EE42" s="10">
        <v>46521</v>
      </c>
      <c r="EF42" s="10">
        <f>IF(DL42="",WORKDAY(DK42,EF41),WORKDAY(DL42,EF41))</f>
        <v>46156</v>
      </c>
      <c r="EG42" s="56"/>
      <c r="EH42" s="10">
        <v>46449</v>
      </c>
      <c r="EI42" s="10">
        <v>46449</v>
      </c>
      <c r="EJ42" s="56"/>
      <c r="EK42" s="27"/>
      <c r="EL42" s="27"/>
      <c r="EM42" s="27"/>
      <c r="EN42" s="27"/>
      <c r="EO42" s="28"/>
      <c r="EP42" s="28"/>
      <c r="EQ42" s="28"/>
      <c r="ER42" s="28"/>
      <c r="ES42" s="28"/>
      <c r="ET42" s="28"/>
      <c r="EU42" s="28"/>
      <c r="EV42" s="28"/>
      <c r="EW42" s="28"/>
      <c r="EX42" s="28"/>
      <c r="EY42" s="28"/>
      <c r="EZ42" s="10">
        <v>46528</v>
      </c>
      <c r="FA42" s="10">
        <f>IF(EG42="",WORKDAY(EF42,FA41),WORKDAY(EG42,FA41))</f>
        <v>46163</v>
      </c>
      <c r="FB42" s="56"/>
      <c r="FC42" s="28"/>
      <c r="FD42" s="28"/>
      <c r="FE42" s="28"/>
      <c r="FF42" s="28"/>
      <c r="FG42" s="28"/>
      <c r="FH42" s="28"/>
      <c r="FI42" s="10">
        <v>46549</v>
      </c>
      <c r="FJ42" s="10">
        <f>IF(FB42="",WORKDAY(FA42,FJ41),WORKDAY(FB42,FJ41))</f>
        <v>46184</v>
      </c>
      <c r="FK42" s="56"/>
      <c r="FL42" s="10">
        <v>46549</v>
      </c>
      <c r="FM42" s="10">
        <f>IF(FK42="",WORKDAY(FJ42,FM41),WORKDAY(FK42,FM41))</f>
        <v>46184</v>
      </c>
      <c r="FN42" s="56"/>
      <c r="FO42" s="10">
        <v>46605</v>
      </c>
      <c r="FP42" s="10">
        <f>WORKDAY(FM42,FP41)</f>
        <v>46240</v>
      </c>
      <c r="FQ42" s="56"/>
      <c r="FR42" s="77" t="str">
        <f>IF(NETWORKDAYS(FJ42,FO42)&gt;=30,"On-Track",IF(AND(NETWORKDAYS(FJ42,FO42)&lt;30,FJ42&lt;=FO42),"At Risk","Missed TCD"))</f>
        <v>On-Track</v>
      </c>
      <c r="FS42" s="110" t="s">
        <v>480</v>
      </c>
      <c r="FT42" s="57">
        <f>NETWORKDAYS(CP42,FI42)</f>
        <v>351</v>
      </c>
      <c r="FU42" s="57">
        <f>NETWORKDAYS(CQ42,FJ42)</f>
        <v>-87</v>
      </c>
      <c r="FV42" s="57">
        <f>IF(BH42="",NETWORKDAYS(BG42,FJ42),IF(FK42="",NETWORKDAYS(BH42,FJ42),NETWORKDAYS(BH42,FK42)))</f>
        <v>103</v>
      </c>
      <c r="FW42" s="58" t="s">
        <v>467</v>
      </c>
    </row>
    <row r="43" spans="1:179" outlineLevel="1" x14ac:dyDescent="0.25">
      <c r="A43" s="23" t="s">
        <v>478</v>
      </c>
      <c r="B43" s="23">
        <v>132492</v>
      </c>
      <c r="C43" s="24" t="str">
        <f>VLOOKUP(B43,'[1]PM View-Mastersheet'!$A:$B,2,0)</f>
        <v>3074135-3</v>
      </c>
      <c r="D43" s="95"/>
      <c r="E43" s="24"/>
      <c r="F43" s="25" t="s">
        <v>463</v>
      </c>
      <c r="G43" s="26"/>
      <c r="H43" s="26"/>
      <c r="I43" s="27"/>
      <c r="J43" s="27"/>
      <c r="K43" s="27"/>
      <c r="L43" s="27"/>
      <c r="M43" s="4">
        <v>27</v>
      </c>
      <c r="N43" s="4">
        <v>27</v>
      </c>
      <c r="O43" s="27"/>
      <c r="P43" s="4">
        <v>0</v>
      </c>
      <c r="Q43" s="4">
        <v>0</v>
      </c>
      <c r="R43" s="27"/>
      <c r="S43" s="27"/>
      <c r="T43" s="27"/>
      <c r="U43" s="27"/>
      <c r="V43" s="4">
        <v>30</v>
      </c>
      <c r="W43" s="4">
        <v>30</v>
      </c>
      <c r="X43" s="27"/>
      <c r="Y43" s="4">
        <v>70</v>
      </c>
      <c r="Z43" s="4">
        <v>70</v>
      </c>
      <c r="AA43" s="27"/>
      <c r="AB43" s="4">
        <v>0</v>
      </c>
      <c r="AC43" s="4">
        <v>0</v>
      </c>
      <c r="AD43" s="27"/>
      <c r="AE43" s="4">
        <v>75</v>
      </c>
      <c r="AF43" s="4">
        <v>75</v>
      </c>
      <c r="AG43" s="27"/>
      <c r="AH43" s="4">
        <v>0</v>
      </c>
      <c r="AI43" s="4">
        <v>0</v>
      </c>
      <c r="AJ43" s="27"/>
      <c r="AK43" s="4">
        <v>20</v>
      </c>
      <c r="AL43" s="4">
        <v>20</v>
      </c>
      <c r="AM43" s="27"/>
      <c r="AN43" s="4">
        <v>0</v>
      </c>
      <c r="AO43" s="4">
        <v>0</v>
      </c>
      <c r="AP43" s="27"/>
      <c r="AQ43" s="4">
        <v>20</v>
      </c>
      <c r="AR43" s="4">
        <v>20</v>
      </c>
      <c r="AS43" s="27"/>
      <c r="AT43" s="4">
        <v>5</v>
      </c>
      <c r="AU43" s="4">
        <v>45993</v>
      </c>
      <c r="AV43" s="27">
        <v>45993</v>
      </c>
      <c r="AW43" s="4">
        <v>10</v>
      </c>
      <c r="AX43" s="4">
        <v>10</v>
      </c>
      <c r="AY43" s="27">
        <v>46028</v>
      </c>
      <c r="AZ43" s="4">
        <v>30</v>
      </c>
      <c r="BA43" s="4">
        <v>30</v>
      </c>
      <c r="BB43" s="27">
        <v>46028</v>
      </c>
      <c r="BC43" s="4">
        <v>5</v>
      </c>
      <c r="BD43" s="4">
        <v>5</v>
      </c>
      <c r="BE43" s="27">
        <v>46035</v>
      </c>
      <c r="BF43" s="4">
        <v>5</v>
      </c>
      <c r="BG43" s="4">
        <v>5</v>
      </c>
      <c r="BH43" s="27">
        <v>46042</v>
      </c>
      <c r="BI43" s="4">
        <v>5</v>
      </c>
      <c r="BJ43" s="4">
        <v>5</v>
      </c>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4">
        <v>3</v>
      </c>
      <c r="CN43" s="4">
        <v>3</v>
      </c>
      <c r="CO43" s="27"/>
      <c r="CP43" s="4">
        <v>5</v>
      </c>
      <c r="CQ43" s="4">
        <v>5</v>
      </c>
      <c r="CR43" s="27"/>
      <c r="CS43" s="27"/>
      <c r="CT43" s="5">
        <v>120</v>
      </c>
      <c r="CU43" s="5">
        <v>120</v>
      </c>
      <c r="CV43" s="27">
        <v>46465</v>
      </c>
      <c r="CW43" s="5">
        <v>10</v>
      </c>
      <c r="CX43" s="5">
        <v>10</v>
      </c>
      <c r="CY43" s="27"/>
      <c r="CZ43" s="5">
        <v>0</v>
      </c>
      <c r="DA43" s="5">
        <v>0</v>
      </c>
      <c r="DB43" s="27">
        <v>46042</v>
      </c>
      <c r="DC43" s="31"/>
      <c r="DD43" s="31"/>
      <c r="DE43" s="31"/>
      <c r="DF43" s="4">
        <v>20</v>
      </c>
      <c r="DG43" s="4">
        <v>20</v>
      </c>
      <c r="DH43" s="27">
        <v>46493</v>
      </c>
      <c r="DI43" s="89">
        <v>1</v>
      </c>
      <c r="DJ43" s="4">
        <v>20</v>
      </c>
      <c r="DK43" s="4">
        <v>20</v>
      </c>
      <c r="DL43" s="27">
        <v>46521</v>
      </c>
      <c r="DM43" s="27"/>
      <c r="DN43" s="27"/>
      <c r="DO43" s="27"/>
      <c r="DP43" s="27"/>
      <c r="DQ43" s="27"/>
      <c r="DR43" s="27"/>
      <c r="DS43" s="27"/>
      <c r="DT43" s="27"/>
      <c r="DU43" s="27"/>
      <c r="DV43" s="27"/>
      <c r="DW43" s="27"/>
      <c r="DX43" s="27"/>
      <c r="DY43" s="27"/>
      <c r="DZ43" s="27"/>
      <c r="EA43" s="27"/>
      <c r="EB43" s="27"/>
      <c r="EC43" s="27"/>
      <c r="ED43" s="27"/>
      <c r="EE43" s="4">
        <v>0</v>
      </c>
      <c r="EF43" s="4">
        <v>0</v>
      </c>
      <c r="EG43" s="27">
        <v>46521</v>
      </c>
      <c r="EH43" s="4">
        <v>30</v>
      </c>
      <c r="EI43" s="4">
        <v>30</v>
      </c>
      <c r="EJ43" s="27">
        <v>46084</v>
      </c>
      <c r="EK43" s="27"/>
      <c r="EL43" s="27"/>
      <c r="EM43" s="27"/>
      <c r="EN43" s="27"/>
      <c r="EO43" s="27"/>
      <c r="EP43" s="27"/>
      <c r="EQ43" s="27"/>
      <c r="ER43" s="27"/>
      <c r="ES43" s="27"/>
      <c r="ET43" s="27"/>
      <c r="EU43" s="27"/>
      <c r="EV43" s="27"/>
      <c r="EW43" s="27"/>
      <c r="EX43" s="27"/>
      <c r="EY43" s="27"/>
      <c r="EZ43" s="4">
        <v>5</v>
      </c>
      <c r="FA43" s="4">
        <v>5</v>
      </c>
      <c r="FB43" s="27">
        <v>46528</v>
      </c>
      <c r="FC43" s="27"/>
      <c r="FD43" s="27"/>
      <c r="FE43" s="27"/>
      <c r="FF43" s="27"/>
      <c r="FG43" s="27"/>
      <c r="FH43" s="27"/>
      <c r="FI43" s="4">
        <v>15</v>
      </c>
      <c r="FJ43" s="4">
        <v>15</v>
      </c>
      <c r="FK43" s="27">
        <v>46549</v>
      </c>
      <c r="FL43" s="4">
        <v>0</v>
      </c>
      <c r="FM43" s="4">
        <v>0</v>
      </c>
      <c r="FN43" s="27">
        <v>46549</v>
      </c>
      <c r="FO43" s="4">
        <v>40</v>
      </c>
      <c r="FP43" s="4">
        <v>40</v>
      </c>
      <c r="FQ43" s="27">
        <v>46605</v>
      </c>
      <c r="FR43" s="27"/>
      <c r="FS43" s="109"/>
      <c r="FT43" s="54">
        <f>NETWORKDAYS($I44,FO44)</f>
        <v>566</v>
      </c>
      <c r="FU43" s="54">
        <f>NETWORKDAYS($I44,FP44)</f>
        <v>305</v>
      </c>
      <c r="FV43" s="54">
        <f>IF(FQ44="",NETWORKDAYS($I44,FP44),NETWORKDAYS($I44,FQ44))</f>
        <v>305</v>
      </c>
      <c r="FW43" s="55" t="s">
        <v>464</v>
      </c>
    </row>
    <row r="44" spans="1:179" x14ac:dyDescent="0.25">
      <c r="A44" s="23" t="s">
        <v>478</v>
      </c>
      <c r="B44" s="23">
        <v>132492</v>
      </c>
      <c r="C44" s="24" t="str">
        <f>VLOOKUP(B44,'[1]PM View-Mastersheet'!$A:$B,2,0)</f>
        <v>3074135-3</v>
      </c>
      <c r="D44" s="65"/>
      <c r="E44" s="23" t="str">
        <f>IF(D44="","Unknown",IF(D44&lt;=FM44+90,"Red",IF(AND(D44&gt;FM44+90,D44&lt;=FM44+180),"Yellow",IF(AND(D44&gt;FM44+180,D44&lt;=FM44+690),"Green","Covered"))))</f>
        <v>Unknown</v>
      </c>
      <c r="F44" s="25" t="s">
        <v>466</v>
      </c>
      <c r="G44" s="26"/>
      <c r="H44" s="26" t="str">
        <f>IF(CR44="","Pre-Execution","Execution")</f>
        <v>Execution</v>
      </c>
      <c r="I44" s="46">
        <v>45814</v>
      </c>
      <c r="J44" s="28"/>
      <c r="K44" s="28"/>
      <c r="L44" s="28"/>
      <c r="M44" s="10">
        <v>45853</v>
      </c>
      <c r="N44" s="10">
        <f>WORKDAY(I44,N43)</f>
        <v>45853</v>
      </c>
      <c r="O44" s="56">
        <v>45973</v>
      </c>
      <c r="P44" s="10">
        <v>45853</v>
      </c>
      <c r="Q44" s="10">
        <f>IF(O44="",WORKDAY(N44,Q43),WORKDAY(O44,Q43))</f>
        <v>45973</v>
      </c>
      <c r="R44" s="56">
        <v>45973</v>
      </c>
      <c r="S44" s="28"/>
      <c r="T44" s="28"/>
      <c r="U44" s="28"/>
      <c r="V44" s="10">
        <v>45895</v>
      </c>
      <c r="W44" s="10">
        <f>IF(R44="",WORKDAY(Q44,W43),WORKDAY(R44,W43))</f>
        <v>46015</v>
      </c>
      <c r="X44" s="56">
        <f>V44</f>
        <v>45895</v>
      </c>
      <c r="Y44" s="10">
        <v>45951</v>
      </c>
      <c r="Z44" s="10">
        <f>IF(R44="",WORKDAY(Q44,Z43),WORKDAY(R44,Z43))</f>
        <v>46071</v>
      </c>
      <c r="AA44" s="56"/>
      <c r="AB44" s="10">
        <v>45814</v>
      </c>
      <c r="AC44" s="10">
        <f>WORKDAY(I44,AC43)</f>
        <v>45814</v>
      </c>
      <c r="AD44" s="56"/>
      <c r="AE44" s="10">
        <v>45919</v>
      </c>
      <c r="AF44" s="10">
        <f>IF(AD44="",WORKDAY(AC44,AF43),WORKDAY(AD44,AF43))</f>
        <v>45919</v>
      </c>
      <c r="AG44" s="56">
        <v>45940</v>
      </c>
      <c r="AH44" s="10">
        <v>45951</v>
      </c>
      <c r="AI44" s="10">
        <f>WORKDAY(IF(AA44="",IF(Z44&gt;AF44,Z44,AF44),IF(AA44&gt;AG44,AA44,AG44)),AI43)</f>
        <v>46071</v>
      </c>
      <c r="AJ44" s="10">
        <f>WORKDAY(IF(AA44&gt;AG44,AA44,AG44),AJ43)</f>
        <v>45940</v>
      </c>
      <c r="AK44" s="10">
        <v>45979</v>
      </c>
      <c r="AL44" s="10">
        <f>IF(AJ44="",WORKDAY(AI44,AL43),WORKDAY(AJ44,AL43))</f>
        <v>45968</v>
      </c>
      <c r="AM44" s="10">
        <f>IF(AK44="",WORKDAY(AJ44,AM43),WORKDAY(AK44,AM43))</f>
        <v>45979</v>
      </c>
      <c r="AN44" s="10">
        <v>45979</v>
      </c>
      <c r="AO44" s="10">
        <v>45986</v>
      </c>
      <c r="AP44" s="10">
        <v>45986</v>
      </c>
      <c r="AQ44" s="10">
        <v>46007</v>
      </c>
      <c r="AR44" s="10">
        <v>46014</v>
      </c>
      <c r="AS44" s="56">
        <v>45940</v>
      </c>
      <c r="AT44" s="10">
        <v>45986</v>
      </c>
      <c r="AU44" s="10">
        <v>45993</v>
      </c>
      <c r="AV44" s="10">
        <v>45993</v>
      </c>
      <c r="AW44" s="10">
        <v>46021</v>
      </c>
      <c r="AX44" s="10">
        <f>IF(AS44="",IF(AR44&gt;AU44,WORKDAY(AR44,AX43),WORKDAY(AU44,AX43)),IF(AS44&gt;AV44,WORKDAY(AS44,AX43),WORKDAY(AV44,AX43)))</f>
        <v>46007</v>
      </c>
      <c r="AY44" s="10">
        <v>46028</v>
      </c>
      <c r="AZ44" s="10">
        <v>46021</v>
      </c>
      <c r="BA44" s="10">
        <f>IF(AP44="",WORKDAY(AO44,BA43),WORKDAY(AP44,BA43))</f>
        <v>46028</v>
      </c>
      <c r="BB44" s="56">
        <v>46028</v>
      </c>
      <c r="BC44" s="10">
        <v>46028</v>
      </c>
      <c r="BD44" s="10">
        <f>IF(AY44="",IF(AX44&gt;BA44,WORKDAY(AX44,BD43),WORKDAY(BA44,BD43)),IF(AY44&gt;BB44,WORKDAY(AY44,BD43),WORKDAY(BB44,BD43)))</f>
        <v>46035</v>
      </c>
      <c r="BE44" s="56">
        <v>46035</v>
      </c>
      <c r="BF44" s="10">
        <v>46035</v>
      </c>
      <c r="BG44" s="10">
        <f>IF(BE44="",WORKDAY(BD44,BG43),WORKDAY(BE44,BG43))</f>
        <v>46042</v>
      </c>
      <c r="BH44" s="56">
        <v>46042</v>
      </c>
      <c r="BI44" s="10">
        <v>46042</v>
      </c>
      <c r="BJ44" s="10">
        <f>IF(BH44="",WORKDAY(BG44,BJ43),WORKDAY(BH44,BJ43))</f>
        <v>46049</v>
      </c>
      <c r="BK44" s="56">
        <v>45814</v>
      </c>
      <c r="BL44" s="28"/>
      <c r="BM44" s="28"/>
      <c r="BN44" s="28"/>
      <c r="BO44" s="28"/>
      <c r="BP44" s="28"/>
      <c r="BQ44" s="28"/>
      <c r="BR44" s="28"/>
      <c r="BS44" s="28"/>
      <c r="BT44" s="28"/>
      <c r="BU44" s="28"/>
      <c r="BV44" s="28"/>
      <c r="BW44" s="28"/>
      <c r="BX44" s="46"/>
      <c r="BY44" s="28"/>
      <c r="BZ44" s="28"/>
      <c r="CA44" s="28"/>
      <c r="CB44" s="28"/>
      <c r="CC44" s="28"/>
      <c r="CD44" s="28"/>
      <c r="CE44" s="28"/>
      <c r="CF44" s="28"/>
      <c r="CG44" s="28"/>
      <c r="CH44" s="28"/>
      <c r="CI44" s="28"/>
      <c r="CJ44" s="28"/>
      <c r="CK44" s="28"/>
      <c r="CL44" s="28"/>
      <c r="CM44" s="10">
        <v>46045</v>
      </c>
      <c r="CN44" s="10">
        <f>IF(BK44="",WORKDAY(BJ44,CN43),WORKDAY(BK44,CN43))</f>
        <v>45819</v>
      </c>
      <c r="CO44" s="56">
        <v>46297</v>
      </c>
      <c r="CP44" s="10">
        <v>46052</v>
      </c>
      <c r="CQ44" s="10">
        <f>IF(CO44="",WORKDAY(CN44,CQ43),WORKDAY(CO44,CQ43))</f>
        <v>46304</v>
      </c>
      <c r="CR44" s="56">
        <v>46297</v>
      </c>
      <c r="CS44" s="77" t="s">
        <v>479</v>
      </c>
      <c r="CT44" s="10">
        <v>46465</v>
      </c>
      <c r="CU44" s="10">
        <f>IF(CR44="",WORKDAY(CQ44,CU43),WORKDAY(CR44,CU43))</f>
        <v>46465</v>
      </c>
      <c r="CV44" s="56">
        <v>46100</v>
      </c>
      <c r="CW44" s="10">
        <v>46035</v>
      </c>
      <c r="CX44" s="10">
        <f>IF(BB44="",WORKDAY(BA44,CX43),WORKDAY(BB44,CX43))</f>
        <v>46042</v>
      </c>
      <c r="CY44" s="56"/>
      <c r="CZ44" s="10">
        <v>46035</v>
      </c>
      <c r="DA44" s="10">
        <f>IF(CY44="",WORKDAY(CX44,DA43),WORKDAY(CY44,DA43))</f>
        <v>46042</v>
      </c>
      <c r="DB44" s="56">
        <v>46042</v>
      </c>
      <c r="DC44" s="45"/>
      <c r="DD44" s="45"/>
      <c r="DE44" s="45"/>
      <c r="DF44" s="10">
        <v>46493</v>
      </c>
      <c r="DG44" s="10">
        <f>IF($CV44="",IF($CU44&gt;$DA44,WORKDAY($CU44,DG43),WORKDAY($DA44,DG43)),IF($CV44&gt;$DB44,WORKDAY($CV44,DG43),WORKDAY($DB44,DG43)))</f>
        <v>46128</v>
      </c>
      <c r="DH44" s="56"/>
      <c r="DI44" s="46"/>
      <c r="DJ44" s="10">
        <v>46521</v>
      </c>
      <c r="DK44" s="10">
        <f>IF(DH44="",WORKDAY(DG44,DK43*$DI43),WORKDAY(DH44,DK43*$DI43))</f>
        <v>46156</v>
      </c>
      <c r="DL44" s="56"/>
      <c r="DM44" s="46"/>
      <c r="DN44" s="46"/>
      <c r="DO44" s="46"/>
      <c r="DP44" s="46"/>
      <c r="DQ44" s="46"/>
      <c r="DR44" s="46"/>
      <c r="DS44" s="46"/>
      <c r="DT44" s="46"/>
      <c r="DU44" s="46"/>
      <c r="DV44" s="46"/>
      <c r="DW44" s="46"/>
      <c r="DX44" s="46"/>
      <c r="DY44" s="46"/>
      <c r="DZ44" s="46"/>
      <c r="EA44" s="46"/>
      <c r="EB44" s="46"/>
      <c r="EC44" s="46"/>
      <c r="ED44" s="46"/>
      <c r="EE44" s="10">
        <v>46521</v>
      </c>
      <c r="EF44" s="10">
        <f>IF(DL44="",WORKDAY(DK44,EF43),WORKDAY(DL44,EF43))</f>
        <v>46156</v>
      </c>
      <c r="EG44" s="56"/>
      <c r="EH44" s="10">
        <v>46449</v>
      </c>
      <c r="EI44" s="10">
        <v>46449</v>
      </c>
      <c r="EJ44" s="56"/>
      <c r="EK44" s="27"/>
      <c r="EL44" s="27"/>
      <c r="EM44" s="27"/>
      <c r="EN44" s="27"/>
      <c r="EO44" s="28"/>
      <c r="EP44" s="28"/>
      <c r="EQ44" s="28"/>
      <c r="ER44" s="28"/>
      <c r="ES44" s="28"/>
      <c r="ET44" s="28"/>
      <c r="EU44" s="28"/>
      <c r="EV44" s="28"/>
      <c r="EW44" s="28"/>
      <c r="EX44" s="28"/>
      <c r="EY44" s="28"/>
      <c r="EZ44" s="10">
        <v>46528</v>
      </c>
      <c r="FA44" s="10">
        <f>IF(EG44="",WORKDAY(EF44,FA43),WORKDAY(EG44,FA43))</f>
        <v>46163</v>
      </c>
      <c r="FB44" s="56"/>
      <c r="FC44" s="28"/>
      <c r="FD44" s="28"/>
      <c r="FE44" s="28"/>
      <c r="FF44" s="28"/>
      <c r="FG44" s="28"/>
      <c r="FH44" s="28"/>
      <c r="FI44" s="10">
        <v>46549</v>
      </c>
      <c r="FJ44" s="10">
        <f>IF(FB44="",WORKDAY(FA44,FJ43),WORKDAY(FB44,FJ43))</f>
        <v>46184</v>
      </c>
      <c r="FK44" s="56"/>
      <c r="FL44" s="10">
        <v>46549</v>
      </c>
      <c r="FM44" s="10">
        <f>IF(FK44="",WORKDAY(FJ44,FM43),WORKDAY(FK44,FM43))</f>
        <v>46184</v>
      </c>
      <c r="FN44" s="56"/>
      <c r="FO44" s="10">
        <v>46605</v>
      </c>
      <c r="FP44" s="10">
        <f>WORKDAY(FM44,FP43)</f>
        <v>46240</v>
      </c>
      <c r="FQ44" s="56"/>
      <c r="FR44" s="77" t="str">
        <f>IF(NETWORKDAYS(FJ44,FO44)&gt;=30,"On-Track",IF(AND(NETWORKDAYS(FJ44,FO44)&lt;30,FJ44&lt;=FO44),"At Risk","Missed TCD"))</f>
        <v>On-Track</v>
      </c>
      <c r="FS44" s="110" t="s">
        <v>480</v>
      </c>
      <c r="FT44" s="57">
        <f>NETWORKDAYS(CP44,FI44)</f>
        <v>356</v>
      </c>
      <c r="FU44" s="57">
        <f>NETWORKDAYS(CQ44,FJ44)</f>
        <v>-87</v>
      </c>
      <c r="FV44" s="57">
        <f>IF(BH44="",NETWORKDAYS(BG44,FJ44),IF(FK44="",NETWORKDAYS(BH44,FJ44),NETWORKDAYS(BH44,FK44)))</f>
        <v>103</v>
      </c>
      <c r="FW44" s="58" t="s">
        <v>467</v>
      </c>
    </row>
    <row r="45" spans="1:179" outlineLevel="1" x14ac:dyDescent="0.25">
      <c r="A45" s="23" t="s">
        <v>478</v>
      </c>
      <c r="B45" s="23">
        <v>132499</v>
      </c>
      <c r="C45" s="24" t="str">
        <f>VLOOKUP(B45,'[1]PM View-Mastersheet'!$A:$B,2,0)</f>
        <v>3060735-2</v>
      </c>
      <c r="D45" s="95"/>
      <c r="E45" s="24"/>
      <c r="F45" s="25" t="s">
        <v>463</v>
      </c>
      <c r="G45" s="26"/>
      <c r="H45" s="26"/>
      <c r="I45" s="27"/>
      <c r="J45" s="27"/>
      <c r="K45" s="27"/>
      <c r="L45" s="27"/>
      <c r="M45" s="4">
        <v>27</v>
      </c>
      <c r="N45" s="4">
        <v>27</v>
      </c>
      <c r="O45" s="27"/>
      <c r="P45" s="4">
        <v>0</v>
      </c>
      <c r="Q45" s="4">
        <v>0</v>
      </c>
      <c r="R45" s="27"/>
      <c r="S45" s="27"/>
      <c r="T45" s="27"/>
      <c r="U45" s="27"/>
      <c r="V45" s="4">
        <v>0</v>
      </c>
      <c r="W45" s="4">
        <v>0</v>
      </c>
      <c r="X45" s="27">
        <v>0</v>
      </c>
      <c r="Y45" s="4">
        <v>70</v>
      </c>
      <c r="Z45" s="4">
        <v>70</v>
      </c>
      <c r="AA45" s="27"/>
      <c r="AB45" s="4">
        <v>0</v>
      </c>
      <c r="AC45" s="4">
        <v>0</v>
      </c>
      <c r="AD45" s="27"/>
      <c r="AE45" s="4">
        <v>75</v>
      </c>
      <c r="AF45" s="4">
        <v>75</v>
      </c>
      <c r="AG45" s="27">
        <v>0</v>
      </c>
      <c r="AH45" s="4">
        <v>0</v>
      </c>
      <c r="AI45" s="4">
        <v>0</v>
      </c>
      <c r="AJ45" s="27">
        <v>0</v>
      </c>
      <c r="AK45" s="4">
        <v>0</v>
      </c>
      <c r="AL45" s="4">
        <v>0</v>
      </c>
      <c r="AM45" s="27"/>
      <c r="AN45" s="4">
        <v>0</v>
      </c>
      <c r="AO45" s="4">
        <v>0</v>
      </c>
      <c r="AP45" s="27"/>
      <c r="AQ45" s="4">
        <v>20</v>
      </c>
      <c r="AR45" s="4">
        <v>20</v>
      </c>
      <c r="AS45" s="27"/>
      <c r="AT45" s="4">
        <v>5</v>
      </c>
      <c r="AU45" s="4">
        <v>45993</v>
      </c>
      <c r="AV45" s="27">
        <v>45993</v>
      </c>
      <c r="AW45" s="4">
        <v>10</v>
      </c>
      <c r="AX45" s="4">
        <v>10</v>
      </c>
      <c r="AY45" s="27">
        <v>46028</v>
      </c>
      <c r="AZ45" s="4">
        <v>30</v>
      </c>
      <c r="BA45" s="4">
        <v>30</v>
      </c>
      <c r="BB45" s="27">
        <v>46028</v>
      </c>
      <c r="BC45" s="4">
        <v>5</v>
      </c>
      <c r="BD45" s="4">
        <v>5</v>
      </c>
      <c r="BE45" s="27">
        <v>46035</v>
      </c>
      <c r="BF45" s="4">
        <v>5</v>
      </c>
      <c r="BG45" s="4">
        <v>5</v>
      </c>
      <c r="BH45" s="27">
        <v>46042</v>
      </c>
      <c r="BI45" s="4">
        <v>5</v>
      </c>
      <c r="BJ45" s="4">
        <v>5</v>
      </c>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4">
        <v>3</v>
      </c>
      <c r="CN45" s="4">
        <v>3</v>
      </c>
      <c r="CO45" s="27"/>
      <c r="CP45" s="4">
        <v>5</v>
      </c>
      <c r="CQ45" s="4">
        <v>5</v>
      </c>
      <c r="CR45" s="27"/>
      <c r="CS45" s="27"/>
      <c r="CT45" s="5">
        <v>0</v>
      </c>
      <c r="CU45" s="5">
        <v>0</v>
      </c>
      <c r="CV45" s="27">
        <v>46465</v>
      </c>
      <c r="CW45" s="5">
        <v>10</v>
      </c>
      <c r="CX45" s="5">
        <v>10</v>
      </c>
      <c r="CY45" s="27"/>
      <c r="CZ45" s="5">
        <v>0</v>
      </c>
      <c r="DA45" s="5">
        <v>0</v>
      </c>
      <c r="DB45" s="27">
        <v>46042</v>
      </c>
      <c r="DC45" s="31"/>
      <c r="DD45" s="31"/>
      <c r="DE45" s="31"/>
      <c r="DF45" s="4">
        <v>20</v>
      </c>
      <c r="DG45" s="4">
        <v>20</v>
      </c>
      <c r="DH45" s="27">
        <v>46493</v>
      </c>
      <c r="DI45" s="89">
        <v>1</v>
      </c>
      <c r="DJ45" s="4">
        <v>20</v>
      </c>
      <c r="DK45" s="4">
        <v>20</v>
      </c>
      <c r="DL45" s="27">
        <v>46521</v>
      </c>
      <c r="DM45" s="27"/>
      <c r="DN45" s="27"/>
      <c r="DO45" s="27"/>
      <c r="DP45" s="27"/>
      <c r="DQ45" s="27"/>
      <c r="DR45" s="27"/>
      <c r="DS45" s="27"/>
      <c r="DT45" s="27"/>
      <c r="DU45" s="27"/>
      <c r="DV45" s="27"/>
      <c r="DW45" s="27"/>
      <c r="DX45" s="27"/>
      <c r="DY45" s="27"/>
      <c r="DZ45" s="27"/>
      <c r="EA45" s="27"/>
      <c r="EB45" s="27"/>
      <c r="EC45" s="27"/>
      <c r="ED45" s="27"/>
      <c r="EE45" s="4">
        <v>0</v>
      </c>
      <c r="EF45" s="4">
        <v>0</v>
      </c>
      <c r="EG45" s="27">
        <v>46521</v>
      </c>
      <c r="EH45" s="4">
        <v>30</v>
      </c>
      <c r="EI45" s="4">
        <v>30</v>
      </c>
      <c r="EJ45" s="27">
        <v>46084</v>
      </c>
      <c r="EK45" s="27"/>
      <c r="EL45" s="27"/>
      <c r="EM45" s="27"/>
      <c r="EN45" s="27"/>
      <c r="EO45" s="27"/>
      <c r="EP45" s="27"/>
      <c r="EQ45" s="27"/>
      <c r="ER45" s="27"/>
      <c r="ES45" s="27"/>
      <c r="ET45" s="27"/>
      <c r="EU45" s="27"/>
      <c r="EV45" s="27"/>
      <c r="EW45" s="27"/>
      <c r="EX45" s="27"/>
      <c r="EY45" s="27"/>
      <c r="EZ45" s="4">
        <v>5</v>
      </c>
      <c r="FA45" s="4">
        <v>5</v>
      </c>
      <c r="FB45" s="27">
        <v>46528</v>
      </c>
      <c r="FC45" s="27"/>
      <c r="FD45" s="27"/>
      <c r="FE45" s="27"/>
      <c r="FF45" s="27"/>
      <c r="FG45" s="27"/>
      <c r="FH45" s="27"/>
      <c r="FI45" s="4">
        <v>15</v>
      </c>
      <c r="FJ45" s="4">
        <v>15</v>
      </c>
      <c r="FK45" s="27">
        <v>46549</v>
      </c>
      <c r="FL45" s="4">
        <v>0</v>
      </c>
      <c r="FM45" s="4">
        <v>0</v>
      </c>
      <c r="FN45" s="27">
        <v>46549</v>
      </c>
      <c r="FO45" s="4">
        <v>40</v>
      </c>
      <c r="FP45" s="4">
        <v>0</v>
      </c>
      <c r="FQ45" s="27">
        <v>46605</v>
      </c>
      <c r="FR45" s="27"/>
      <c r="FS45" s="109"/>
      <c r="FT45" s="54">
        <f>NETWORKDAYS($I46,FO46)</f>
        <v>446</v>
      </c>
      <c r="FU45" s="54">
        <f>NETWORKDAYS($I46,FP46)</f>
        <v>391</v>
      </c>
      <c r="FV45" s="54">
        <f>IF(FQ46="",NETWORKDAYS($I46,FP46),NETWORKDAYS($I46,FQ46))</f>
        <v>391</v>
      </c>
      <c r="FW45" s="55" t="s">
        <v>464</v>
      </c>
    </row>
    <row r="46" spans="1:179" x14ac:dyDescent="0.25">
      <c r="A46" s="23" t="s">
        <v>478</v>
      </c>
      <c r="B46" s="23">
        <v>132499</v>
      </c>
      <c r="C46" s="24" t="str">
        <f>VLOOKUP(B46,'[1]PM View-Mastersheet'!$A:$B,2,0)</f>
        <v>3060735-2</v>
      </c>
      <c r="D46" s="65"/>
      <c r="E46" s="23" t="str">
        <f>IF(D46="","Unknown",IF(D46&lt;=FM46+90,"Red",IF(AND(D46&gt;FM46+90,D46&lt;=FM46+180),"Yellow",IF(AND(D46&gt;FM46+180,D46&lt;=FM46+690),"Green","Covered"))))</f>
        <v>Unknown</v>
      </c>
      <c r="F46" s="25" t="s">
        <v>466</v>
      </c>
      <c r="G46" s="26"/>
      <c r="H46" s="26" t="str">
        <f>IF(CR46="","Pre-Execution","Execution")</f>
        <v>Execution</v>
      </c>
      <c r="I46" s="46">
        <v>45814</v>
      </c>
      <c r="J46" s="28"/>
      <c r="K46" s="28"/>
      <c r="L46" s="28"/>
      <c r="M46" s="10">
        <v>45853</v>
      </c>
      <c r="N46" s="10">
        <f>WORKDAY(I46,N45)</f>
        <v>45853</v>
      </c>
      <c r="O46" s="56">
        <v>45973</v>
      </c>
      <c r="P46" s="10">
        <v>45853</v>
      </c>
      <c r="Q46" s="10">
        <f>IF(O46="",WORKDAY(N46,Q45),WORKDAY(O46,Q45))</f>
        <v>45973</v>
      </c>
      <c r="R46" s="56">
        <v>45973</v>
      </c>
      <c r="S46" s="28"/>
      <c r="T46" s="28"/>
      <c r="U46" s="28"/>
      <c r="V46" s="10">
        <v>45853</v>
      </c>
      <c r="W46" s="10">
        <f>IF(R46="",WORKDAY(Q46,W45),WORKDAY(R46,W45))</f>
        <v>45973</v>
      </c>
      <c r="X46" s="56">
        <f>V46</f>
        <v>45853</v>
      </c>
      <c r="Y46" s="10">
        <v>45951</v>
      </c>
      <c r="Z46" s="10">
        <f>IF(R46="",WORKDAY(Q46,Z45),WORKDAY(R46,Z45))</f>
        <v>46071</v>
      </c>
      <c r="AA46" s="56"/>
      <c r="AB46" s="10">
        <v>45814</v>
      </c>
      <c r="AC46" s="10">
        <f>WORKDAY(I46,AC45)</f>
        <v>45814</v>
      </c>
      <c r="AD46" s="56"/>
      <c r="AE46" s="10">
        <v>45919</v>
      </c>
      <c r="AF46" s="10">
        <f>IF(AD46="",WORKDAY(AC46,AF45),WORKDAY(AD46,AF45))</f>
        <v>45919</v>
      </c>
      <c r="AG46" s="56">
        <v>45940</v>
      </c>
      <c r="AH46" s="10">
        <v>45951</v>
      </c>
      <c r="AI46" s="10">
        <f>WORKDAY(IF(AA46="",IF(Z46&gt;AF46,Z46,AF46),IF(AA46&gt;AG46,AA46,AG46)),AI45)</f>
        <v>46071</v>
      </c>
      <c r="AJ46" s="10">
        <f>WORKDAY(IF(AA46&gt;AG46,AA46,AG46),AJ45)</f>
        <v>45940</v>
      </c>
      <c r="AK46" s="10">
        <v>45951</v>
      </c>
      <c r="AL46" s="10">
        <f>IF(AJ46="",WORKDAY(AI46,AL45),WORKDAY(AJ46,AL45))</f>
        <v>45940</v>
      </c>
      <c r="AM46" s="10">
        <f>IF(AK46="",WORKDAY(AJ46,AM45),WORKDAY(AK46,AM45))</f>
        <v>45951</v>
      </c>
      <c r="AN46" s="10">
        <v>45951</v>
      </c>
      <c r="AO46" s="10">
        <v>45986</v>
      </c>
      <c r="AP46" s="10">
        <v>45986</v>
      </c>
      <c r="AQ46" s="10">
        <v>45979</v>
      </c>
      <c r="AR46" s="10">
        <v>46014</v>
      </c>
      <c r="AS46" s="56">
        <v>45940</v>
      </c>
      <c r="AT46" s="10">
        <v>45958</v>
      </c>
      <c r="AU46" s="10">
        <v>45993</v>
      </c>
      <c r="AV46" s="10">
        <v>45993</v>
      </c>
      <c r="AW46" s="10">
        <v>45993</v>
      </c>
      <c r="AX46" s="10">
        <f>IF(AS46="",IF(AR46&gt;AU46,WORKDAY(AR46,AX45),WORKDAY(AU46,AX45)),IF(AS46&gt;AV46,WORKDAY(AS46,AX45),WORKDAY(AV46,AX45)))</f>
        <v>46007</v>
      </c>
      <c r="AY46" s="10">
        <v>46028</v>
      </c>
      <c r="AZ46" s="10">
        <v>45993</v>
      </c>
      <c r="BA46" s="10">
        <f>IF(AP46="",WORKDAY(AO46,BA45),WORKDAY(AP46,BA45))</f>
        <v>46028</v>
      </c>
      <c r="BB46" s="56">
        <v>46028</v>
      </c>
      <c r="BC46" s="10">
        <v>46000</v>
      </c>
      <c r="BD46" s="10">
        <f>IF(AY46="",IF(AX46&gt;BA46,WORKDAY(AX46,BD45),WORKDAY(BA46,BD45)),IF(AY46&gt;BB46,WORKDAY(AY46,BD45),WORKDAY(BB46,BD45)))</f>
        <v>46035</v>
      </c>
      <c r="BE46" s="56">
        <v>46035</v>
      </c>
      <c r="BF46" s="10">
        <v>46007</v>
      </c>
      <c r="BG46" s="10">
        <f>IF(BE46="",WORKDAY(BD46,BG45),WORKDAY(BE46,BG45))</f>
        <v>46042</v>
      </c>
      <c r="BH46" s="56">
        <v>46042</v>
      </c>
      <c r="BI46" s="10">
        <v>46014</v>
      </c>
      <c r="BJ46" s="10">
        <f>IF(BH46="",WORKDAY(BG46,BJ45),WORKDAY(BH46,BJ45))</f>
        <v>46049</v>
      </c>
      <c r="BK46" s="56">
        <v>45814</v>
      </c>
      <c r="BL46" s="28"/>
      <c r="BM46" s="28"/>
      <c r="BN46" s="28"/>
      <c r="BO46" s="28"/>
      <c r="BP46" s="28"/>
      <c r="BQ46" s="28"/>
      <c r="BR46" s="28"/>
      <c r="BS46" s="28"/>
      <c r="BT46" s="28"/>
      <c r="BU46" s="28"/>
      <c r="BV46" s="28"/>
      <c r="BW46" s="28"/>
      <c r="BX46" s="46"/>
      <c r="BY46" s="28"/>
      <c r="BZ46" s="28"/>
      <c r="CA46" s="28"/>
      <c r="CB46" s="28"/>
      <c r="CC46" s="28"/>
      <c r="CD46" s="28"/>
      <c r="CE46" s="28"/>
      <c r="CF46" s="28"/>
      <c r="CG46" s="28"/>
      <c r="CH46" s="28"/>
      <c r="CI46" s="28"/>
      <c r="CJ46" s="28"/>
      <c r="CK46" s="28"/>
      <c r="CL46" s="28"/>
      <c r="CM46" s="10">
        <v>46017</v>
      </c>
      <c r="CN46" s="10">
        <f>IF(BK46="",WORKDAY(BJ46,CN45),WORKDAY(BK46,CN45))</f>
        <v>45819</v>
      </c>
      <c r="CO46" s="56">
        <v>46297</v>
      </c>
      <c r="CP46" s="10">
        <v>46024</v>
      </c>
      <c r="CQ46" s="10">
        <f>IF(CO46="",WORKDAY(CN46,CQ45),WORKDAY(CO46,CQ45))</f>
        <v>46304</v>
      </c>
      <c r="CR46" s="56">
        <v>46297</v>
      </c>
      <c r="CS46" s="77" t="s">
        <v>479</v>
      </c>
      <c r="CT46" s="10">
        <v>46297</v>
      </c>
      <c r="CU46" s="10">
        <f>IF(CR46="",WORKDAY(CQ46,CU45),WORKDAY(CR46,CU45))</f>
        <v>46297</v>
      </c>
      <c r="CV46" s="56">
        <v>46100</v>
      </c>
      <c r="CW46" s="10">
        <v>46007</v>
      </c>
      <c r="CX46" s="10">
        <f>IF(BB46="",WORKDAY(BA46,CX45),WORKDAY(BB46,CX45))</f>
        <v>46042</v>
      </c>
      <c r="CY46" s="56"/>
      <c r="CZ46" s="10">
        <v>46007</v>
      </c>
      <c r="DA46" s="10">
        <f>IF(CY46="",WORKDAY(CX46,DA45),WORKDAY(CY46,DA45))</f>
        <v>46042</v>
      </c>
      <c r="DB46" s="56">
        <v>46042</v>
      </c>
      <c r="DC46" s="45"/>
      <c r="DD46" s="45"/>
      <c r="DE46" s="45"/>
      <c r="DF46" s="10">
        <v>46325</v>
      </c>
      <c r="DG46" s="10">
        <v>46248</v>
      </c>
      <c r="DH46" s="56"/>
      <c r="DI46" s="46"/>
      <c r="DJ46" s="10">
        <v>46353</v>
      </c>
      <c r="DK46" s="10">
        <v>46277</v>
      </c>
      <c r="DL46" s="56"/>
      <c r="DM46" s="46"/>
      <c r="DN46" s="46"/>
      <c r="DO46" s="46"/>
      <c r="DP46" s="46"/>
      <c r="DQ46" s="46"/>
      <c r="DR46" s="46"/>
      <c r="DS46" s="46"/>
      <c r="DT46" s="46"/>
      <c r="DU46" s="46"/>
      <c r="DV46" s="46"/>
      <c r="DW46" s="46"/>
      <c r="DX46" s="46"/>
      <c r="DY46" s="46"/>
      <c r="DZ46" s="46"/>
      <c r="EA46" s="46"/>
      <c r="EB46" s="46"/>
      <c r="EC46" s="46"/>
      <c r="ED46" s="46"/>
      <c r="EE46" s="10">
        <v>46353</v>
      </c>
      <c r="EF46" s="10">
        <v>46276</v>
      </c>
      <c r="EG46" s="56"/>
      <c r="EH46" s="10">
        <v>46449</v>
      </c>
      <c r="EI46" s="10">
        <v>46449</v>
      </c>
      <c r="EJ46" s="56"/>
      <c r="EK46" s="27"/>
      <c r="EL46" s="27"/>
      <c r="EM46" s="27"/>
      <c r="EN46" s="27"/>
      <c r="EO46" s="28"/>
      <c r="EP46" s="28"/>
      <c r="EQ46" s="28"/>
      <c r="ER46" s="28"/>
      <c r="ES46" s="28"/>
      <c r="ET46" s="28"/>
      <c r="EU46" s="28"/>
      <c r="EV46" s="28"/>
      <c r="EW46" s="28"/>
      <c r="EX46" s="28"/>
      <c r="EY46" s="28"/>
      <c r="EZ46" s="10">
        <v>46360</v>
      </c>
      <c r="FA46" s="10">
        <v>46283</v>
      </c>
      <c r="FB46" s="56"/>
      <c r="FC46" s="28"/>
      <c r="FD46" s="28"/>
      <c r="FE46" s="28"/>
      <c r="FF46" s="28"/>
      <c r="FG46" s="28"/>
      <c r="FH46" s="28"/>
      <c r="FI46" s="10">
        <v>46381</v>
      </c>
      <c r="FJ46" s="10">
        <v>46304</v>
      </c>
      <c r="FK46" s="56"/>
      <c r="FL46" s="10">
        <v>46381</v>
      </c>
      <c r="FM46" s="10">
        <v>46304</v>
      </c>
      <c r="FN46" s="56"/>
      <c r="FO46" s="10">
        <v>46437</v>
      </c>
      <c r="FP46" s="10">
        <v>46360</v>
      </c>
      <c r="FQ46" s="56"/>
      <c r="FR46" s="77" t="str">
        <f>IF(NETWORKDAYS(FJ46,FO46)&gt;=30,"On-Track",IF(AND(NETWORKDAYS(FJ46,FO46)&lt;30,FJ46&lt;=FO46),"At Risk","Missed TCD"))</f>
        <v>On-Track</v>
      </c>
      <c r="FS46" s="110" t="s">
        <v>480</v>
      </c>
      <c r="FT46" s="57">
        <f>NETWORKDAYS(CP46,FI46)</f>
        <v>256</v>
      </c>
      <c r="FU46" s="57">
        <f>NETWORKDAYS(CQ46,FJ46)</f>
        <v>1</v>
      </c>
      <c r="FV46" s="57">
        <f>IF(BH46="",NETWORKDAYS(BG46,FJ46),IF(FK46="",NETWORKDAYS(BH46,FJ46),NETWORKDAYS(BH46,FK46)))</f>
        <v>189</v>
      </c>
      <c r="FW46" s="58" t="s">
        <v>467</v>
      </c>
    </row>
    <row r="47" spans="1:179" outlineLevel="1" x14ac:dyDescent="0.25">
      <c r="A47" s="23" t="s">
        <v>478</v>
      </c>
      <c r="B47" s="23">
        <v>132501</v>
      </c>
      <c r="C47" s="24" t="str">
        <f>VLOOKUP(B47,'[1]PM View-Mastersheet'!$A:$B,2,0)</f>
        <v>3060735-4</v>
      </c>
      <c r="D47" s="95"/>
      <c r="E47" s="24"/>
      <c r="F47" s="25" t="s">
        <v>463</v>
      </c>
      <c r="G47" s="26"/>
      <c r="H47" s="26"/>
      <c r="I47" s="27"/>
      <c r="J47" s="27"/>
      <c r="K47" s="27"/>
      <c r="L47" s="27"/>
      <c r="M47" s="4">
        <v>27</v>
      </c>
      <c r="N47" s="4">
        <v>27</v>
      </c>
      <c r="O47" s="27"/>
      <c r="P47" s="4">
        <v>0</v>
      </c>
      <c r="Q47" s="4">
        <v>0</v>
      </c>
      <c r="R47" s="27"/>
      <c r="S47" s="27"/>
      <c r="T47" s="27"/>
      <c r="U47" s="27"/>
      <c r="V47" s="4">
        <v>30</v>
      </c>
      <c r="W47" s="4">
        <v>30</v>
      </c>
      <c r="X47" s="27"/>
      <c r="Y47" s="4">
        <v>70</v>
      </c>
      <c r="Z47" s="4">
        <v>70</v>
      </c>
      <c r="AA47" s="27"/>
      <c r="AB47" s="4">
        <v>0</v>
      </c>
      <c r="AC47" s="4">
        <v>0</v>
      </c>
      <c r="AD47" s="27"/>
      <c r="AE47" s="4">
        <v>75</v>
      </c>
      <c r="AF47" s="4">
        <v>75</v>
      </c>
      <c r="AG47" s="27"/>
      <c r="AH47" s="4">
        <v>0</v>
      </c>
      <c r="AI47" s="4">
        <v>0</v>
      </c>
      <c r="AJ47" s="27"/>
      <c r="AK47" s="4">
        <v>20</v>
      </c>
      <c r="AL47" s="4">
        <v>20</v>
      </c>
      <c r="AM47" s="27"/>
      <c r="AN47" s="4">
        <v>0</v>
      </c>
      <c r="AO47" s="4">
        <v>0</v>
      </c>
      <c r="AP47" s="27"/>
      <c r="AQ47" s="4">
        <v>20</v>
      </c>
      <c r="AR47" s="4">
        <v>20</v>
      </c>
      <c r="AS47" s="27"/>
      <c r="AT47" s="4">
        <v>5</v>
      </c>
      <c r="AU47" s="4">
        <v>45993</v>
      </c>
      <c r="AV47" s="27">
        <v>45993</v>
      </c>
      <c r="AW47" s="4">
        <v>10</v>
      </c>
      <c r="AX47" s="4">
        <v>10</v>
      </c>
      <c r="AY47" s="27">
        <v>46028</v>
      </c>
      <c r="AZ47" s="4">
        <v>30</v>
      </c>
      <c r="BA47" s="4">
        <v>30</v>
      </c>
      <c r="BB47" s="27">
        <v>46028</v>
      </c>
      <c r="BC47" s="4">
        <v>5</v>
      </c>
      <c r="BD47" s="4">
        <v>5</v>
      </c>
      <c r="BE47" s="27">
        <v>46035</v>
      </c>
      <c r="BF47" s="4">
        <v>5</v>
      </c>
      <c r="BG47" s="4">
        <v>5</v>
      </c>
      <c r="BH47" s="27">
        <v>46042</v>
      </c>
      <c r="BI47" s="4">
        <v>5</v>
      </c>
      <c r="BJ47" s="4">
        <v>5</v>
      </c>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4">
        <v>3</v>
      </c>
      <c r="CN47" s="4">
        <v>3</v>
      </c>
      <c r="CO47" s="27"/>
      <c r="CP47" s="4">
        <v>5</v>
      </c>
      <c r="CQ47" s="4">
        <v>5</v>
      </c>
      <c r="CR47" s="27"/>
      <c r="CS47" s="27"/>
      <c r="CT47" s="5">
        <v>120</v>
      </c>
      <c r="CU47" s="5">
        <v>120</v>
      </c>
      <c r="CV47" s="27">
        <v>46465</v>
      </c>
      <c r="CW47" s="5">
        <v>10</v>
      </c>
      <c r="CX47" s="5">
        <v>10</v>
      </c>
      <c r="CY47" s="27"/>
      <c r="CZ47" s="5">
        <v>0</v>
      </c>
      <c r="DA47" s="5">
        <v>0</v>
      </c>
      <c r="DB47" s="27">
        <v>46042</v>
      </c>
      <c r="DC47" s="31"/>
      <c r="DD47" s="31"/>
      <c r="DE47" s="31"/>
      <c r="DF47" s="4">
        <v>20</v>
      </c>
      <c r="DG47" s="4">
        <v>20</v>
      </c>
      <c r="DH47" s="27">
        <v>46493</v>
      </c>
      <c r="DI47" s="89">
        <v>1</v>
      </c>
      <c r="DJ47" s="4">
        <v>20</v>
      </c>
      <c r="DK47" s="4">
        <v>20</v>
      </c>
      <c r="DL47" s="27">
        <v>46521</v>
      </c>
      <c r="DM47" s="27"/>
      <c r="DN47" s="27"/>
      <c r="DO47" s="27"/>
      <c r="DP47" s="27"/>
      <c r="DQ47" s="27"/>
      <c r="DR47" s="27"/>
      <c r="DS47" s="27"/>
      <c r="DT47" s="27"/>
      <c r="DU47" s="27"/>
      <c r="DV47" s="27"/>
      <c r="DW47" s="27"/>
      <c r="DX47" s="27"/>
      <c r="DY47" s="27"/>
      <c r="DZ47" s="27"/>
      <c r="EA47" s="27"/>
      <c r="EB47" s="27"/>
      <c r="EC47" s="27"/>
      <c r="ED47" s="27"/>
      <c r="EE47" s="4">
        <v>0</v>
      </c>
      <c r="EF47" s="4">
        <v>0</v>
      </c>
      <c r="EG47" s="27">
        <v>46521</v>
      </c>
      <c r="EH47" s="4">
        <v>30</v>
      </c>
      <c r="EI47" s="4">
        <v>30</v>
      </c>
      <c r="EJ47" s="27">
        <v>46084</v>
      </c>
      <c r="EK47" s="27"/>
      <c r="EL47" s="27"/>
      <c r="EM47" s="27"/>
      <c r="EN47" s="27"/>
      <c r="EO47" s="27"/>
      <c r="EP47" s="27"/>
      <c r="EQ47" s="27"/>
      <c r="ER47" s="27"/>
      <c r="ES47" s="27"/>
      <c r="ET47" s="27"/>
      <c r="EU47" s="27"/>
      <c r="EV47" s="27"/>
      <c r="EW47" s="27"/>
      <c r="EX47" s="27"/>
      <c r="EY47" s="27"/>
      <c r="EZ47" s="4">
        <v>5</v>
      </c>
      <c r="FA47" s="4">
        <v>5</v>
      </c>
      <c r="FB47" s="27">
        <v>46528</v>
      </c>
      <c r="FC47" s="27"/>
      <c r="FD47" s="27"/>
      <c r="FE47" s="27"/>
      <c r="FF47" s="27"/>
      <c r="FG47" s="27"/>
      <c r="FH47" s="27"/>
      <c r="FI47" s="4">
        <v>15</v>
      </c>
      <c r="FJ47" s="4">
        <v>15</v>
      </c>
      <c r="FK47" s="27">
        <v>46549</v>
      </c>
      <c r="FL47" s="4">
        <v>0</v>
      </c>
      <c r="FM47" s="4">
        <v>0</v>
      </c>
      <c r="FN47" s="27">
        <v>46549</v>
      </c>
      <c r="FO47" s="4">
        <v>40</v>
      </c>
      <c r="FP47" s="4">
        <v>40</v>
      </c>
      <c r="FQ47" s="27">
        <v>46605</v>
      </c>
      <c r="FR47" s="27"/>
      <c r="FS47" s="109"/>
      <c r="FT47" s="54">
        <f>NETWORKDAYS($I48,FO48)</f>
        <v>566</v>
      </c>
      <c r="FU47" s="54">
        <f>NETWORKDAYS($I48,FP48)</f>
        <v>305</v>
      </c>
      <c r="FV47" s="54">
        <f>IF(FQ48="",NETWORKDAYS($I48,FP48),NETWORKDAYS($I48,FQ48))</f>
        <v>305</v>
      </c>
      <c r="FW47" s="55" t="s">
        <v>464</v>
      </c>
    </row>
    <row r="48" spans="1:179" x14ac:dyDescent="0.25">
      <c r="A48" s="23" t="s">
        <v>478</v>
      </c>
      <c r="B48" s="23">
        <v>132501</v>
      </c>
      <c r="C48" s="24" t="str">
        <f>VLOOKUP(B48,'[1]PM View-Mastersheet'!$A:$B,2,0)</f>
        <v>3060735-4</v>
      </c>
      <c r="D48" s="65"/>
      <c r="E48" s="23" t="str">
        <f>IF(D48="","Unknown",IF(D48&lt;=FM48+90,"Red",IF(AND(D48&gt;FM48+90,D48&lt;=FM48+180),"Yellow",IF(AND(D48&gt;FM48+180,D48&lt;=FM48+690),"Green","Covered"))))</f>
        <v>Unknown</v>
      </c>
      <c r="F48" s="25" t="s">
        <v>466</v>
      </c>
      <c r="G48" s="26"/>
      <c r="H48" s="26" t="str">
        <f>IF(CR48="","Pre-Execution","Execution")</f>
        <v>Execution</v>
      </c>
      <c r="I48" s="46">
        <v>45814</v>
      </c>
      <c r="J48" s="28"/>
      <c r="K48" s="28"/>
      <c r="L48" s="28"/>
      <c r="M48" s="10">
        <v>45853</v>
      </c>
      <c r="N48" s="10">
        <f>WORKDAY(I48,N47)</f>
        <v>45853</v>
      </c>
      <c r="O48" s="56">
        <v>45973</v>
      </c>
      <c r="P48" s="10">
        <v>45853</v>
      </c>
      <c r="Q48" s="10">
        <f>IF(O48="",WORKDAY(N48,Q47),WORKDAY(O48,Q47))</f>
        <v>45973</v>
      </c>
      <c r="R48" s="56">
        <v>45973</v>
      </c>
      <c r="S48" s="28"/>
      <c r="T48" s="28"/>
      <c r="U48" s="28"/>
      <c r="V48" s="10">
        <v>45895</v>
      </c>
      <c r="W48" s="10">
        <f>IF(R48="",WORKDAY(Q48,W47),WORKDAY(R48,W47))</f>
        <v>46015</v>
      </c>
      <c r="X48" s="56">
        <f>V48</f>
        <v>45895</v>
      </c>
      <c r="Y48" s="10">
        <v>45951</v>
      </c>
      <c r="Z48" s="10">
        <f>IF(R48="",WORKDAY(Q48,Z47),WORKDAY(R48,Z47))</f>
        <v>46071</v>
      </c>
      <c r="AA48" s="56"/>
      <c r="AB48" s="10">
        <v>45814</v>
      </c>
      <c r="AC48" s="10">
        <f>WORKDAY(I48,AC47)</f>
        <v>45814</v>
      </c>
      <c r="AD48" s="56"/>
      <c r="AE48" s="10">
        <v>45919</v>
      </c>
      <c r="AF48" s="10">
        <f>IF(AD48="",WORKDAY(AC48,AF47),WORKDAY(AD48,AF47))</f>
        <v>45919</v>
      </c>
      <c r="AG48" s="56">
        <v>45940</v>
      </c>
      <c r="AH48" s="10">
        <v>45951</v>
      </c>
      <c r="AI48" s="10">
        <f>WORKDAY(IF(AA48="",IF(Z48&gt;AF48,Z48,AF48),IF(AA48&gt;AG48,AA48,AG48)),AI47)</f>
        <v>46071</v>
      </c>
      <c r="AJ48" s="10">
        <f>WORKDAY(IF(AA48&gt;AG48,AA48,AG48),AJ47)</f>
        <v>45940</v>
      </c>
      <c r="AK48" s="10">
        <v>45979</v>
      </c>
      <c r="AL48" s="10">
        <f>IF(AJ48="",WORKDAY(AI48,AL47),WORKDAY(AJ48,AL47))</f>
        <v>45968</v>
      </c>
      <c r="AM48" s="10">
        <f>IF(AK48="",WORKDAY(AJ48,AM47),WORKDAY(AK48,AM47))</f>
        <v>45979</v>
      </c>
      <c r="AN48" s="10">
        <v>45979</v>
      </c>
      <c r="AO48" s="10">
        <v>45986</v>
      </c>
      <c r="AP48" s="10">
        <v>45986</v>
      </c>
      <c r="AQ48" s="10">
        <v>46007</v>
      </c>
      <c r="AR48" s="10">
        <v>46014</v>
      </c>
      <c r="AS48" s="56">
        <v>45940</v>
      </c>
      <c r="AT48" s="10">
        <v>45986</v>
      </c>
      <c r="AU48" s="10">
        <v>45993</v>
      </c>
      <c r="AV48" s="10">
        <v>45993</v>
      </c>
      <c r="AW48" s="10">
        <v>46021</v>
      </c>
      <c r="AX48" s="10">
        <f>IF(AS48="",IF(AR48&gt;AU48,WORKDAY(AR48,AX47),WORKDAY(AU48,AX47)),IF(AS48&gt;AV48,WORKDAY(AS48,AX47),WORKDAY(AV48,AX47)))</f>
        <v>46007</v>
      </c>
      <c r="AY48" s="10">
        <v>46028</v>
      </c>
      <c r="AZ48" s="10">
        <v>46021</v>
      </c>
      <c r="BA48" s="10">
        <f>IF(AP48="",WORKDAY(AO48,BA47),WORKDAY(AP48,BA47))</f>
        <v>46028</v>
      </c>
      <c r="BB48" s="56">
        <v>46028</v>
      </c>
      <c r="BC48" s="10">
        <v>46028</v>
      </c>
      <c r="BD48" s="10">
        <f>IF(AY48="",IF(AX48&gt;BA48,WORKDAY(AX48,BD47),WORKDAY(BA48,BD47)),IF(AY48&gt;BB48,WORKDAY(AY48,BD47),WORKDAY(BB48,BD47)))</f>
        <v>46035</v>
      </c>
      <c r="BE48" s="56">
        <v>46035</v>
      </c>
      <c r="BF48" s="10">
        <v>46035</v>
      </c>
      <c r="BG48" s="10">
        <f>IF(BE48="",WORKDAY(BD48,BG47),WORKDAY(BE48,BG47))</f>
        <v>46042</v>
      </c>
      <c r="BH48" s="56">
        <v>46042</v>
      </c>
      <c r="BI48" s="10">
        <v>46042</v>
      </c>
      <c r="BJ48" s="10">
        <f>IF(BH48="",WORKDAY(BG48,BJ47),WORKDAY(BH48,BJ47))</f>
        <v>46049</v>
      </c>
      <c r="BK48" s="56">
        <v>45814</v>
      </c>
      <c r="BL48" s="28"/>
      <c r="BM48" s="28"/>
      <c r="BN48" s="28"/>
      <c r="BO48" s="28"/>
      <c r="BP48" s="28"/>
      <c r="BQ48" s="28"/>
      <c r="BR48" s="28"/>
      <c r="BS48" s="28"/>
      <c r="BT48" s="28"/>
      <c r="BU48" s="28"/>
      <c r="BV48" s="28"/>
      <c r="BW48" s="28"/>
      <c r="BX48" s="46"/>
      <c r="BY48" s="28"/>
      <c r="BZ48" s="28"/>
      <c r="CA48" s="28"/>
      <c r="CB48" s="28"/>
      <c r="CC48" s="28"/>
      <c r="CD48" s="28"/>
      <c r="CE48" s="28"/>
      <c r="CF48" s="28"/>
      <c r="CG48" s="28"/>
      <c r="CH48" s="28"/>
      <c r="CI48" s="28"/>
      <c r="CJ48" s="28"/>
      <c r="CK48" s="28"/>
      <c r="CL48" s="28"/>
      <c r="CM48" s="10">
        <v>46045</v>
      </c>
      <c r="CN48" s="10">
        <f>IF(BK48="",WORKDAY(BJ48,CN47),WORKDAY(BK48,CN47))</f>
        <v>45819</v>
      </c>
      <c r="CO48" s="56">
        <v>46297</v>
      </c>
      <c r="CP48" s="10">
        <v>46052</v>
      </c>
      <c r="CQ48" s="10">
        <f>IF(CO48="",WORKDAY(CN48,CQ47),WORKDAY(CO48,CQ47))</f>
        <v>46304</v>
      </c>
      <c r="CR48" s="56">
        <v>46297</v>
      </c>
      <c r="CS48" s="77" t="s">
        <v>479</v>
      </c>
      <c r="CT48" s="10">
        <v>46465</v>
      </c>
      <c r="CU48" s="10">
        <f>IF(CR48="",WORKDAY(CQ48,CU47),WORKDAY(CR48,CU47))</f>
        <v>46465</v>
      </c>
      <c r="CV48" s="56">
        <v>46100</v>
      </c>
      <c r="CW48" s="10">
        <v>46035</v>
      </c>
      <c r="CX48" s="10">
        <f>IF(BB48="",WORKDAY(BA48,CX47),WORKDAY(BB48,CX47))</f>
        <v>46042</v>
      </c>
      <c r="CY48" s="56"/>
      <c r="CZ48" s="10">
        <v>46035</v>
      </c>
      <c r="DA48" s="10">
        <f>IF(CY48="",WORKDAY(CX48,DA47),WORKDAY(CY48,DA47))</f>
        <v>46042</v>
      </c>
      <c r="DB48" s="56">
        <v>46042</v>
      </c>
      <c r="DC48" s="45"/>
      <c r="DD48" s="45"/>
      <c r="DE48" s="45"/>
      <c r="DF48" s="10">
        <v>46493</v>
      </c>
      <c r="DG48" s="10">
        <f>IF($CV48="",IF($CU48&gt;$DA48,WORKDAY($CU48,DG47),WORKDAY($DA48,DG47)),IF($CV48&gt;$DB48,WORKDAY($CV48,DG47),WORKDAY($DB48,DG47)))</f>
        <v>46128</v>
      </c>
      <c r="DH48" s="56"/>
      <c r="DI48" s="46"/>
      <c r="DJ48" s="10">
        <v>46521</v>
      </c>
      <c r="DK48" s="10">
        <f>IF(DH48="",WORKDAY(DG48,DK47*$DI47),WORKDAY(DH48,DK47*$DI47))</f>
        <v>46156</v>
      </c>
      <c r="DL48" s="56"/>
      <c r="DM48" s="46"/>
      <c r="DN48" s="46"/>
      <c r="DO48" s="46"/>
      <c r="DP48" s="46"/>
      <c r="DQ48" s="46"/>
      <c r="DR48" s="46"/>
      <c r="DS48" s="46"/>
      <c r="DT48" s="46"/>
      <c r="DU48" s="46"/>
      <c r="DV48" s="46"/>
      <c r="DW48" s="46"/>
      <c r="DX48" s="46"/>
      <c r="DY48" s="46"/>
      <c r="DZ48" s="46"/>
      <c r="EA48" s="46"/>
      <c r="EB48" s="46"/>
      <c r="EC48" s="46"/>
      <c r="ED48" s="46"/>
      <c r="EE48" s="10">
        <v>46521</v>
      </c>
      <c r="EF48" s="10">
        <f>IF(DL48="",WORKDAY(DK48,EF47),WORKDAY(DL48,EF47))</f>
        <v>46156</v>
      </c>
      <c r="EG48" s="56"/>
      <c r="EH48" s="10">
        <v>46449</v>
      </c>
      <c r="EI48" s="10">
        <v>46449</v>
      </c>
      <c r="EJ48" s="56"/>
      <c r="EK48" s="27"/>
      <c r="EL48" s="27"/>
      <c r="EM48" s="27"/>
      <c r="EN48" s="27"/>
      <c r="EO48" s="28"/>
      <c r="EP48" s="28"/>
      <c r="EQ48" s="28"/>
      <c r="ER48" s="28"/>
      <c r="ES48" s="28"/>
      <c r="ET48" s="28"/>
      <c r="EU48" s="28"/>
      <c r="EV48" s="28"/>
      <c r="EW48" s="28"/>
      <c r="EX48" s="28"/>
      <c r="EY48" s="28"/>
      <c r="EZ48" s="10">
        <v>46528</v>
      </c>
      <c r="FA48" s="10">
        <f>IF(EG48="",WORKDAY(EF48,FA47),WORKDAY(EG48,FA47))</f>
        <v>46163</v>
      </c>
      <c r="FB48" s="56"/>
      <c r="FC48" s="28"/>
      <c r="FD48" s="28"/>
      <c r="FE48" s="28"/>
      <c r="FF48" s="28"/>
      <c r="FG48" s="28"/>
      <c r="FH48" s="28"/>
      <c r="FI48" s="10">
        <v>46549</v>
      </c>
      <c r="FJ48" s="10">
        <f>IF(FB48="",WORKDAY(FA48,FJ47),WORKDAY(FB48,FJ47))</f>
        <v>46184</v>
      </c>
      <c r="FK48" s="56"/>
      <c r="FL48" s="10">
        <v>46549</v>
      </c>
      <c r="FM48" s="10">
        <f>IF(FK48="",WORKDAY(FJ48,FM47),WORKDAY(FK48,FM47))</f>
        <v>46184</v>
      </c>
      <c r="FN48" s="56"/>
      <c r="FO48" s="10">
        <v>46605</v>
      </c>
      <c r="FP48" s="10">
        <f>WORKDAY(FM48,FP47)</f>
        <v>46240</v>
      </c>
      <c r="FQ48" s="56"/>
      <c r="FR48" s="77" t="str">
        <f>IF(NETWORKDAYS(FJ48,FO48)&gt;=30,"On-Track",IF(AND(NETWORKDAYS(FJ48,FO48)&lt;30,FJ48&lt;=FO48),"At Risk","Missed TCD"))</f>
        <v>On-Track</v>
      </c>
      <c r="FS48" s="110" t="s">
        <v>480</v>
      </c>
      <c r="FT48" s="57">
        <f>NETWORKDAYS(CP48,FI48)</f>
        <v>356</v>
      </c>
      <c r="FU48" s="57">
        <f>NETWORKDAYS(CQ48,FJ48)</f>
        <v>-87</v>
      </c>
      <c r="FV48" s="57">
        <f>IF(BH48="",NETWORKDAYS(BG48,FJ48),IF(FK48="",NETWORKDAYS(BH48,FJ48),NETWORKDAYS(BH48,FK48)))</f>
        <v>103</v>
      </c>
      <c r="FW48" s="58" t="s">
        <v>467</v>
      </c>
    </row>
    <row r="49" spans="1:179" outlineLevel="1" x14ac:dyDescent="0.25">
      <c r="A49" s="23" t="s">
        <v>478</v>
      </c>
      <c r="B49" s="23">
        <v>132503</v>
      </c>
      <c r="C49" s="24" t="str">
        <f>VLOOKUP(B49,'[1]PM View-Mastersheet'!$A:$B,2,0)</f>
        <v>3060735-7</v>
      </c>
      <c r="D49" s="95"/>
      <c r="E49" s="24"/>
      <c r="F49" s="25" t="s">
        <v>463</v>
      </c>
      <c r="G49" s="26"/>
      <c r="H49" s="26"/>
      <c r="I49" s="27"/>
      <c r="J49" s="27"/>
      <c r="K49" s="27"/>
      <c r="L49" s="27"/>
      <c r="M49" s="4">
        <v>27</v>
      </c>
      <c r="N49" s="4">
        <v>27</v>
      </c>
      <c r="O49" s="27"/>
      <c r="P49" s="4">
        <v>0</v>
      </c>
      <c r="Q49" s="4">
        <v>0</v>
      </c>
      <c r="R49" s="27"/>
      <c r="S49" s="27"/>
      <c r="T49" s="27"/>
      <c r="U49" s="27"/>
      <c r="V49" s="4">
        <v>30</v>
      </c>
      <c r="W49" s="4">
        <v>30</v>
      </c>
      <c r="X49" s="27"/>
      <c r="Y49" s="4">
        <v>70</v>
      </c>
      <c r="Z49" s="4">
        <v>70</v>
      </c>
      <c r="AA49" s="27"/>
      <c r="AB49" s="4">
        <v>0</v>
      </c>
      <c r="AC49" s="4">
        <v>0</v>
      </c>
      <c r="AD49" s="27"/>
      <c r="AE49" s="4">
        <v>75</v>
      </c>
      <c r="AF49" s="4">
        <v>75</v>
      </c>
      <c r="AG49" s="27"/>
      <c r="AH49" s="4">
        <v>0</v>
      </c>
      <c r="AI49" s="4">
        <v>0</v>
      </c>
      <c r="AJ49" s="27"/>
      <c r="AK49" s="4">
        <v>20</v>
      </c>
      <c r="AL49" s="4">
        <v>20</v>
      </c>
      <c r="AM49" s="27"/>
      <c r="AN49" s="4">
        <v>0</v>
      </c>
      <c r="AO49" s="4">
        <v>0</v>
      </c>
      <c r="AP49" s="27"/>
      <c r="AQ49" s="4">
        <v>20</v>
      </c>
      <c r="AR49" s="4">
        <v>20</v>
      </c>
      <c r="AS49" s="27"/>
      <c r="AT49" s="4">
        <v>5</v>
      </c>
      <c r="AU49" s="4">
        <v>45993</v>
      </c>
      <c r="AV49" s="27">
        <v>45993</v>
      </c>
      <c r="AW49" s="4">
        <v>10</v>
      </c>
      <c r="AX49" s="4">
        <v>10</v>
      </c>
      <c r="AY49" s="27">
        <v>46028</v>
      </c>
      <c r="AZ49" s="4">
        <v>30</v>
      </c>
      <c r="BA49" s="4">
        <v>30</v>
      </c>
      <c r="BB49" s="27">
        <v>46028</v>
      </c>
      <c r="BC49" s="4">
        <v>5</v>
      </c>
      <c r="BD49" s="4">
        <v>5</v>
      </c>
      <c r="BE49" s="27">
        <v>46035</v>
      </c>
      <c r="BF49" s="4">
        <v>5</v>
      </c>
      <c r="BG49" s="4">
        <v>5</v>
      </c>
      <c r="BH49" s="27">
        <v>46042</v>
      </c>
      <c r="BI49" s="4">
        <v>5</v>
      </c>
      <c r="BJ49" s="4">
        <v>5</v>
      </c>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4">
        <v>3</v>
      </c>
      <c r="CN49" s="4">
        <v>3</v>
      </c>
      <c r="CO49" s="27"/>
      <c r="CP49" s="4">
        <v>5</v>
      </c>
      <c r="CQ49" s="4">
        <v>5</v>
      </c>
      <c r="CR49" s="27"/>
      <c r="CS49" s="27"/>
      <c r="CT49" s="5">
        <v>120</v>
      </c>
      <c r="CU49" s="5">
        <v>120</v>
      </c>
      <c r="CV49" s="27">
        <v>46465</v>
      </c>
      <c r="CW49" s="5">
        <v>10</v>
      </c>
      <c r="CX49" s="5">
        <v>10</v>
      </c>
      <c r="CY49" s="27"/>
      <c r="CZ49" s="5">
        <v>0</v>
      </c>
      <c r="DA49" s="5">
        <v>0</v>
      </c>
      <c r="DB49" s="27">
        <v>46042</v>
      </c>
      <c r="DC49" s="31"/>
      <c r="DD49" s="31"/>
      <c r="DE49" s="31"/>
      <c r="DF49" s="4">
        <v>20</v>
      </c>
      <c r="DG49" s="4">
        <v>20</v>
      </c>
      <c r="DH49" s="27">
        <v>46493</v>
      </c>
      <c r="DI49" s="89">
        <v>1</v>
      </c>
      <c r="DJ49" s="4">
        <v>20</v>
      </c>
      <c r="DK49" s="4">
        <v>20</v>
      </c>
      <c r="DL49" s="27">
        <v>46521</v>
      </c>
      <c r="DM49" s="27"/>
      <c r="DN49" s="27"/>
      <c r="DO49" s="27"/>
      <c r="DP49" s="27"/>
      <c r="DQ49" s="27"/>
      <c r="DR49" s="27"/>
      <c r="DS49" s="27"/>
      <c r="DT49" s="27"/>
      <c r="DU49" s="27"/>
      <c r="DV49" s="27"/>
      <c r="DW49" s="27"/>
      <c r="DX49" s="27"/>
      <c r="DY49" s="27"/>
      <c r="DZ49" s="27"/>
      <c r="EA49" s="27"/>
      <c r="EB49" s="27"/>
      <c r="EC49" s="27"/>
      <c r="ED49" s="27"/>
      <c r="EE49" s="4">
        <v>0</v>
      </c>
      <c r="EF49" s="4">
        <v>0</v>
      </c>
      <c r="EG49" s="27">
        <v>46521</v>
      </c>
      <c r="EH49" s="4">
        <v>30</v>
      </c>
      <c r="EI49" s="4">
        <v>30</v>
      </c>
      <c r="EJ49" s="27">
        <v>46084</v>
      </c>
      <c r="EK49" s="27"/>
      <c r="EL49" s="27"/>
      <c r="EM49" s="27"/>
      <c r="EN49" s="27"/>
      <c r="EO49" s="27"/>
      <c r="EP49" s="27"/>
      <c r="EQ49" s="27"/>
      <c r="ER49" s="27"/>
      <c r="ES49" s="27"/>
      <c r="ET49" s="27"/>
      <c r="EU49" s="27"/>
      <c r="EV49" s="27"/>
      <c r="EW49" s="27"/>
      <c r="EX49" s="27"/>
      <c r="EY49" s="27"/>
      <c r="EZ49" s="4">
        <v>5</v>
      </c>
      <c r="FA49" s="4">
        <v>5</v>
      </c>
      <c r="FB49" s="27">
        <v>46528</v>
      </c>
      <c r="FC49" s="27"/>
      <c r="FD49" s="27"/>
      <c r="FE49" s="27"/>
      <c r="FF49" s="27"/>
      <c r="FG49" s="27"/>
      <c r="FH49" s="27"/>
      <c r="FI49" s="4">
        <v>15</v>
      </c>
      <c r="FJ49" s="4">
        <v>15</v>
      </c>
      <c r="FK49" s="27">
        <v>46549</v>
      </c>
      <c r="FL49" s="4">
        <v>0</v>
      </c>
      <c r="FM49" s="4">
        <v>0</v>
      </c>
      <c r="FN49" s="27">
        <v>46549</v>
      </c>
      <c r="FO49" s="4">
        <v>40</v>
      </c>
      <c r="FP49" s="4">
        <v>40</v>
      </c>
      <c r="FQ49" s="27">
        <v>46605</v>
      </c>
      <c r="FR49" s="27"/>
      <c r="FS49" s="109"/>
      <c r="FT49" s="54">
        <f>NETWORKDAYS($I50,FO50)</f>
        <v>566</v>
      </c>
      <c r="FU49" s="54">
        <f>NETWORKDAYS($I50,FP50)</f>
        <v>305</v>
      </c>
      <c r="FV49" s="54">
        <f>IF(FQ50="",NETWORKDAYS($I50,FP50),NETWORKDAYS($I50,FQ50))</f>
        <v>305</v>
      </c>
      <c r="FW49" s="55" t="s">
        <v>464</v>
      </c>
    </row>
    <row r="50" spans="1:179" x14ac:dyDescent="0.25">
      <c r="A50" s="23" t="s">
        <v>478</v>
      </c>
      <c r="B50" s="23">
        <v>132503</v>
      </c>
      <c r="C50" s="24" t="str">
        <f>VLOOKUP(B50,'[1]PM View-Mastersheet'!$A:$B,2,0)</f>
        <v>3060735-7</v>
      </c>
      <c r="D50" s="65"/>
      <c r="E50" s="23" t="str">
        <f>IF(D50="","Unknown",IF(D50&lt;=FM50+90,"Red",IF(AND(D50&gt;FM50+90,D50&lt;=FM50+180),"Yellow",IF(AND(D50&gt;FM50+180,D50&lt;=FM50+690),"Green","Covered"))))</f>
        <v>Unknown</v>
      </c>
      <c r="F50" s="25" t="s">
        <v>466</v>
      </c>
      <c r="G50" s="26"/>
      <c r="H50" s="26" t="str">
        <f>IF(CR50="","Pre-Execution","Execution")</f>
        <v>Execution</v>
      </c>
      <c r="I50" s="46">
        <v>45814</v>
      </c>
      <c r="J50" s="28"/>
      <c r="K50" s="28"/>
      <c r="L50" s="28"/>
      <c r="M50" s="10">
        <v>45853</v>
      </c>
      <c r="N50" s="10">
        <f>WORKDAY(I50,N49)</f>
        <v>45853</v>
      </c>
      <c r="O50" s="56">
        <v>45973</v>
      </c>
      <c r="P50" s="10">
        <v>45853</v>
      </c>
      <c r="Q50" s="10">
        <f>IF(O50="",WORKDAY(N50,Q49),WORKDAY(O50,Q49))</f>
        <v>45973</v>
      </c>
      <c r="R50" s="56">
        <v>45973</v>
      </c>
      <c r="S50" s="28"/>
      <c r="T50" s="28"/>
      <c r="U50" s="28"/>
      <c r="V50" s="10">
        <v>45895</v>
      </c>
      <c r="W50" s="10">
        <f>IF(R50="",WORKDAY(Q50,W49),WORKDAY(R50,W49))</f>
        <v>46015</v>
      </c>
      <c r="X50" s="56">
        <f>V50</f>
        <v>45895</v>
      </c>
      <c r="Y50" s="10">
        <v>45951</v>
      </c>
      <c r="Z50" s="10">
        <f>IF(R50="",WORKDAY(Q50,Z49),WORKDAY(R50,Z49))</f>
        <v>46071</v>
      </c>
      <c r="AA50" s="56"/>
      <c r="AB50" s="10">
        <v>45814</v>
      </c>
      <c r="AC50" s="10">
        <f>WORKDAY(I50,AC49)</f>
        <v>45814</v>
      </c>
      <c r="AD50" s="56"/>
      <c r="AE50" s="10">
        <v>45919</v>
      </c>
      <c r="AF50" s="10">
        <f>IF(AD50="",WORKDAY(AC50,AF49),WORKDAY(AD50,AF49))</f>
        <v>45919</v>
      </c>
      <c r="AG50" s="56">
        <v>45940</v>
      </c>
      <c r="AH50" s="10">
        <v>45951</v>
      </c>
      <c r="AI50" s="10">
        <f>WORKDAY(IF(AA50="",IF(Z50&gt;AF50,Z50,AF50),IF(AA50&gt;AG50,AA50,AG50)),AI49)</f>
        <v>46071</v>
      </c>
      <c r="AJ50" s="10">
        <f>WORKDAY(IF(AA50&gt;AG50,AA50,AG50),AJ49)</f>
        <v>45940</v>
      </c>
      <c r="AK50" s="10">
        <v>45979</v>
      </c>
      <c r="AL50" s="10">
        <f>IF(AJ50="",WORKDAY(AI50,AL49),WORKDAY(AJ50,AL49))</f>
        <v>45968</v>
      </c>
      <c r="AM50" s="10">
        <f>IF(AK50="",WORKDAY(AJ50,AM49),WORKDAY(AK50,AM49))</f>
        <v>45979</v>
      </c>
      <c r="AN50" s="10">
        <v>45979</v>
      </c>
      <c r="AO50" s="10">
        <v>45986</v>
      </c>
      <c r="AP50" s="10">
        <v>45986</v>
      </c>
      <c r="AQ50" s="10">
        <v>46007</v>
      </c>
      <c r="AR50" s="10">
        <v>46014</v>
      </c>
      <c r="AS50" s="56">
        <v>45940</v>
      </c>
      <c r="AT50" s="10">
        <v>45986</v>
      </c>
      <c r="AU50" s="10">
        <v>45993</v>
      </c>
      <c r="AV50" s="10">
        <v>45993</v>
      </c>
      <c r="AW50" s="10">
        <v>46021</v>
      </c>
      <c r="AX50" s="10">
        <f>IF(AS50="",IF(AR50&gt;AU50,WORKDAY(AR50,AX49),WORKDAY(AU50,AX49)),IF(AS50&gt;AV50,WORKDAY(AS50,AX49),WORKDAY(AV50,AX49)))</f>
        <v>46007</v>
      </c>
      <c r="AY50" s="10">
        <v>46028</v>
      </c>
      <c r="AZ50" s="10">
        <v>46021</v>
      </c>
      <c r="BA50" s="10">
        <f>IF(AP50="",WORKDAY(AO50,BA49),WORKDAY(AP50,BA49))</f>
        <v>46028</v>
      </c>
      <c r="BB50" s="56">
        <v>46028</v>
      </c>
      <c r="BC50" s="10">
        <v>46028</v>
      </c>
      <c r="BD50" s="10">
        <f>IF(AY50="",IF(AX50&gt;BA50,WORKDAY(AX50,BD49),WORKDAY(BA50,BD49)),IF(AY50&gt;BB50,WORKDAY(AY50,BD49),WORKDAY(BB50,BD49)))</f>
        <v>46035</v>
      </c>
      <c r="BE50" s="56">
        <v>46035</v>
      </c>
      <c r="BF50" s="10">
        <v>46035</v>
      </c>
      <c r="BG50" s="10">
        <f>IF(BE50="",WORKDAY(BD50,BG49),WORKDAY(BE50,BG49))</f>
        <v>46042</v>
      </c>
      <c r="BH50" s="56">
        <v>46042</v>
      </c>
      <c r="BI50" s="10">
        <v>46042</v>
      </c>
      <c r="BJ50" s="10">
        <f>IF(BH50="",WORKDAY(BG50,BJ49),WORKDAY(BH50,BJ49))</f>
        <v>46049</v>
      </c>
      <c r="BK50" s="56">
        <v>45814</v>
      </c>
      <c r="BL50" s="28"/>
      <c r="BM50" s="28"/>
      <c r="BN50" s="28"/>
      <c r="BO50" s="28"/>
      <c r="BP50" s="28"/>
      <c r="BQ50" s="28"/>
      <c r="BR50" s="28"/>
      <c r="BS50" s="28"/>
      <c r="BT50" s="28"/>
      <c r="BU50" s="28"/>
      <c r="BV50" s="28"/>
      <c r="BW50" s="28"/>
      <c r="BX50" s="46"/>
      <c r="BY50" s="28"/>
      <c r="BZ50" s="28"/>
      <c r="CA50" s="28"/>
      <c r="CB50" s="28"/>
      <c r="CC50" s="28"/>
      <c r="CD50" s="28"/>
      <c r="CE50" s="28"/>
      <c r="CF50" s="28"/>
      <c r="CG50" s="28"/>
      <c r="CH50" s="28"/>
      <c r="CI50" s="28"/>
      <c r="CJ50" s="28"/>
      <c r="CK50" s="28"/>
      <c r="CL50" s="28"/>
      <c r="CM50" s="10">
        <v>46045</v>
      </c>
      <c r="CN50" s="10">
        <f>IF(BK50="",WORKDAY(BJ50,CN49),WORKDAY(BK50,CN49))</f>
        <v>45819</v>
      </c>
      <c r="CO50" s="56">
        <v>46297</v>
      </c>
      <c r="CP50" s="10">
        <v>46052</v>
      </c>
      <c r="CQ50" s="10">
        <f>IF(CO50="",WORKDAY(CN50,CQ49),WORKDAY(CO50,CQ49))</f>
        <v>46304</v>
      </c>
      <c r="CR50" s="56">
        <v>46297</v>
      </c>
      <c r="CS50" s="77" t="s">
        <v>479</v>
      </c>
      <c r="CT50" s="10">
        <v>46465</v>
      </c>
      <c r="CU50" s="10">
        <f>IF(CR50="",WORKDAY(CQ50,CU49),WORKDAY(CR50,CU49))</f>
        <v>46465</v>
      </c>
      <c r="CV50" s="56">
        <v>46100</v>
      </c>
      <c r="CW50" s="10">
        <v>46035</v>
      </c>
      <c r="CX50" s="10">
        <f>IF(BB50="",WORKDAY(BA50,CX49),WORKDAY(BB50,CX49))</f>
        <v>46042</v>
      </c>
      <c r="CY50" s="56"/>
      <c r="CZ50" s="10">
        <v>46035</v>
      </c>
      <c r="DA50" s="10">
        <f>IF(CY50="",WORKDAY(CX50,DA49),WORKDAY(CY50,DA49))</f>
        <v>46042</v>
      </c>
      <c r="DB50" s="56">
        <v>46042</v>
      </c>
      <c r="DC50" s="45"/>
      <c r="DD50" s="45"/>
      <c r="DE50" s="45"/>
      <c r="DF50" s="10">
        <v>46493</v>
      </c>
      <c r="DG50" s="10">
        <f>IF($CV50="",IF($CU50&gt;$DA50,WORKDAY($CU50,DG49),WORKDAY($DA50,DG49)),IF($CV50&gt;$DB50,WORKDAY($CV50,DG49),WORKDAY($DB50,DG49)))</f>
        <v>46128</v>
      </c>
      <c r="DH50" s="56"/>
      <c r="DI50" s="46"/>
      <c r="DJ50" s="10">
        <v>46521</v>
      </c>
      <c r="DK50" s="10">
        <f>IF(DH50="",WORKDAY(DG50,DK49*$DI49),WORKDAY(DH50,DK49*$DI49))</f>
        <v>46156</v>
      </c>
      <c r="DL50" s="56"/>
      <c r="DM50" s="46"/>
      <c r="DN50" s="46"/>
      <c r="DO50" s="46"/>
      <c r="DP50" s="46"/>
      <c r="DQ50" s="46"/>
      <c r="DR50" s="46"/>
      <c r="DS50" s="46"/>
      <c r="DT50" s="46"/>
      <c r="DU50" s="46"/>
      <c r="DV50" s="46"/>
      <c r="DW50" s="46"/>
      <c r="DX50" s="46"/>
      <c r="DY50" s="46"/>
      <c r="DZ50" s="46"/>
      <c r="EA50" s="46"/>
      <c r="EB50" s="46"/>
      <c r="EC50" s="46"/>
      <c r="ED50" s="46"/>
      <c r="EE50" s="10">
        <v>46521</v>
      </c>
      <c r="EF50" s="10">
        <f>IF(DL50="",WORKDAY(DK50,EF49),WORKDAY(DL50,EF49))</f>
        <v>46156</v>
      </c>
      <c r="EG50" s="56"/>
      <c r="EH50" s="10">
        <v>46449</v>
      </c>
      <c r="EI50" s="10">
        <v>46449</v>
      </c>
      <c r="EJ50" s="56"/>
      <c r="EK50" s="27"/>
      <c r="EL50" s="27"/>
      <c r="EM50" s="27"/>
      <c r="EN50" s="27"/>
      <c r="EO50" s="28"/>
      <c r="EP50" s="28"/>
      <c r="EQ50" s="28"/>
      <c r="ER50" s="28"/>
      <c r="ES50" s="28"/>
      <c r="ET50" s="28"/>
      <c r="EU50" s="28"/>
      <c r="EV50" s="28"/>
      <c r="EW50" s="28"/>
      <c r="EX50" s="28"/>
      <c r="EY50" s="28"/>
      <c r="EZ50" s="10">
        <v>46528</v>
      </c>
      <c r="FA50" s="10">
        <f>IF(EG50="",WORKDAY(EF50,FA49),WORKDAY(EG50,FA49))</f>
        <v>46163</v>
      </c>
      <c r="FB50" s="56"/>
      <c r="FC50" s="28"/>
      <c r="FD50" s="28"/>
      <c r="FE50" s="28"/>
      <c r="FF50" s="28"/>
      <c r="FG50" s="28"/>
      <c r="FH50" s="28"/>
      <c r="FI50" s="10">
        <v>46549</v>
      </c>
      <c r="FJ50" s="10">
        <f>IF(FB50="",WORKDAY(FA50,FJ49),WORKDAY(FB50,FJ49))</f>
        <v>46184</v>
      </c>
      <c r="FK50" s="56"/>
      <c r="FL50" s="10">
        <v>46549</v>
      </c>
      <c r="FM50" s="10">
        <f>IF(FK50="",WORKDAY(FJ50,FM49),WORKDAY(FK50,FM49))</f>
        <v>46184</v>
      </c>
      <c r="FN50" s="56"/>
      <c r="FO50" s="10">
        <v>46605</v>
      </c>
      <c r="FP50" s="10">
        <f>WORKDAY(FM50,FP49)</f>
        <v>46240</v>
      </c>
      <c r="FQ50" s="56"/>
      <c r="FR50" s="77" t="str">
        <f>IF(NETWORKDAYS(FJ50,FO50)&gt;=30,"On-Track",IF(AND(NETWORKDAYS(FJ50,FO50)&lt;30,FJ50&lt;=FO50),"At Risk","Missed TCD"))</f>
        <v>On-Track</v>
      </c>
      <c r="FS50" s="110" t="s">
        <v>480</v>
      </c>
      <c r="FT50" s="57">
        <f>NETWORKDAYS(CP50,FI50)</f>
        <v>356</v>
      </c>
      <c r="FU50" s="57">
        <f>NETWORKDAYS(CQ50,FJ50)</f>
        <v>-87</v>
      </c>
      <c r="FV50" s="57">
        <f>IF(BH50="",NETWORKDAYS(BG50,FJ50),IF(FK50="",NETWORKDAYS(BH50,FJ50),NETWORKDAYS(BH50,FK50)))</f>
        <v>103</v>
      </c>
      <c r="FW50" s="58" t="s">
        <v>467</v>
      </c>
    </row>
    <row r="51" spans="1:179" outlineLevel="1" x14ac:dyDescent="0.25">
      <c r="A51" s="23" t="s">
        <v>478</v>
      </c>
      <c r="B51" s="23">
        <v>132505</v>
      </c>
      <c r="C51" s="24" t="str">
        <f>VLOOKUP(B51,'[1]PM View-Mastersheet'!$A:$B,2,0)</f>
        <v>3074135-2</v>
      </c>
      <c r="D51" s="95"/>
      <c r="E51" s="24"/>
      <c r="F51" s="25" t="s">
        <v>463</v>
      </c>
      <c r="G51" s="26"/>
      <c r="H51" s="26"/>
      <c r="I51" s="27"/>
      <c r="J51" s="27"/>
      <c r="K51" s="27"/>
      <c r="L51" s="27"/>
      <c r="M51" s="4">
        <v>27</v>
      </c>
      <c r="N51" s="4">
        <v>27</v>
      </c>
      <c r="O51" s="27"/>
      <c r="P51" s="4">
        <v>0</v>
      </c>
      <c r="Q51" s="4">
        <v>0</v>
      </c>
      <c r="R51" s="27"/>
      <c r="S51" s="27"/>
      <c r="T51" s="27"/>
      <c r="U51" s="27"/>
      <c r="V51" s="4">
        <v>30</v>
      </c>
      <c r="W51" s="4">
        <v>30</v>
      </c>
      <c r="X51" s="27"/>
      <c r="Y51" s="4">
        <v>70</v>
      </c>
      <c r="Z51" s="4">
        <v>70</v>
      </c>
      <c r="AA51" s="27"/>
      <c r="AB51" s="4">
        <v>0</v>
      </c>
      <c r="AC51" s="4">
        <v>0</v>
      </c>
      <c r="AD51" s="27"/>
      <c r="AE51" s="4">
        <v>75</v>
      </c>
      <c r="AF51" s="4">
        <v>75</v>
      </c>
      <c r="AG51" s="27"/>
      <c r="AH51" s="4">
        <v>0</v>
      </c>
      <c r="AI51" s="4">
        <v>0</v>
      </c>
      <c r="AJ51" s="27"/>
      <c r="AK51" s="4">
        <v>20</v>
      </c>
      <c r="AL51" s="4">
        <v>20</v>
      </c>
      <c r="AM51" s="27"/>
      <c r="AN51" s="4">
        <v>0</v>
      </c>
      <c r="AO51" s="4">
        <v>0</v>
      </c>
      <c r="AP51" s="27"/>
      <c r="AQ51" s="4">
        <v>20</v>
      </c>
      <c r="AR51" s="4">
        <v>20</v>
      </c>
      <c r="AS51" s="27"/>
      <c r="AT51" s="4">
        <v>5</v>
      </c>
      <c r="AU51" s="4">
        <v>45993</v>
      </c>
      <c r="AV51" s="27">
        <v>45993</v>
      </c>
      <c r="AW51" s="4">
        <v>10</v>
      </c>
      <c r="AX51" s="4">
        <v>10</v>
      </c>
      <c r="AY51" s="27">
        <v>46028</v>
      </c>
      <c r="AZ51" s="4">
        <v>30</v>
      </c>
      <c r="BA51" s="4">
        <v>30</v>
      </c>
      <c r="BB51" s="27">
        <v>46028</v>
      </c>
      <c r="BC51" s="4">
        <v>5</v>
      </c>
      <c r="BD51" s="4">
        <v>5</v>
      </c>
      <c r="BE51" s="27">
        <v>46035</v>
      </c>
      <c r="BF51" s="4">
        <v>5</v>
      </c>
      <c r="BG51" s="4">
        <v>5</v>
      </c>
      <c r="BH51" s="27">
        <v>46042</v>
      </c>
      <c r="BI51" s="4">
        <v>5</v>
      </c>
      <c r="BJ51" s="4">
        <v>5</v>
      </c>
      <c r="BK51" s="27"/>
      <c r="BL51" s="27"/>
      <c r="BM51" s="27"/>
      <c r="BN51" s="27"/>
      <c r="BO51" s="27"/>
      <c r="BP51" s="27"/>
      <c r="BQ51" s="27"/>
      <c r="BR51" s="27"/>
      <c r="BS51" s="27"/>
      <c r="BT51" s="27"/>
      <c r="BU51" s="27"/>
      <c r="BV51" s="27"/>
      <c r="BW51" s="27"/>
      <c r="BX51" s="27"/>
      <c r="BY51" s="27"/>
      <c r="BZ51" s="27"/>
      <c r="CA51" s="27"/>
      <c r="CB51" s="27"/>
      <c r="CC51" s="27"/>
      <c r="CD51" s="27"/>
      <c r="CE51" s="27"/>
      <c r="CF51" s="27"/>
      <c r="CG51" s="27"/>
      <c r="CH51" s="27"/>
      <c r="CI51" s="27"/>
      <c r="CJ51" s="27"/>
      <c r="CK51" s="27"/>
      <c r="CL51" s="27"/>
      <c r="CM51" s="4">
        <v>3</v>
      </c>
      <c r="CN51" s="4">
        <v>3</v>
      </c>
      <c r="CO51" s="27"/>
      <c r="CP51" s="4">
        <v>5</v>
      </c>
      <c r="CQ51" s="4">
        <v>5</v>
      </c>
      <c r="CR51" s="27"/>
      <c r="CS51" s="27"/>
      <c r="CT51" s="5">
        <v>120</v>
      </c>
      <c r="CU51" s="5">
        <v>120</v>
      </c>
      <c r="CV51" s="27">
        <v>46465</v>
      </c>
      <c r="CW51" s="5">
        <v>10</v>
      </c>
      <c r="CX51" s="5">
        <v>10</v>
      </c>
      <c r="CY51" s="27"/>
      <c r="CZ51" s="5">
        <v>0</v>
      </c>
      <c r="DA51" s="5">
        <v>0</v>
      </c>
      <c r="DB51" s="27">
        <v>46042</v>
      </c>
      <c r="DC51" s="31"/>
      <c r="DD51" s="31"/>
      <c r="DE51" s="31"/>
      <c r="DF51" s="4">
        <v>20</v>
      </c>
      <c r="DG51" s="4">
        <v>20</v>
      </c>
      <c r="DH51" s="27">
        <v>46493</v>
      </c>
      <c r="DI51" s="89">
        <v>1</v>
      </c>
      <c r="DJ51" s="4">
        <v>20</v>
      </c>
      <c r="DK51" s="4">
        <v>20</v>
      </c>
      <c r="DL51" s="27">
        <v>46521</v>
      </c>
      <c r="DM51" s="27"/>
      <c r="DN51" s="27"/>
      <c r="DO51" s="27"/>
      <c r="DP51" s="27"/>
      <c r="DQ51" s="27"/>
      <c r="DR51" s="27"/>
      <c r="DS51" s="27"/>
      <c r="DT51" s="27"/>
      <c r="DU51" s="27"/>
      <c r="DV51" s="27"/>
      <c r="DW51" s="27"/>
      <c r="DX51" s="27"/>
      <c r="DY51" s="27"/>
      <c r="DZ51" s="27"/>
      <c r="EA51" s="27"/>
      <c r="EB51" s="27"/>
      <c r="EC51" s="27"/>
      <c r="ED51" s="27"/>
      <c r="EE51" s="4">
        <v>0</v>
      </c>
      <c r="EF51" s="4">
        <v>0</v>
      </c>
      <c r="EG51" s="27">
        <v>46521</v>
      </c>
      <c r="EH51" s="4">
        <v>30</v>
      </c>
      <c r="EI51" s="4">
        <v>30</v>
      </c>
      <c r="EJ51" s="27">
        <v>46084</v>
      </c>
      <c r="EK51" s="27"/>
      <c r="EL51" s="27"/>
      <c r="EM51" s="27"/>
      <c r="EN51" s="27"/>
      <c r="EO51" s="27"/>
      <c r="EP51" s="27"/>
      <c r="EQ51" s="27"/>
      <c r="ER51" s="27"/>
      <c r="ES51" s="27"/>
      <c r="ET51" s="27"/>
      <c r="EU51" s="27"/>
      <c r="EV51" s="27"/>
      <c r="EW51" s="27"/>
      <c r="EX51" s="27"/>
      <c r="EY51" s="27"/>
      <c r="EZ51" s="4">
        <v>5</v>
      </c>
      <c r="FA51" s="4">
        <v>5</v>
      </c>
      <c r="FB51" s="27">
        <v>46528</v>
      </c>
      <c r="FC51" s="27"/>
      <c r="FD51" s="27"/>
      <c r="FE51" s="27"/>
      <c r="FF51" s="27"/>
      <c r="FG51" s="27"/>
      <c r="FH51" s="27"/>
      <c r="FI51" s="4">
        <v>15</v>
      </c>
      <c r="FJ51" s="4">
        <v>15</v>
      </c>
      <c r="FK51" s="27">
        <v>46549</v>
      </c>
      <c r="FL51" s="4">
        <v>0</v>
      </c>
      <c r="FM51" s="4">
        <v>0</v>
      </c>
      <c r="FN51" s="27">
        <v>46549</v>
      </c>
      <c r="FO51" s="4">
        <v>40</v>
      </c>
      <c r="FP51" s="4">
        <v>40</v>
      </c>
      <c r="FQ51" s="27">
        <v>46605</v>
      </c>
      <c r="FR51" s="27"/>
      <c r="FS51" s="109"/>
      <c r="FT51" s="54">
        <f>NETWORKDAYS($I52,FO52)</f>
        <v>566</v>
      </c>
      <c r="FU51" s="54">
        <f>NETWORKDAYS($I52,FP52)</f>
        <v>305</v>
      </c>
      <c r="FV51" s="54">
        <f>IF(FQ52="",NETWORKDAYS($I52,FP52),NETWORKDAYS($I52,FQ52))</f>
        <v>305</v>
      </c>
      <c r="FW51" s="55" t="s">
        <v>464</v>
      </c>
    </row>
    <row r="52" spans="1:179" x14ac:dyDescent="0.25">
      <c r="A52" s="23" t="s">
        <v>478</v>
      </c>
      <c r="B52" s="23">
        <v>132505</v>
      </c>
      <c r="C52" s="24" t="str">
        <f>VLOOKUP(B52,'[1]PM View-Mastersheet'!$A:$B,2,0)</f>
        <v>3074135-2</v>
      </c>
      <c r="D52" s="65"/>
      <c r="E52" s="23" t="str">
        <f>IF(D52="","Unknown",IF(D52&lt;=FM52+90,"Red",IF(AND(D52&gt;FM52+90,D52&lt;=FM52+180),"Yellow",IF(AND(D52&gt;FM52+180,D52&lt;=FM52+690),"Green","Covered"))))</f>
        <v>Unknown</v>
      </c>
      <c r="F52" s="25" t="s">
        <v>466</v>
      </c>
      <c r="G52" s="26"/>
      <c r="H52" s="26" t="str">
        <f>IF(CR52="","Pre-Execution","Execution")</f>
        <v>Execution</v>
      </c>
      <c r="I52" s="46">
        <v>45814</v>
      </c>
      <c r="J52" s="28"/>
      <c r="K52" s="28"/>
      <c r="L52" s="28"/>
      <c r="M52" s="10">
        <v>45853</v>
      </c>
      <c r="N52" s="10">
        <f>WORKDAY(I52,N51)</f>
        <v>45853</v>
      </c>
      <c r="O52" s="56">
        <v>45973</v>
      </c>
      <c r="P52" s="10">
        <v>45853</v>
      </c>
      <c r="Q52" s="10">
        <f>IF(O52="",WORKDAY(N52,Q51),WORKDAY(O52,Q51))</f>
        <v>45973</v>
      </c>
      <c r="R52" s="56">
        <v>45973</v>
      </c>
      <c r="S52" s="28"/>
      <c r="T52" s="28"/>
      <c r="U52" s="28"/>
      <c r="V52" s="10">
        <v>45895</v>
      </c>
      <c r="W52" s="10">
        <f>IF(R52="",WORKDAY(Q52,W51),WORKDAY(R52,W51))</f>
        <v>46015</v>
      </c>
      <c r="X52" s="56">
        <f>V52</f>
        <v>45895</v>
      </c>
      <c r="Y52" s="10">
        <v>45951</v>
      </c>
      <c r="Z52" s="10">
        <f>IF(R52="",WORKDAY(Q52,Z51),WORKDAY(R52,Z51))</f>
        <v>46071</v>
      </c>
      <c r="AA52" s="56"/>
      <c r="AB52" s="10">
        <v>45814</v>
      </c>
      <c r="AC52" s="10">
        <f>WORKDAY(I52,AC51)</f>
        <v>45814</v>
      </c>
      <c r="AD52" s="56"/>
      <c r="AE52" s="10">
        <v>45919</v>
      </c>
      <c r="AF52" s="10">
        <f>IF(AD52="",WORKDAY(AC52,AF51),WORKDAY(AD52,AF51))</f>
        <v>45919</v>
      </c>
      <c r="AG52" s="56">
        <v>45940</v>
      </c>
      <c r="AH52" s="10">
        <v>45951</v>
      </c>
      <c r="AI52" s="10">
        <f>WORKDAY(IF(AA52="",IF(Z52&gt;AF52,Z52,AF52),IF(AA52&gt;AG52,AA52,AG52)),AI51)</f>
        <v>46071</v>
      </c>
      <c r="AJ52" s="10">
        <f>WORKDAY(IF(AA52&gt;AG52,AA52,AG52),AJ51)</f>
        <v>45940</v>
      </c>
      <c r="AK52" s="10">
        <v>45979</v>
      </c>
      <c r="AL52" s="10">
        <f>IF(AJ52="",WORKDAY(AI52,AL51),WORKDAY(AJ52,AL51))</f>
        <v>45968</v>
      </c>
      <c r="AM52" s="10">
        <f>IF(AK52="",WORKDAY(AJ52,AM51),WORKDAY(AK52,AM51))</f>
        <v>45979</v>
      </c>
      <c r="AN52" s="10">
        <v>45979</v>
      </c>
      <c r="AO52" s="10">
        <v>45986</v>
      </c>
      <c r="AP52" s="10">
        <v>45986</v>
      </c>
      <c r="AQ52" s="10">
        <v>46007</v>
      </c>
      <c r="AR52" s="10">
        <v>46014</v>
      </c>
      <c r="AS52" s="56">
        <v>45940</v>
      </c>
      <c r="AT52" s="10">
        <v>45986</v>
      </c>
      <c r="AU52" s="10">
        <v>45993</v>
      </c>
      <c r="AV52" s="10">
        <v>45993</v>
      </c>
      <c r="AW52" s="10">
        <v>46021</v>
      </c>
      <c r="AX52" s="10">
        <f>IF(AS52="",IF(AR52&gt;AU52,WORKDAY(AR52,AX51),WORKDAY(AU52,AX51)),IF(AS52&gt;AV52,WORKDAY(AS52,AX51),WORKDAY(AV52,AX51)))</f>
        <v>46007</v>
      </c>
      <c r="AY52" s="10">
        <v>46028</v>
      </c>
      <c r="AZ52" s="10">
        <v>46021</v>
      </c>
      <c r="BA52" s="10">
        <f>IF(AP52="",WORKDAY(AO52,BA51),WORKDAY(AP52,BA51))</f>
        <v>46028</v>
      </c>
      <c r="BB52" s="56">
        <v>46028</v>
      </c>
      <c r="BC52" s="10">
        <v>46028</v>
      </c>
      <c r="BD52" s="10">
        <f>IF(AY52="",IF(AX52&gt;BA52,WORKDAY(AX52,BD51),WORKDAY(BA52,BD51)),IF(AY52&gt;BB52,WORKDAY(AY52,BD51),WORKDAY(BB52,BD51)))</f>
        <v>46035</v>
      </c>
      <c r="BE52" s="56">
        <v>46035</v>
      </c>
      <c r="BF52" s="10">
        <v>46035</v>
      </c>
      <c r="BG52" s="10">
        <f>IF(BE52="",WORKDAY(BD52,BG51),WORKDAY(BE52,BG51))</f>
        <v>46042</v>
      </c>
      <c r="BH52" s="56">
        <v>46042</v>
      </c>
      <c r="BI52" s="10">
        <v>46042</v>
      </c>
      <c r="BJ52" s="10">
        <f>IF(BH52="",WORKDAY(BG52,BJ51),WORKDAY(BH52,BJ51))</f>
        <v>46049</v>
      </c>
      <c r="BK52" s="56">
        <v>45814</v>
      </c>
      <c r="BL52" s="28"/>
      <c r="BM52" s="28"/>
      <c r="BN52" s="28"/>
      <c r="BO52" s="28"/>
      <c r="BP52" s="28"/>
      <c r="BQ52" s="28"/>
      <c r="BR52" s="28"/>
      <c r="BS52" s="28"/>
      <c r="BT52" s="28"/>
      <c r="BU52" s="28"/>
      <c r="BV52" s="28"/>
      <c r="BW52" s="28"/>
      <c r="BX52" s="46"/>
      <c r="BY52" s="28"/>
      <c r="BZ52" s="28"/>
      <c r="CA52" s="28"/>
      <c r="CB52" s="28"/>
      <c r="CC52" s="28"/>
      <c r="CD52" s="28"/>
      <c r="CE52" s="28"/>
      <c r="CF52" s="28"/>
      <c r="CG52" s="28"/>
      <c r="CH52" s="28"/>
      <c r="CI52" s="28"/>
      <c r="CJ52" s="28"/>
      <c r="CK52" s="28"/>
      <c r="CL52" s="28"/>
      <c r="CM52" s="10">
        <v>46045</v>
      </c>
      <c r="CN52" s="10">
        <f>IF(BK52="",WORKDAY(BJ52,CN51),WORKDAY(BK52,CN51))</f>
        <v>45819</v>
      </c>
      <c r="CO52" s="56">
        <v>46297</v>
      </c>
      <c r="CP52" s="10">
        <v>46052</v>
      </c>
      <c r="CQ52" s="10">
        <f>IF(CO52="",WORKDAY(CN52,CQ51),WORKDAY(CO52,CQ51))</f>
        <v>46304</v>
      </c>
      <c r="CR52" s="56">
        <v>46297</v>
      </c>
      <c r="CS52" s="77" t="s">
        <v>479</v>
      </c>
      <c r="CT52" s="10">
        <v>46465</v>
      </c>
      <c r="CU52" s="10">
        <f>IF(CR52="",WORKDAY(CQ52,CU51),WORKDAY(CR52,CU51))</f>
        <v>46465</v>
      </c>
      <c r="CV52" s="56">
        <v>46100</v>
      </c>
      <c r="CW52" s="10">
        <v>46035</v>
      </c>
      <c r="CX52" s="10">
        <f>IF(BB52="",WORKDAY(BA52,CX51),WORKDAY(BB52,CX51))</f>
        <v>46042</v>
      </c>
      <c r="CY52" s="56"/>
      <c r="CZ52" s="10">
        <v>46035</v>
      </c>
      <c r="DA52" s="10">
        <f>IF(CY52="",WORKDAY(CX52,DA51),WORKDAY(CY52,DA51))</f>
        <v>46042</v>
      </c>
      <c r="DB52" s="56">
        <v>46042</v>
      </c>
      <c r="DC52" s="45"/>
      <c r="DD52" s="45"/>
      <c r="DE52" s="45"/>
      <c r="DF52" s="10">
        <v>46493</v>
      </c>
      <c r="DG52" s="10">
        <f>IF($CV52="",IF($CU52&gt;$DA52,WORKDAY($CU52,DG51),WORKDAY($DA52,DG51)),IF($CV52&gt;$DB52,WORKDAY($CV52,DG51),WORKDAY($DB52,DG51)))</f>
        <v>46128</v>
      </c>
      <c r="DH52" s="56"/>
      <c r="DI52" s="46"/>
      <c r="DJ52" s="10">
        <v>46521</v>
      </c>
      <c r="DK52" s="10">
        <f>IF(DH52="",WORKDAY(DG52,DK51*$DI51),WORKDAY(DH52,DK51*$DI51))</f>
        <v>46156</v>
      </c>
      <c r="DL52" s="56"/>
      <c r="DM52" s="46"/>
      <c r="DN52" s="46"/>
      <c r="DO52" s="46"/>
      <c r="DP52" s="46"/>
      <c r="DQ52" s="46"/>
      <c r="DR52" s="46"/>
      <c r="DS52" s="46"/>
      <c r="DT52" s="46"/>
      <c r="DU52" s="46"/>
      <c r="DV52" s="46"/>
      <c r="DW52" s="46"/>
      <c r="DX52" s="46"/>
      <c r="DY52" s="46"/>
      <c r="DZ52" s="46"/>
      <c r="EA52" s="46"/>
      <c r="EB52" s="46"/>
      <c r="EC52" s="46"/>
      <c r="ED52" s="46"/>
      <c r="EE52" s="10">
        <v>46521</v>
      </c>
      <c r="EF52" s="10">
        <f>IF(DL52="",WORKDAY(DK52,EF51),WORKDAY(DL52,EF51))</f>
        <v>46156</v>
      </c>
      <c r="EG52" s="56"/>
      <c r="EH52" s="10">
        <v>46449</v>
      </c>
      <c r="EI52" s="10">
        <v>46449</v>
      </c>
      <c r="EJ52" s="56"/>
      <c r="EK52" s="27"/>
      <c r="EL52" s="27"/>
      <c r="EM52" s="27"/>
      <c r="EN52" s="27"/>
      <c r="EO52" s="28"/>
      <c r="EP52" s="28"/>
      <c r="EQ52" s="28"/>
      <c r="ER52" s="28"/>
      <c r="ES52" s="28"/>
      <c r="ET52" s="28"/>
      <c r="EU52" s="28"/>
      <c r="EV52" s="28"/>
      <c r="EW52" s="28"/>
      <c r="EX52" s="28"/>
      <c r="EY52" s="28"/>
      <c r="EZ52" s="10">
        <v>46528</v>
      </c>
      <c r="FA52" s="10">
        <f>IF(EG52="",WORKDAY(EF52,FA51),WORKDAY(EG52,FA51))</f>
        <v>46163</v>
      </c>
      <c r="FB52" s="56"/>
      <c r="FC52" s="28"/>
      <c r="FD52" s="28"/>
      <c r="FE52" s="28"/>
      <c r="FF52" s="28"/>
      <c r="FG52" s="28"/>
      <c r="FH52" s="28"/>
      <c r="FI52" s="10">
        <v>46549</v>
      </c>
      <c r="FJ52" s="10">
        <f>IF(FB52="",WORKDAY(FA52,FJ51),WORKDAY(FB52,FJ51))</f>
        <v>46184</v>
      </c>
      <c r="FK52" s="56"/>
      <c r="FL52" s="10">
        <v>46549</v>
      </c>
      <c r="FM52" s="10">
        <f>IF(FK52="",WORKDAY(FJ52,FM51),WORKDAY(FK52,FM51))</f>
        <v>46184</v>
      </c>
      <c r="FN52" s="56"/>
      <c r="FO52" s="10">
        <v>46605</v>
      </c>
      <c r="FP52" s="10">
        <f>WORKDAY(FM52,FP51)</f>
        <v>46240</v>
      </c>
      <c r="FQ52" s="56"/>
      <c r="FR52" s="77" t="str">
        <f>IF(NETWORKDAYS(FJ52,FO52)&gt;=30,"On-Track",IF(AND(NETWORKDAYS(FJ52,FO52)&lt;30,FJ52&lt;=FO52),"At Risk","Missed TCD"))</f>
        <v>On-Track</v>
      </c>
      <c r="FS52" s="110" t="s">
        <v>480</v>
      </c>
      <c r="FT52" s="57">
        <f>NETWORKDAYS(CP52,FI52)</f>
        <v>356</v>
      </c>
      <c r="FU52" s="57">
        <f>NETWORKDAYS(CQ52,FJ52)</f>
        <v>-87</v>
      </c>
      <c r="FV52" s="57">
        <f>IF(BH52="",NETWORKDAYS(BG52,FJ52),IF(FK52="",NETWORKDAYS(BH52,FJ52),NETWORKDAYS(BH52,FK52)))</f>
        <v>103</v>
      </c>
      <c r="FW52" s="58" t="s">
        <v>467</v>
      </c>
    </row>
    <row r="53" spans="1:179" outlineLevel="1" x14ac:dyDescent="0.25">
      <c r="A53" s="23" t="s">
        <v>478</v>
      </c>
      <c r="B53" s="23">
        <v>132500</v>
      </c>
      <c r="C53" s="24" t="str">
        <f>VLOOKUP(B53,'[1]PM View-Mastersheet'!$A:$B,2,0)</f>
        <v>3060735-3</v>
      </c>
      <c r="D53" s="95"/>
      <c r="E53" s="24"/>
      <c r="F53" s="25" t="s">
        <v>463</v>
      </c>
      <c r="G53" s="26"/>
      <c r="H53" s="26"/>
      <c r="I53" s="27"/>
      <c r="J53" s="27"/>
      <c r="K53" s="27"/>
      <c r="L53" s="27"/>
      <c r="M53" s="4">
        <v>27</v>
      </c>
      <c r="N53" s="4">
        <v>27</v>
      </c>
      <c r="O53" s="27"/>
      <c r="P53" s="4">
        <v>0</v>
      </c>
      <c r="Q53" s="4">
        <v>0</v>
      </c>
      <c r="R53" s="27"/>
      <c r="S53" s="27"/>
      <c r="T53" s="27"/>
      <c r="U53" s="27"/>
      <c r="V53" s="4">
        <v>30</v>
      </c>
      <c r="W53" s="4">
        <v>30</v>
      </c>
      <c r="X53" s="27"/>
      <c r="Y53" s="4">
        <v>70</v>
      </c>
      <c r="Z53" s="4">
        <v>70</v>
      </c>
      <c r="AA53" s="27"/>
      <c r="AB53" s="4">
        <v>0</v>
      </c>
      <c r="AC53" s="4">
        <v>0</v>
      </c>
      <c r="AD53" s="27"/>
      <c r="AE53" s="4">
        <v>75</v>
      </c>
      <c r="AF53" s="4">
        <v>75</v>
      </c>
      <c r="AG53" s="27"/>
      <c r="AH53" s="4">
        <v>0</v>
      </c>
      <c r="AI53" s="4">
        <v>0</v>
      </c>
      <c r="AJ53" s="27"/>
      <c r="AK53" s="4">
        <v>20</v>
      </c>
      <c r="AL53" s="4">
        <v>20</v>
      </c>
      <c r="AM53" s="27"/>
      <c r="AN53" s="4">
        <v>0</v>
      </c>
      <c r="AO53" s="4">
        <v>0</v>
      </c>
      <c r="AP53" s="27"/>
      <c r="AQ53" s="4">
        <v>20</v>
      </c>
      <c r="AR53" s="4">
        <v>20</v>
      </c>
      <c r="AS53" s="27"/>
      <c r="AT53" s="4">
        <v>5</v>
      </c>
      <c r="AU53" s="4">
        <v>45993</v>
      </c>
      <c r="AV53" s="27">
        <v>45993</v>
      </c>
      <c r="AW53" s="4">
        <v>10</v>
      </c>
      <c r="AX53" s="4">
        <v>10</v>
      </c>
      <c r="AY53" s="27">
        <v>46028</v>
      </c>
      <c r="AZ53" s="4">
        <v>30</v>
      </c>
      <c r="BA53" s="4">
        <v>30</v>
      </c>
      <c r="BB53" s="27">
        <v>46028</v>
      </c>
      <c r="BC53" s="4">
        <v>5</v>
      </c>
      <c r="BD53" s="4">
        <v>5</v>
      </c>
      <c r="BE53" s="27">
        <v>46035</v>
      </c>
      <c r="BF53" s="4">
        <v>5</v>
      </c>
      <c r="BG53" s="4">
        <v>5</v>
      </c>
      <c r="BH53" s="27">
        <v>46042</v>
      </c>
      <c r="BI53" s="4">
        <v>5</v>
      </c>
      <c r="BJ53" s="4">
        <v>5</v>
      </c>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4">
        <v>3</v>
      </c>
      <c r="CN53" s="4">
        <v>3</v>
      </c>
      <c r="CO53" s="27"/>
      <c r="CP53" s="4">
        <v>5</v>
      </c>
      <c r="CQ53" s="4">
        <v>5</v>
      </c>
      <c r="CR53" s="27"/>
      <c r="CS53" s="27"/>
      <c r="CT53" s="5">
        <v>120</v>
      </c>
      <c r="CU53" s="5">
        <v>120</v>
      </c>
      <c r="CV53" s="27">
        <v>46465</v>
      </c>
      <c r="CW53" s="5">
        <v>10</v>
      </c>
      <c r="CX53" s="5">
        <v>10</v>
      </c>
      <c r="CY53" s="27"/>
      <c r="CZ53" s="5">
        <v>0</v>
      </c>
      <c r="DA53" s="5">
        <v>0</v>
      </c>
      <c r="DB53" s="27">
        <v>46042</v>
      </c>
      <c r="DC53" s="31"/>
      <c r="DD53" s="31"/>
      <c r="DE53" s="31"/>
      <c r="DF53" s="4">
        <v>20</v>
      </c>
      <c r="DG53" s="4">
        <v>20</v>
      </c>
      <c r="DH53" s="27">
        <v>46493</v>
      </c>
      <c r="DI53" s="89">
        <v>1</v>
      </c>
      <c r="DJ53" s="4">
        <v>20</v>
      </c>
      <c r="DK53" s="4">
        <v>20</v>
      </c>
      <c r="DL53" s="27">
        <v>46521</v>
      </c>
      <c r="DM53" s="27"/>
      <c r="DN53" s="27"/>
      <c r="DO53" s="27"/>
      <c r="DP53" s="27"/>
      <c r="DQ53" s="27"/>
      <c r="DR53" s="27"/>
      <c r="DS53" s="27"/>
      <c r="DT53" s="27"/>
      <c r="DU53" s="27"/>
      <c r="DV53" s="27"/>
      <c r="DW53" s="27"/>
      <c r="DX53" s="27"/>
      <c r="DY53" s="27"/>
      <c r="DZ53" s="27"/>
      <c r="EA53" s="27"/>
      <c r="EB53" s="27"/>
      <c r="EC53" s="27"/>
      <c r="ED53" s="27"/>
      <c r="EE53" s="4">
        <v>0</v>
      </c>
      <c r="EF53" s="4">
        <v>0</v>
      </c>
      <c r="EG53" s="27">
        <v>46521</v>
      </c>
      <c r="EH53" s="4">
        <v>30</v>
      </c>
      <c r="EI53" s="4">
        <v>30</v>
      </c>
      <c r="EJ53" s="27">
        <v>46084</v>
      </c>
      <c r="EK53" s="27"/>
      <c r="EL53" s="27"/>
      <c r="EM53" s="27"/>
      <c r="EN53" s="27"/>
      <c r="EO53" s="27"/>
      <c r="EP53" s="27"/>
      <c r="EQ53" s="27"/>
      <c r="ER53" s="27"/>
      <c r="ES53" s="27"/>
      <c r="ET53" s="27"/>
      <c r="EU53" s="27"/>
      <c r="EV53" s="27"/>
      <c r="EW53" s="27"/>
      <c r="EX53" s="27"/>
      <c r="EY53" s="27"/>
      <c r="EZ53" s="4">
        <v>5</v>
      </c>
      <c r="FA53" s="4">
        <v>5</v>
      </c>
      <c r="FB53" s="27">
        <v>46528</v>
      </c>
      <c r="FC53" s="27"/>
      <c r="FD53" s="27"/>
      <c r="FE53" s="27"/>
      <c r="FF53" s="27"/>
      <c r="FG53" s="27"/>
      <c r="FH53" s="27"/>
      <c r="FI53" s="4">
        <v>15</v>
      </c>
      <c r="FJ53" s="4">
        <v>15</v>
      </c>
      <c r="FK53" s="27">
        <v>46549</v>
      </c>
      <c r="FL53" s="4">
        <v>0</v>
      </c>
      <c r="FM53" s="4">
        <v>0</v>
      </c>
      <c r="FN53" s="27">
        <v>46549</v>
      </c>
      <c r="FO53" s="4">
        <v>40</v>
      </c>
      <c r="FP53" s="4">
        <v>40</v>
      </c>
      <c r="FQ53" s="27">
        <v>46605</v>
      </c>
      <c r="FR53" s="27"/>
      <c r="FS53" s="109"/>
      <c r="FT53" s="54">
        <f>NETWORKDAYS($I54,FO54)</f>
        <v>566</v>
      </c>
      <c r="FU53" s="54">
        <f>NETWORKDAYS($I54,FP54)</f>
        <v>305</v>
      </c>
      <c r="FV53" s="54">
        <f>IF(FQ54="",NETWORKDAYS($I54,FP54),NETWORKDAYS($I54,FQ54))</f>
        <v>305</v>
      </c>
      <c r="FW53" s="55" t="s">
        <v>464</v>
      </c>
    </row>
    <row r="54" spans="1:179" x14ac:dyDescent="0.25">
      <c r="A54" s="23" t="s">
        <v>478</v>
      </c>
      <c r="B54" s="23">
        <v>132500</v>
      </c>
      <c r="C54" s="24" t="str">
        <f>VLOOKUP(B54,'[1]PM View-Mastersheet'!$A:$B,2,0)</f>
        <v>3060735-3</v>
      </c>
      <c r="D54" s="65"/>
      <c r="E54" s="23" t="str">
        <f>IF(D54="","Unknown",IF(D54&lt;=FM54+90,"Red",IF(AND(D54&gt;FM54+90,D54&lt;=FM54+180),"Yellow",IF(AND(D54&gt;FM54+180,D54&lt;=FM54+690),"Green","Covered"))))</f>
        <v>Unknown</v>
      </c>
      <c r="F54" s="25" t="s">
        <v>466</v>
      </c>
      <c r="G54" s="26"/>
      <c r="H54" s="26" t="str">
        <f>IF(CR54="","Pre-Execution","Execution")</f>
        <v>Execution</v>
      </c>
      <c r="I54" s="46">
        <v>45814</v>
      </c>
      <c r="J54" s="28"/>
      <c r="K54" s="28"/>
      <c r="L54" s="28"/>
      <c r="M54" s="10">
        <v>45853</v>
      </c>
      <c r="N54" s="10">
        <f>WORKDAY(I54,N53)</f>
        <v>45853</v>
      </c>
      <c r="O54" s="56">
        <v>45973</v>
      </c>
      <c r="P54" s="10">
        <v>45853</v>
      </c>
      <c r="Q54" s="10">
        <f>IF(O54="",WORKDAY(N54,Q53),WORKDAY(O54,Q53))</f>
        <v>45973</v>
      </c>
      <c r="R54" s="56">
        <v>45973</v>
      </c>
      <c r="S54" s="28"/>
      <c r="T54" s="28"/>
      <c r="U54" s="28"/>
      <c r="V54" s="10">
        <v>45895</v>
      </c>
      <c r="W54" s="10">
        <f>IF(R54="",WORKDAY(Q54,W53),WORKDAY(R54,W53))</f>
        <v>46015</v>
      </c>
      <c r="X54" s="56">
        <f>V54</f>
        <v>45895</v>
      </c>
      <c r="Y54" s="10">
        <v>45951</v>
      </c>
      <c r="Z54" s="10">
        <f>IF(R54="",WORKDAY(Q54,Z53),WORKDAY(R54,Z53))</f>
        <v>46071</v>
      </c>
      <c r="AA54" s="56"/>
      <c r="AB54" s="10">
        <v>45814</v>
      </c>
      <c r="AC54" s="10">
        <f>WORKDAY(I54,AC53)</f>
        <v>45814</v>
      </c>
      <c r="AD54" s="56"/>
      <c r="AE54" s="10">
        <v>45919</v>
      </c>
      <c r="AF54" s="10">
        <f>IF(AD54="",WORKDAY(AC54,AF53),WORKDAY(AD54,AF53))</f>
        <v>45919</v>
      </c>
      <c r="AG54" s="56">
        <v>45940</v>
      </c>
      <c r="AH54" s="10">
        <v>45951</v>
      </c>
      <c r="AI54" s="10">
        <f>WORKDAY(IF(AA54="",IF(Z54&gt;AF54,Z54,AF54),IF(AA54&gt;AG54,AA54,AG54)),AI53)</f>
        <v>46071</v>
      </c>
      <c r="AJ54" s="10">
        <f>WORKDAY(IF(AA54&gt;AG54,AA54,AG54),AJ53)</f>
        <v>45940</v>
      </c>
      <c r="AK54" s="10">
        <v>45979</v>
      </c>
      <c r="AL54" s="10">
        <f>IF(AJ54="",WORKDAY(AI54,AL53),WORKDAY(AJ54,AL53))</f>
        <v>45968</v>
      </c>
      <c r="AM54" s="10">
        <f>IF(AK54="",WORKDAY(AJ54,AM53),WORKDAY(AK54,AM53))</f>
        <v>45979</v>
      </c>
      <c r="AN54" s="10">
        <v>45979</v>
      </c>
      <c r="AO54" s="10">
        <v>45986</v>
      </c>
      <c r="AP54" s="10">
        <v>45986</v>
      </c>
      <c r="AQ54" s="10">
        <v>46007</v>
      </c>
      <c r="AR54" s="10">
        <v>46014</v>
      </c>
      <c r="AS54" s="56">
        <v>45940</v>
      </c>
      <c r="AT54" s="10">
        <v>45986</v>
      </c>
      <c r="AU54" s="10">
        <v>45993</v>
      </c>
      <c r="AV54" s="10">
        <v>45993</v>
      </c>
      <c r="AW54" s="10">
        <v>46021</v>
      </c>
      <c r="AX54" s="10">
        <f>IF(AS54="",IF(AR54&gt;AU54,WORKDAY(AR54,AX53),WORKDAY(AU54,AX53)),IF(AS54&gt;AV54,WORKDAY(AS54,AX53),WORKDAY(AV54,AX53)))</f>
        <v>46007</v>
      </c>
      <c r="AY54" s="10">
        <v>46028</v>
      </c>
      <c r="AZ54" s="10">
        <v>46021</v>
      </c>
      <c r="BA54" s="10">
        <f>IF(AP54="",WORKDAY(AO54,BA53),WORKDAY(AP54,BA53))</f>
        <v>46028</v>
      </c>
      <c r="BB54" s="56">
        <v>46028</v>
      </c>
      <c r="BC54" s="10">
        <v>46028</v>
      </c>
      <c r="BD54" s="10">
        <f>IF(AY54="",IF(AX54&gt;BA54,WORKDAY(AX54,BD53),WORKDAY(BA54,BD53)),IF(AY54&gt;BB54,WORKDAY(AY54,BD53),WORKDAY(BB54,BD53)))</f>
        <v>46035</v>
      </c>
      <c r="BE54" s="56">
        <v>46035</v>
      </c>
      <c r="BF54" s="10">
        <v>46035</v>
      </c>
      <c r="BG54" s="10">
        <f>IF(BE54="",WORKDAY(BD54,BG53),WORKDAY(BE54,BG53))</f>
        <v>46042</v>
      </c>
      <c r="BH54" s="56">
        <v>46042</v>
      </c>
      <c r="BI54" s="10">
        <v>46042</v>
      </c>
      <c r="BJ54" s="10">
        <f>IF(BH54="",WORKDAY(BG54,BJ53),WORKDAY(BH54,BJ53))</f>
        <v>46049</v>
      </c>
      <c r="BK54" s="56">
        <v>45814</v>
      </c>
      <c r="BL54" s="28"/>
      <c r="BM54" s="28"/>
      <c r="BN54" s="28"/>
      <c r="BO54" s="28"/>
      <c r="BP54" s="28"/>
      <c r="BQ54" s="28"/>
      <c r="BR54" s="28"/>
      <c r="BS54" s="28"/>
      <c r="BT54" s="28"/>
      <c r="BU54" s="28"/>
      <c r="BV54" s="28"/>
      <c r="BW54" s="28"/>
      <c r="BX54" s="46"/>
      <c r="BY54" s="28"/>
      <c r="BZ54" s="28"/>
      <c r="CA54" s="28"/>
      <c r="CB54" s="28"/>
      <c r="CC54" s="28"/>
      <c r="CD54" s="28"/>
      <c r="CE54" s="28"/>
      <c r="CF54" s="28"/>
      <c r="CG54" s="28"/>
      <c r="CH54" s="28"/>
      <c r="CI54" s="28"/>
      <c r="CJ54" s="28"/>
      <c r="CK54" s="28"/>
      <c r="CL54" s="28"/>
      <c r="CM54" s="10">
        <v>46045</v>
      </c>
      <c r="CN54" s="10">
        <f>IF(BK54="",WORKDAY(BJ54,CN53),WORKDAY(BK54,CN53))</f>
        <v>45819</v>
      </c>
      <c r="CO54" s="56">
        <v>46297</v>
      </c>
      <c r="CP54" s="10">
        <v>46052</v>
      </c>
      <c r="CQ54" s="10">
        <f>IF(CO54="",WORKDAY(CN54,CQ53),WORKDAY(CO54,CQ53))</f>
        <v>46304</v>
      </c>
      <c r="CR54" s="56">
        <v>46297</v>
      </c>
      <c r="CS54" s="77" t="s">
        <v>479</v>
      </c>
      <c r="CT54" s="10">
        <v>46465</v>
      </c>
      <c r="CU54" s="10">
        <f>IF(CR54="",WORKDAY(CQ54,CU53),WORKDAY(CR54,CU53))</f>
        <v>46465</v>
      </c>
      <c r="CV54" s="56">
        <v>46100</v>
      </c>
      <c r="CW54" s="10">
        <v>46035</v>
      </c>
      <c r="CX54" s="10">
        <f>IF(BB54="",WORKDAY(BA54,CX53),WORKDAY(BB54,CX53))</f>
        <v>46042</v>
      </c>
      <c r="CY54" s="56"/>
      <c r="CZ54" s="10">
        <v>46035</v>
      </c>
      <c r="DA54" s="10">
        <f>IF(CY54="",WORKDAY(CX54,DA53),WORKDAY(CY54,DA53))</f>
        <v>46042</v>
      </c>
      <c r="DB54" s="56">
        <v>46042</v>
      </c>
      <c r="DC54" s="45"/>
      <c r="DD54" s="45"/>
      <c r="DE54" s="45"/>
      <c r="DF54" s="10">
        <v>46493</v>
      </c>
      <c r="DG54" s="10">
        <f>IF($CV54="",IF($CU54&gt;$DA54,WORKDAY($CU54,DG53),WORKDAY($DA54,DG53)),IF($CV54&gt;$DB54,WORKDAY($CV54,DG53),WORKDAY($DB54,DG53)))</f>
        <v>46128</v>
      </c>
      <c r="DH54" s="56"/>
      <c r="DI54" s="46"/>
      <c r="DJ54" s="10">
        <v>46521</v>
      </c>
      <c r="DK54" s="10">
        <f>IF(DH54="",WORKDAY(DG54,DK53*$DI53),WORKDAY(DH54,DK53*$DI53))</f>
        <v>46156</v>
      </c>
      <c r="DL54" s="56"/>
      <c r="DM54" s="46"/>
      <c r="DN54" s="46"/>
      <c r="DO54" s="46"/>
      <c r="DP54" s="46"/>
      <c r="DQ54" s="46"/>
      <c r="DR54" s="46"/>
      <c r="DS54" s="46"/>
      <c r="DT54" s="46"/>
      <c r="DU54" s="46"/>
      <c r="DV54" s="46"/>
      <c r="DW54" s="46"/>
      <c r="DX54" s="46"/>
      <c r="DY54" s="46"/>
      <c r="DZ54" s="46"/>
      <c r="EA54" s="46"/>
      <c r="EB54" s="46"/>
      <c r="EC54" s="46"/>
      <c r="ED54" s="46"/>
      <c r="EE54" s="10">
        <v>46521</v>
      </c>
      <c r="EF54" s="10">
        <f>IF(DL54="",WORKDAY(DK54,EF53),WORKDAY(DL54,EF53))</f>
        <v>46156</v>
      </c>
      <c r="EG54" s="56"/>
      <c r="EH54" s="10">
        <v>46449</v>
      </c>
      <c r="EI54" s="10">
        <v>46449</v>
      </c>
      <c r="EJ54" s="56"/>
      <c r="EK54" s="27"/>
      <c r="EL54" s="27"/>
      <c r="EM54" s="27"/>
      <c r="EN54" s="27"/>
      <c r="EO54" s="28"/>
      <c r="EP54" s="28"/>
      <c r="EQ54" s="28"/>
      <c r="ER54" s="28"/>
      <c r="ES54" s="28"/>
      <c r="ET54" s="28"/>
      <c r="EU54" s="28"/>
      <c r="EV54" s="28"/>
      <c r="EW54" s="28"/>
      <c r="EX54" s="28"/>
      <c r="EY54" s="28"/>
      <c r="EZ54" s="10">
        <v>46528</v>
      </c>
      <c r="FA54" s="10">
        <f>IF(EG54="",WORKDAY(EF54,FA53),WORKDAY(EG54,FA53))</f>
        <v>46163</v>
      </c>
      <c r="FB54" s="56"/>
      <c r="FC54" s="28"/>
      <c r="FD54" s="28"/>
      <c r="FE54" s="28"/>
      <c r="FF54" s="28"/>
      <c r="FG54" s="28"/>
      <c r="FH54" s="28"/>
      <c r="FI54" s="10">
        <v>46549</v>
      </c>
      <c r="FJ54" s="10">
        <f>IF(FB54="",WORKDAY(FA54,FJ53),WORKDAY(FB54,FJ53))</f>
        <v>46184</v>
      </c>
      <c r="FK54" s="56"/>
      <c r="FL54" s="10">
        <v>46549</v>
      </c>
      <c r="FM54" s="10">
        <f>IF(FK54="",WORKDAY(FJ54,FM53),WORKDAY(FK54,FM53))</f>
        <v>46184</v>
      </c>
      <c r="FN54" s="56"/>
      <c r="FO54" s="10">
        <v>46605</v>
      </c>
      <c r="FP54" s="10">
        <f>WORKDAY(FM54,FP53)</f>
        <v>46240</v>
      </c>
      <c r="FQ54" s="56"/>
      <c r="FR54" s="77" t="str">
        <f>IF(NETWORKDAYS(FJ54,FO54)&gt;=30,"On-Track",IF(AND(NETWORKDAYS(FJ54,FO54)&lt;30,FJ54&lt;=FO54),"At Risk","Missed TCD"))</f>
        <v>On-Track</v>
      </c>
      <c r="FS54" s="110" t="s">
        <v>480</v>
      </c>
      <c r="FT54" s="57">
        <f>NETWORKDAYS(CP54,FI54)</f>
        <v>356</v>
      </c>
      <c r="FU54" s="57">
        <f>NETWORKDAYS(CQ54,FJ54)</f>
        <v>-87</v>
      </c>
      <c r="FV54" s="57">
        <f>IF(BH54="",NETWORKDAYS(BG54,FJ54),IF(FK54="",NETWORKDAYS(BH54,FJ54),NETWORKDAYS(BH54,FK54)))</f>
        <v>103</v>
      </c>
      <c r="FW54" s="58" t="s">
        <v>467</v>
      </c>
    </row>
    <row r="55" spans="1:179" outlineLevel="1" x14ac:dyDescent="0.25">
      <c r="A55" s="23" t="s">
        <v>478</v>
      </c>
      <c r="B55" s="23">
        <v>132507</v>
      </c>
      <c r="C55" s="24" t="str">
        <f>VLOOKUP(B55,'[1]PM View-Mastersheet'!$A:$B,2,0)</f>
        <v>3074135-5</v>
      </c>
      <c r="D55" s="95"/>
      <c r="E55" s="24"/>
      <c r="F55" s="25" t="s">
        <v>463</v>
      </c>
      <c r="G55" s="26"/>
      <c r="H55" s="26"/>
      <c r="I55" s="27"/>
      <c r="J55" s="27"/>
      <c r="K55" s="27"/>
      <c r="L55" s="27"/>
      <c r="M55" s="4">
        <v>27</v>
      </c>
      <c r="N55" s="4">
        <v>27</v>
      </c>
      <c r="O55" s="27"/>
      <c r="P55" s="4">
        <v>0</v>
      </c>
      <c r="Q55" s="4">
        <v>0</v>
      </c>
      <c r="R55" s="27"/>
      <c r="S55" s="27"/>
      <c r="T55" s="27"/>
      <c r="U55" s="27"/>
      <c r="V55" s="4">
        <v>30</v>
      </c>
      <c r="W55" s="4">
        <v>30</v>
      </c>
      <c r="X55" s="27"/>
      <c r="Y55" s="4">
        <v>70</v>
      </c>
      <c r="Z55" s="4">
        <v>70</v>
      </c>
      <c r="AA55" s="27"/>
      <c r="AB55" s="4">
        <v>0</v>
      </c>
      <c r="AC55" s="4">
        <v>0</v>
      </c>
      <c r="AD55" s="27"/>
      <c r="AE55" s="4">
        <v>75</v>
      </c>
      <c r="AF55" s="4">
        <v>75</v>
      </c>
      <c r="AG55" s="27"/>
      <c r="AH55" s="4">
        <v>0</v>
      </c>
      <c r="AI55" s="4">
        <v>0</v>
      </c>
      <c r="AJ55" s="27"/>
      <c r="AK55" s="4">
        <v>20</v>
      </c>
      <c r="AL55" s="4">
        <v>20</v>
      </c>
      <c r="AM55" s="27"/>
      <c r="AN55" s="4">
        <v>0</v>
      </c>
      <c r="AO55" s="4">
        <v>0</v>
      </c>
      <c r="AP55" s="27"/>
      <c r="AQ55" s="4">
        <v>20</v>
      </c>
      <c r="AR55" s="4">
        <v>20</v>
      </c>
      <c r="AS55" s="27"/>
      <c r="AT55" s="4">
        <v>5</v>
      </c>
      <c r="AU55" s="4">
        <v>45993</v>
      </c>
      <c r="AV55" s="27">
        <v>45993</v>
      </c>
      <c r="AW55" s="4">
        <v>10</v>
      </c>
      <c r="AX55" s="4">
        <v>10</v>
      </c>
      <c r="AY55" s="27">
        <v>46028</v>
      </c>
      <c r="AZ55" s="4">
        <v>30</v>
      </c>
      <c r="BA55" s="4">
        <v>30</v>
      </c>
      <c r="BB55" s="27">
        <v>46028</v>
      </c>
      <c r="BC55" s="4">
        <v>5</v>
      </c>
      <c r="BD55" s="4">
        <v>5</v>
      </c>
      <c r="BE55" s="27">
        <v>46035</v>
      </c>
      <c r="BF55" s="4">
        <v>5</v>
      </c>
      <c r="BG55" s="4">
        <v>5</v>
      </c>
      <c r="BH55" s="27">
        <v>46042</v>
      </c>
      <c r="BI55" s="4">
        <v>5</v>
      </c>
      <c r="BJ55" s="4">
        <v>5</v>
      </c>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4">
        <v>3</v>
      </c>
      <c r="CN55" s="4">
        <v>3</v>
      </c>
      <c r="CO55" s="27"/>
      <c r="CP55" s="4">
        <v>5</v>
      </c>
      <c r="CQ55" s="4">
        <v>5</v>
      </c>
      <c r="CR55" s="27"/>
      <c r="CS55" s="27"/>
      <c r="CT55" s="5">
        <v>120</v>
      </c>
      <c r="CU55" s="5">
        <v>120</v>
      </c>
      <c r="CV55" s="27">
        <v>46465</v>
      </c>
      <c r="CW55" s="5">
        <v>10</v>
      </c>
      <c r="CX55" s="5">
        <v>10</v>
      </c>
      <c r="CY55" s="27"/>
      <c r="CZ55" s="5">
        <v>0</v>
      </c>
      <c r="DA55" s="5">
        <v>0</v>
      </c>
      <c r="DB55" s="27">
        <v>46042</v>
      </c>
      <c r="DC55" s="31"/>
      <c r="DD55" s="31"/>
      <c r="DE55" s="31"/>
      <c r="DF55" s="4">
        <v>20</v>
      </c>
      <c r="DG55" s="4">
        <v>20</v>
      </c>
      <c r="DH55" s="27">
        <v>46493</v>
      </c>
      <c r="DI55" s="89">
        <v>1</v>
      </c>
      <c r="DJ55" s="4">
        <v>20</v>
      </c>
      <c r="DK55" s="4">
        <v>20</v>
      </c>
      <c r="DL55" s="27">
        <v>46521</v>
      </c>
      <c r="DM55" s="27"/>
      <c r="DN55" s="27"/>
      <c r="DO55" s="27"/>
      <c r="DP55" s="27"/>
      <c r="DQ55" s="27"/>
      <c r="DR55" s="27"/>
      <c r="DS55" s="27"/>
      <c r="DT55" s="27"/>
      <c r="DU55" s="27"/>
      <c r="DV55" s="27"/>
      <c r="DW55" s="27"/>
      <c r="DX55" s="27"/>
      <c r="DY55" s="27"/>
      <c r="DZ55" s="27"/>
      <c r="EA55" s="27"/>
      <c r="EB55" s="27"/>
      <c r="EC55" s="27"/>
      <c r="ED55" s="27"/>
      <c r="EE55" s="4">
        <v>0</v>
      </c>
      <c r="EF55" s="4">
        <v>0</v>
      </c>
      <c r="EG55" s="27">
        <v>46521</v>
      </c>
      <c r="EH55" s="4">
        <v>30</v>
      </c>
      <c r="EI55" s="4">
        <v>30</v>
      </c>
      <c r="EJ55" s="27">
        <v>46084</v>
      </c>
      <c r="EK55" s="27"/>
      <c r="EL55" s="27"/>
      <c r="EM55" s="27"/>
      <c r="EN55" s="27"/>
      <c r="EO55" s="27"/>
      <c r="EP55" s="27"/>
      <c r="EQ55" s="27"/>
      <c r="ER55" s="27"/>
      <c r="ES55" s="27"/>
      <c r="ET55" s="27"/>
      <c r="EU55" s="27"/>
      <c r="EV55" s="27"/>
      <c r="EW55" s="27"/>
      <c r="EX55" s="27"/>
      <c r="EY55" s="27"/>
      <c r="EZ55" s="4">
        <v>5</v>
      </c>
      <c r="FA55" s="4">
        <v>5</v>
      </c>
      <c r="FB55" s="27">
        <v>46528</v>
      </c>
      <c r="FC55" s="27"/>
      <c r="FD55" s="27"/>
      <c r="FE55" s="27"/>
      <c r="FF55" s="27"/>
      <c r="FG55" s="27"/>
      <c r="FH55" s="27"/>
      <c r="FI55" s="4">
        <v>15</v>
      </c>
      <c r="FJ55" s="4">
        <v>15</v>
      </c>
      <c r="FK55" s="27">
        <v>46549</v>
      </c>
      <c r="FL55" s="4">
        <v>0</v>
      </c>
      <c r="FM55" s="4">
        <v>0</v>
      </c>
      <c r="FN55" s="27">
        <v>46549</v>
      </c>
      <c r="FO55" s="4">
        <v>40</v>
      </c>
      <c r="FP55" s="4">
        <v>40</v>
      </c>
      <c r="FQ55" s="27">
        <v>46605</v>
      </c>
      <c r="FR55" s="27"/>
      <c r="FS55" s="109"/>
      <c r="FT55" s="54">
        <f>NETWORKDAYS($I56,FO56)</f>
        <v>566</v>
      </c>
      <c r="FU55" s="54">
        <f>NETWORKDAYS($I56,FP56)</f>
        <v>305</v>
      </c>
      <c r="FV55" s="54">
        <f>IF(FQ56="",NETWORKDAYS($I56,FP56),NETWORKDAYS($I56,FQ56))</f>
        <v>305</v>
      </c>
      <c r="FW55" s="55" t="s">
        <v>464</v>
      </c>
    </row>
    <row r="56" spans="1:179" x14ac:dyDescent="0.25">
      <c r="A56" s="23" t="s">
        <v>478</v>
      </c>
      <c r="B56" s="23">
        <v>132507</v>
      </c>
      <c r="C56" s="24" t="str">
        <f>VLOOKUP(B56,'[1]PM View-Mastersheet'!$A:$B,2,0)</f>
        <v>3074135-5</v>
      </c>
      <c r="D56" s="65"/>
      <c r="E56" s="23" t="str">
        <f>IF(D56="","Unknown",IF(D56&lt;=FM56+90,"Red",IF(AND(D56&gt;FM56+90,D56&lt;=FM56+180),"Yellow",IF(AND(D56&gt;FM56+180,D56&lt;=FM56+690),"Green","Covered"))))</f>
        <v>Unknown</v>
      </c>
      <c r="F56" s="25" t="s">
        <v>466</v>
      </c>
      <c r="G56" s="26"/>
      <c r="H56" s="26" t="str">
        <f>IF(CR56="","Pre-Execution","Execution")</f>
        <v>Execution</v>
      </c>
      <c r="I56" s="46">
        <v>45814</v>
      </c>
      <c r="J56" s="28"/>
      <c r="K56" s="28"/>
      <c r="L56" s="28"/>
      <c r="M56" s="10">
        <v>45853</v>
      </c>
      <c r="N56" s="10">
        <f>WORKDAY(I56,N55)</f>
        <v>45853</v>
      </c>
      <c r="O56" s="56">
        <v>45973</v>
      </c>
      <c r="P56" s="10">
        <v>45853</v>
      </c>
      <c r="Q56" s="10">
        <f>IF(O56="",WORKDAY(N56,Q55),WORKDAY(O56,Q55))</f>
        <v>45973</v>
      </c>
      <c r="R56" s="56">
        <v>45973</v>
      </c>
      <c r="S56" s="28"/>
      <c r="T56" s="28"/>
      <c r="U56" s="28"/>
      <c r="V56" s="10">
        <v>45895</v>
      </c>
      <c r="W56" s="10">
        <f>IF(R56="",WORKDAY(Q56,W55),WORKDAY(R56,W55))</f>
        <v>46015</v>
      </c>
      <c r="X56" s="56">
        <f>V56</f>
        <v>45895</v>
      </c>
      <c r="Y56" s="10">
        <v>45951</v>
      </c>
      <c r="Z56" s="10">
        <f>IF(R56="",WORKDAY(Q56,Z55),WORKDAY(R56,Z55))</f>
        <v>46071</v>
      </c>
      <c r="AA56" s="56"/>
      <c r="AB56" s="10">
        <v>45814</v>
      </c>
      <c r="AC56" s="10">
        <f>WORKDAY(I56,AC55)</f>
        <v>45814</v>
      </c>
      <c r="AD56" s="56"/>
      <c r="AE56" s="10">
        <v>45919</v>
      </c>
      <c r="AF56" s="10">
        <f>IF(AD56="",WORKDAY(AC56,AF55),WORKDAY(AD56,AF55))</f>
        <v>45919</v>
      </c>
      <c r="AG56" s="56">
        <v>45940</v>
      </c>
      <c r="AH56" s="10">
        <v>45951</v>
      </c>
      <c r="AI56" s="10">
        <f>WORKDAY(IF(AA56="",IF(Z56&gt;AF56,Z56,AF56),IF(AA56&gt;AG56,AA56,AG56)),AI55)</f>
        <v>46071</v>
      </c>
      <c r="AJ56" s="10">
        <f>WORKDAY(IF(AA56&gt;AG56,AA56,AG56),AJ55)</f>
        <v>45940</v>
      </c>
      <c r="AK56" s="10">
        <v>45979</v>
      </c>
      <c r="AL56" s="10">
        <f>IF(AJ56="",WORKDAY(AI56,AL55),WORKDAY(AJ56,AL55))</f>
        <v>45968</v>
      </c>
      <c r="AM56" s="10">
        <f>IF(AK56="",WORKDAY(AJ56,AM55),WORKDAY(AK56,AM55))</f>
        <v>45979</v>
      </c>
      <c r="AN56" s="10">
        <v>45979</v>
      </c>
      <c r="AO56" s="10">
        <v>45986</v>
      </c>
      <c r="AP56" s="10">
        <v>45986</v>
      </c>
      <c r="AQ56" s="10">
        <v>46007</v>
      </c>
      <c r="AR56" s="10">
        <v>46014</v>
      </c>
      <c r="AS56" s="56">
        <v>45940</v>
      </c>
      <c r="AT56" s="10">
        <v>45986</v>
      </c>
      <c r="AU56" s="10">
        <v>45993</v>
      </c>
      <c r="AV56" s="10">
        <v>45993</v>
      </c>
      <c r="AW56" s="10">
        <v>46021</v>
      </c>
      <c r="AX56" s="10">
        <f>IF(AS56="",IF(AR56&gt;AU56,WORKDAY(AR56,AX55),WORKDAY(AU56,AX55)),IF(AS56&gt;AV56,WORKDAY(AS56,AX55),WORKDAY(AV56,AX55)))</f>
        <v>46007</v>
      </c>
      <c r="AY56" s="10">
        <v>46028</v>
      </c>
      <c r="AZ56" s="10">
        <v>46021</v>
      </c>
      <c r="BA56" s="10">
        <f>IF(AP56="",WORKDAY(AO56,BA55),WORKDAY(AP56,BA55))</f>
        <v>46028</v>
      </c>
      <c r="BB56" s="56">
        <v>46028</v>
      </c>
      <c r="BC56" s="10">
        <v>46028</v>
      </c>
      <c r="BD56" s="10">
        <f>IF(AY56="",IF(AX56&gt;BA56,WORKDAY(AX56,BD55),WORKDAY(BA56,BD55)),IF(AY56&gt;BB56,WORKDAY(AY56,BD55),WORKDAY(BB56,BD55)))</f>
        <v>46035</v>
      </c>
      <c r="BE56" s="56">
        <v>46035</v>
      </c>
      <c r="BF56" s="10">
        <v>46035</v>
      </c>
      <c r="BG56" s="10">
        <f>IF(BE56="",WORKDAY(BD56,BG55),WORKDAY(BE56,BG55))</f>
        <v>46042</v>
      </c>
      <c r="BH56" s="56">
        <v>46042</v>
      </c>
      <c r="BI56" s="10">
        <v>46042</v>
      </c>
      <c r="BJ56" s="10">
        <f>IF(BH56="",WORKDAY(BG56,BJ55),WORKDAY(BH56,BJ55))</f>
        <v>46049</v>
      </c>
      <c r="BK56" s="56">
        <v>45814</v>
      </c>
      <c r="BL56" s="28"/>
      <c r="BM56" s="28"/>
      <c r="BN56" s="28"/>
      <c r="BO56" s="28"/>
      <c r="BP56" s="28"/>
      <c r="BQ56" s="28"/>
      <c r="BR56" s="28"/>
      <c r="BS56" s="28"/>
      <c r="BT56" s="28"/>
      <c r="BU56" s="28"/>
      <c r="BV56" s="28"/>
      <c r="BW56" s="28"/>
      <c r="BX56" s="46"/>
      <c r="BY56" s="28"/>
      <c r="BZ56" s="28"/>
      <c r="CA56" s="28"/>
      <c r="CB56" s="28"/>
      <c r="CC56" s="28"/>
      <c r="CD56" s="28"/>
      <c r="CE56" s="28"/>
      <c r="CF56" s="28"/>
      <c r="CG56" s="28"/>
      <c r="CH56" s="28"/>
      <c r="CI56" s="28"/>
      <c r="CJ56" s="28"/>
      <c r="CK56" s="28"/>
      <c r="CL56" s="28"/>
      <c r="CM56" s="10">
        <v>46045</v>
      </c>
      <c r="CN56" s="10">
        <f>IF(BK56="",WORKDAY(BJ56,CN55),WORKDAY(BK56,CN55))</f>
        <v>45819</v>
      </c>
      <c r="CO56" s="56">
        <v>46297</v>
      </c>
      <c r="CP56" s="10">
        <v>46052</v>
      </c>
      <c r="CQ56" s="10">
        <f>IF(CO56="",WORKDAY(CN56,CQ55),WORKDAY(CO56,CQ55))</f>
        <v>46304</v>
      </c>
      <c r="CR56" s="56">
        <v>46297</v>
      </c>
      <c r="CS56" s="77" t="s">
        <v>479</v>
      </c>
      <c r="CT56" s="10">
        <v>46465</v>
      </c>
      <c r="CU56" s="10">
        <f>IF(CR56="",WORKDAY(CQ56,CU55),WORKDAY(CR56,CU55))</f>
        <v>46465</v>
      </c>
      <c r="CV56" s="56">
        <v>46100</v>
      </c>
      <c r="CW56" s="10">
        <v>46035</v>
      </c>
      <c r="CX56" s="10">
        <f>IF(BB56="",WORKDAY(BA56,CX55),WORKDAY(BB56,CX55))</f>
        <v>46042</v>
      </c>
      <c r="CY56" s="56"/>
      <c r="CZ56" s="10">
        <v>46035</v>
      </c>
      <c r="DA56" s="10">
        <f>IF(CY56="",WORKDAY(CX56,DA55),WORKDAY(CY56,DA55))</f>
        <v>46042</v>
      </c>
      <c r="DB56" s="56">
        <v>46042</v>
      </c>
      <c r="DC56" s="45"/>
      <c r="DD56" s="45"/>
      <c r="DE56" s="45"/>
      <c r="DF56" s="10">
        <v>46493</v>
      </c>
      <c r="DG56" s="10">
        <f>IF($CV56="",IF($CU56&gt;$DA56,WORKDAY($CU56,DG55),WORKDAY($DA56,DG55)),IF($CV56&gt;$DB56,WORKDAY($CV56,DG55),WORKDAY($DB56,DG55)))</f>
        <v>46128</v>
      </c>
      <c r="DH56" s="56"/>
      <c r="DI56" s="46"/>
      <c r="DJ56" s="10">
        <v>46521</v>
      </c>
      <c r="DK56" s="10">
        <f>IF(DH56="",WORKDAY(DG56,DK55*$DI55),WORKDAY(DH56,DK55*$DI55))</f>
        <v>46156</v>
      </c>
      <c r="DL56" s="56"/>
      <c r="DM56" s="46"/>
      <c r="DN56" s="46"/>
      <c r="DO56" s="46"/>
      <c r="DP56" s="46"/>
      <c r="DQ56" s="46"/>
      <c r="DR56" s="46"/>
      <c r="DS56" s="46"/>
      <c r="DT56" s="46"/>
      <c r="DU56" s="46"/>
      <c r="DV56" s="46"/>
      <c r="DW56" s="46"/>
      <c r="DX56" s="46"/>
      <c r="DY56" s="46"/>
      <c r="DZ56" s="46"/>
      <c r="EA56" s="46"/>
      <c r="EB56" s="46"/>
      <c r="EC56" s="46"/>
      <c r="ED56" s="46"/>
      <c r="EE56" s="10">
        <v>46521</v>
      </c>
      <c r="EF56" s="10">
        <f>IF(DL56="",WORKDAY(DK56,EF55),WORKDAY(DL56,EF55))</f>
        <v>46156</v>
      </c>
      <c r="EG56" s="56"/>
      <c r="EH56" s="10">
        <v>46449</v>
      </c>
      <c r="EI56" s="10">
        <v>46449</v>
      </c>
      <c r="EJ56" s="56"/>
      <c r="EK56" s="27"/>
      <c r="EL56" s="27"/>
      <c r="EM56" s="27"/>
      <c r="EN56" s="27"/>
      <c r="EO56" s="28"/>
      <c r="EP56" s="28"/>
      <c r="EQ56" s="28"/>
      <c r="ER56" s="28"/>
      <c r="ES56" s="28"/>
      <c r="ET56" s="28"/>
      <c r="EU56" s="28"/>
      <c r="EV56" s="28"/>
      <c r="EW56" s="28"/>
      <c r="EX56" s="28"/>
      <c r="EY56" s="28"/>
      <c r="EZ56" s="10">
        <v>46528</v>
      </c>
      <c r="FA56" s="10">
        <f>IF(EG56="",WORKDAY(EF56,FA55),WORKDAY(EG56,FA55))</f>
        <v>46163</v>
      </c>
      <c r="FB56" s="56"/>
      <c r="FC56" s="28"/>
      <c r="FD56" s="28"/>
      <c r="FE56" s="28"/>
      <c r="FF56" s="28"/>
      <c r="FG56" s="28"/>
      <c r="FH56" s="28"/>
      <c r="FI56" s="10">
        <v>46549</v>
      </c>
      <c r="FJ56" s="10">
        <f>IF(FB56="",WORKDAY(FA56,FJ55),WORKDAY(FB56,FJ55))</f>
        <v>46184</v>
      </c>
      <c r="FK56" s="56"/>
      <c r="FL56" s="10">
        <v>46549</v>
      </c>
      <c r="FM56" s="10">
        <f>IF(FK56="",WORKDAY(FJ56,FM55),WORKDAY(FK56,FM55))</f>
        <v>46184</v>
      </c>
      <c r="FN56" s="56"/>
      <c r="FO56" s="10">
        <v>46605</v>
      </c>
      <c r="FP56" s="10">
        <f>WORKDAY(FM56,FP55)</f>
        <v>46240</v>
      </c>
      <c r="FQ56" s="56"/>
      <c r="FR56" s="77" t="str">
        <f>IF(NETWORKDAYS(FJ56,FO56)&gt;=30,"On-Track",IF(AND(NETWORKDAYS(FJ56,FO56)&lt;30,FJ56&lt;=FO56),"At Risk","Missed TCD"))</f>
        <v>On-Track</v>
      </c>
      <c r="FS56" s="110" t="s">
        <v>480</v>
      </c>
      <c r="FT56" s="57">
        <f>NETWORKDAYS(CP56,FI56)</f>
        <v>356</v>
      </c>
      <c r="FU56" s="57">
        <f>NETWORKDAYS(CQ56,FJ56)</f>
        <v>-87</v>
      </c>
      <c r="FV56" s="57">
        <f>IF(BH56="",NETWORKDAYS(BG56,FJ56),IF(FK56="",NETWORKDAYS(BH56,FJ56),NETWORKDAYS(BH56,FK56)))</f>
        <v>103</v>
      </c>
      <c r="FW56" s="58" t="s">
        <v>467</v>
      </c>
    </row>
    <row r="57" spans="1:179" outlineLevel="1" x14ac:dyDescent="0.25">
      <c r="A57" s="23" t="s">
        <v>478</v>
      </c>
      <c r="B57" s="23">
        <v>132514</v>
      </c>
      <c r="C57" s="24" t="str">
        <f>VLOOKUP(B57,'[1]PM View-Mastersheet'!$A:$B,2,0)</f>
        <v>897476-8</v>
      </c>
      <c r="D57" s="95"/>
      <c r="E57" s="24"/>
      <c r="F57" s="25" t="s">
        <v>463</v>
      </c>
      <c r="G57" s="26"/>
      <c r="H57" s="26"/>
      <c r="I57" s="27"/>
      <c r="J57" s="27"/>
      <c r="K57" s="27"/>
      <c r="L57" s="27"/>
      <c r="M57" s="4">
        <v>27</v>
      </c>
      <c r="N57" s="4">
        <v>27</v>
      </c>
      <c r="O57" s="27"/>
      <c r="P57" s="4">
        <v>0</v>
      </c>
      <c r="Q57" s="4">
        <v>0</v>
      </c>
      <c r="R57" s="27"/>
      <c r="S57" s="27"/>
      <c r="T57" s="27"/>
      <c r="U57" s="27"/>
      <c r="V57" s="4">
        <v>30</v>
      </c>
      <c r="W57" s="4">
        <v>30</v>
      </c>
      <c r="X57" s="27"/>
      <c r="Y57" s="4">
        <v>70</v>
      </c>
      <c r="Z57" s="4">
        <v>70</v>
      </c>
      <c r="AA57" s="27"/>
      <c r="AB57" s="4">
        <v>0</v>
      </c>
      <c r="AC57" s="4">
        <v>0</v>
      </c>
      <c r="AD57" s="27"/>
      <c r="AE57" s="4">
        <v>75</v>
      </c>
      <c r="AF57" s="4">
        <v>75</v>
      </c>
      <c r="AG57" s="27"/>
      <c r="AH57" s="4">
        <v>0</v>
      </c>
      <c r="AI57" s="4">
        <v>0</v>
      </c>
      <c r="AJ57" s="27"/>
      <c r="AK57" s="4">
        <v>20</v>
      </c>
      <c r="AL57" s="4">
        <v>20</v>
      </c>
      <c r="AM57" s="27"/>
      <c r="AN57" s="4">
        <v>0</v>
      </c>
      <c r="AO57" s="4">
        <v>0</v>
      </c>
      <c r="AP57" s="27"/>
      <c r="AQ57" s="4">
        <v>20</v>
      </c>
      <c r="AR57" s="4">
        <v>20</v>
      </c>
      <c r="AS57" s="27"/>
      <c r="AT57" s="4">
        <v>5</v>
      </c>
      <c r="AU57" s="4">
        <v>45993</v>
      </c>
      <c r="AV57" s="27">
        <v>45993</v>
      </c>
      <c r="AW57" s="4">
        <v>10</v>
      </c>
      <c r="AX57" s="4">
        <v>10</v>
      </c>
      <c r="AY57" s="27">
        <v>46028</v>
      </c>
      <c r="AZ57" s="4">
        <v>30</v>
      </c>
      <c r="BA57" s="4">
        <v>30</v>
      </c>
      <c r="BB57" s="27">
        <v>46028</v>
      </c>
      <c r="BC57" s="4">
        <v>5</v>
      </c>
      <c r="BD57" s="4">
        <v>5</v>
      </c>
      <c r="BE57" s="27">
        <v>46035</v>
      </c>
      <c r="BF57" s="4">
        <v>5</v>
      </c>
      <c r="BG57" s="4">
        <v>5</v>
      </c>
      <c r="BH57" s="27">
        <v>46042</v>
      </c>
      <c r="BI57" s="4">
        <v>5</v>
      </c>
      <c r="BJ57" s="4">
        <v>5</v>
      </c>
      <c r="BK57" s="27"/>
      <c r="BL57" s="27"/>
      <c r="BM57" s="27"/>
      <c r="BN57" s="27"/>
      <c r="BO57" s="27"/>
      <c r="BP57" s="27"/>
      <c r="BQ57" s="27"/>
      <c r="BR57" s="27"/>
      <c r="BS57" s="27"/>
      <c r="BT57" s="27"/>
      <c r="BU57" s="27"/>
      <c r="BV57" s="27"/>
      <c r="BW57" s="27"/>
      <c r="BX57" s="27"/>
      <c r="BY57" s="27"/>
      <c r="BZ57" s="27"/>
      <c r="CA57" s="27"/>
      <c r="CB57" s="27"/>
      <c r="CC57" s="27"/>
      <c r="CD57" s="27"/>
      <c r="CE57" s="27"/>
      <c r="CF57" s="27"/>
      <c r="CG57" s="27"/>
      <c r="CH57" s="27"/>
      <c r="CI57" s="27"/>
      <c r="CJ57" s="27"/>
      <c r="CK57" s="27"/>
      <c r="CL57" s="27"/>
      <c r="CM57" s="4">
        <v>3</v>
      </c>
      <c r="CN57" s="4">
        <v>3</v>
      </c>
      <c r="CO57" s="27"/>
      <c r="CP57" s="4">
        <v>5</v>
      </c>
      <c r="CQ57" s="4">
        <v>5</v>
      </c>
      <c r="CR57" s="27"/>
      <c r="CS57" s="27"/>
      <c r="CT57" s="5">
        <v>120</v>
      </c>
      <c r="CU57" s="5">
        <v>120</v>
      </c>
      <c r="CV57" s="27">
        <v>46465</v>
      </c>
      <c r="CW57" s="5">
        <v>10</v>
      </c>
      <c r="CX57" s="5">
        <v>10</v>
      </c>
      <c r="CY57" s="27"/>
      <c r="CZ57" s="5">
        <v>0</v>
      </c>
      <c r="DA57" s="5">
        <v>0</v>
      </c>
      <c r="DB57" s="27">
        <v>46042</v>
      </c>
      <c r="DC57" s="31"/>
      <c r="DD57" s="31"/>
      <c r="DE57" s="31"/>
      <c r="DF57" s="4">
        <v>20</v>
      </c>
      <c r="DG57" s="4">
        <v>20</v>
      </c>
      <c r="DH57" s="27">
        <v>46493</v>
      </c>
      <c r="DI57" s="89">
        <v>1</v>
      </c>
      <c r="DJ57" s="4">
        <v>20</v>
      </c>
      <c r="DK57" s="4">
        <v>20</v>
      </c>
      <c r="DL57" s="27">
        <v>46521</v>
      </c>
      <c r="DM57" s="27"/>
      <c r="DN57" s="27"/>
      <c r="DO57" s="27"/>
      <c r="DP57" s="27"/>
      <c r="DQ57" s="27"/>
      <c r="DR57" s="27"/>
      <c r="DS57" s="27"/>
      <c r="DT57" s="27"/>
      <c r="DU57" s="27"/>
      <c r="DV57" s="27"/>
      <c r="DW57" s="27"/>
      <c r="DX57" s="27"/>
      <c r="DY57" s="27"/>
      <c r="DZ57" s="27"/>
      <c r="EA57" s="27"/>
      <c r="EB57" s="27"/>
      <c r="EC57" s="27"/>
      <c r="ED57" s="27"/>
      <c r="EE57" s="4">
        <v>0</v>
      </c>
      <c r="EF57" s="4">
        <v>0</v>
      </c>
      <c r="EG57" s="27">
        <v>46521</v>
      </c>
      <c r="EH57" s="4">
        <v>30</v>
      </c>
      <c r="EI57" s="4">
        <v>30</v>
      </c>
      <c r="EJ57" s="27">
        <v>46084</v>
      </c>
      <c r="EK57" s="27"/>
      <c r="EL57" s="27"/>
      <c r="EM57" s="27"/>
      <c r="EN57" s="27"/>
      <c r="EO57" s="27"/>
      <c r="EP57" s="27"/>
      <c r="EQ57" s="27"/>
      <c r="ER57" s="27"/>
      <c r="ES57" s="27"/>
      <c r="ET57" s="27"/>
      <c r="EU57" s="27"/>
      <c r="EV57" s="27"/>
      <c r="EW57" s="27"/>
      <c r="EX57" s="27"/>
      <c r="EY57" s="27"/>
      <c r="EZ57" s="4">
        <v>5</v>
      </c>
      <c r="FA57" s="4">
        <v>5</v>
      </c>
      <c r="FB57" s="27">
        <v>46528</v>
      </c>
      <c r="FC57" s="27"/>
      <c r="FD57" s="27"/>
      <c r="FE57" s="27"/>
      <c r="FF57" s="27"/>
      <c r="FG57" s="27"/>
      <c r="FH57" s="27"/>
      <c r="FI57" s="4">
        <v>15</v>
      </c>
      <c r="FJ57" s="4">
        <v>15</v>
      </c>
      <c r="FK57" s="27">
        <v>46549</v>
      </c>
      <c r="FL57" s="4">
        <v>0</v>
      </c>
      <c r="FM57" s="4">
        <v>0</v>
      </c>
      <c r="FN57" s="27">
        <v>46549</v>
      </c>
      <c r="FO57" s="4">
        <v>40</v>
      </c>
      <c r="FP57" s="4">
        <v>40</v>
      </c>
      <c r="FQ57" s="27">
        <v>46605</v>
      </c>
      <c r="FR57" s="27"/>
      <c r="FS57" s="109"/>
      <c r="FT57" s="54">
        <f>NETWORKDAYS($I58,FO58)</f>
        <v>566</v>
      </c>
      <c r="FU57" s="54">
        <f>NETWORKDAYS($I58,FP58)</f>
        <v>305</v>
      </c>
      <c r="FV57" s="54">
        <f>IF(FQ58="",NETWORKDAYS($I58,FP58),NETWORKDAYS($I58,FQ58))</f>
        <v>305</v>
      </c>
      <c r="FW57" s="55" t="s">
        <v>464</v>
      </c>
    </row>
    <row r="58" spans="1:179" x14ac:dyDescent="0.25">
      <c r="A58" s="23" t="s">
        <v>478</v>
      </c>
      <c r="B58" s="23">
        <v>132514</v>
      </c>
      <c r="C58" s="24" t="str">
        <f>VLOOKUP(B58,'[1]PM View-Mastersheet'!$A:$B,2,0)</f>
        <v>897476-8</v>
      </c>
      <c r="D58" s="65"/>
      <c r="E58" s="23" t="str">
        <f>IF(D58="","Unknown",IF(D58&lt;=FM58+90,"Red",IF(AND(D58&gt;FM58+90,D58&lt;=FM58+180),"Yellow",IF(AND(D58&gt;FM58+180,D58&lt;=FM58+690),"Green","Covered"))))</f>
        <v>Unknown</v>
      </c>
      <c r="F58" s="25" t="s">
        <v>466</v>
      </c>
      <c r="G58" s="26"/>
      <c r="H58" s="26" t="str">
        <f>IF(CR58="","Pre-Execution","Execution")</f>
        <v>Execution</v>
      </c>
      <c r="I58" s="46">
        <v>45814</v>
      </c>
      <c r="J58" s="28"/>
      <c r="K58" s="28"/>
      <c r="L58" s="28"/>
      <c r="M58" s="10">
        <v>45853</v>
      </c>
      <c r="N58" s="10">
        <f>WORKDAY(I58,N57)</f>
        <v>45853</v>
      </c>
      <c r="O58" s="56">
        <v>45973</v>
      </c>
      <c r="P58" s="10">
        <v>45853</v>
      </c>
      <c r="Q58" s="10">
        <f>IF(O58="",WORKDAY(N58,Q57),WORKDAY(O58,Q57))</f>
        <v>45973</v>
      </c>
      <c r="R58" s="56">
        <v>45973</v>
      </c>
      <c r="S58" s="28"/>
      <c r="T58" s="28"/>
      <c r="U58" s="28"/>
      <c r="V58" s="10">
        <v>45895</v>
      </c>
      <c r="W58" s="10">
        <f>IF(R58="",WORKDAY(Q58,W57),WORKDAY(R58,W57))</f>
        <v>46015</v>
      </c>
      <c r="X58" s="56">
        <f>V58</f>
        <v>45895</v>
      </c>
      <c r="Y58" s="10">
        <v>45951</v>
      </c>
      <c r="Z58" s="10">
        <f>IF(R58="",WORKDAY(Q58,Z57),WORKDAY(R58,Z57))</f>
        <v>46071</v>
      </c>
      <c r="AA58" s="56"/>
      <c r="AB58" s="10">
        <v>45814</v>
      </c>
      <c r="AC58" s="10">
        <f>WORKDAY(I58,AC57)</f>
        <v>45814</v>
      </c>
      <c r="AD58" s="56"/>
      <c r="AE58" s="10">
        <v>45919</v>
      </c>
      <c r="AF58" s="10">
        <f>IF(AD58="",WORKDAY(AC58,AF57),WORKDAY(AD58,AF57))</f>
        <v>45919</v>
      </c>
      <c r="AG58" s="56">
        <v>45940</v>
      </c>
      <c r="AH58" s="10">
        <v>45951</v>
      </c>
      <c r="AI58" s="10">
        <f>WORKDAY(IF(AA58="",IF(Z58&gt;AF58,Z58,AF58),IF(AA58&gt;AG58,AA58,AG58)),AI57)</f>
        <v>46071</v>
      </c>
      <c r="AJ58" s="10">
        <f>WORKDAY(IF(AA58&gt;AG58,AA58,AG58),AJ57)</f>
        <v>45940</v>
      </c>
      <c r="AK58" s="10">
        <v>45979</v>
      </c>
      <c r="AL58" s="10">
        <f>IF(AJ58="",WORKDAY(AI58,AL57),WORKDAY(AJ58,AL57))</f>
        <v>45968</v>
      </c>
      <c r="AM58" s="10">
        <f>IF(AK58="",WORKDAY(AJ58,AM57),WORKDAY(AK58,AM57))</f>
        <v>45979</v>
      </c>
      <c r="AN58" s="10">
        <v>45979</v>
      </c>
      <c r="AO58" s="10">
        <v>45986</v>
      </c>
      <c r="AP58" s="10">
        <v>45986</v>
      </c>
      <c r="AQ58" s="10">
        <v>46007</v>
      </c>
      <c r="AR58" s="10">
        <v>46014</v>
      </c>
      <c r="AS58" s="56">
        <v>45940</v>
      </c>
      <c r="AT58" s="10">
        <v>45986</v>
      </c>
      <c r="AU58" s="10">
        <v>45993</v>
      </c>
      <c r="AV58" s="10">
        <v>45993</v>
      </c>
      <c r="AW58" s="10">
        <v>46021</v>
      </c>
      <c r="AX58" s="10">
        <f>IF(AS58="",IF(AR58&gt;AU58,WORKDAY(AR58,AX57),WORKDAY(AU58,AX57)),IF(AS58&gt;AV58,WORKDAY(AS58,AX57),WORKDAY(AV58,AX57)))</f>
        <v>46007</v>
      </c>
      <c r="AY58" s="10">
        <v>46028</v>
      </c>
      <c r="AZ58" s="10">
        <v>46021</v>
      </c>
      <c r="BA58" s="10">
        <f>IF(AP58="",WORKDAY(AO58,BA57),WORKDAY(AP58,BA57))</f>
        <v>46028</v>
      </c>
      <c r="BB58" s="56">
        <v>46028</v>
      </c>
      <c r="BC58" s="10">
        <v>46028</v>
      </c>
      <c r="BD58" s="10">
        <f>IF(AY58="",IF(AX58&gt;BA58,WORKDAY(AX58,BD57),WORKDAY(BA58,BD57)),IF(AY58&gt;BB58,WORKDAY(AY58,BD57),WORKDAY(BB58,BD57)))</f>
        <v>46035</v>
      </c>
      <c r="BE58" s="56">
        <v>46035</v>
      </c>
      <c r="BF58" s="10">
        <v>46035</v>
      </c>
      <c r="BG58" s="10">
        <f>IF(BE58="",WORKDAY(BD58,BG57),WORKDAY(BE58,BG57))</f>
        <v>46042</v>
      </c>
      <c r="BH58" s="56">
        <v>46042</v>
      </c>
      <c r="BI58" s="10">
        <v>46042</v>
      </c>
      <c r="BJ58" s="10">
        <f>IF(BH58="",WORKDAY(BG58,BJ57),WORKDAY(BH58,BJ57))</f>
        <v>46049</v>
      </c>
      <c r="BK58" s="56">
        <v>45814</v>
      </c>
      <c r="BL58" s="28"/>
      <c r="BM58" s="28"/>
      <c r="BN58" s="28"/>
      <c r="BO58" s="28"/>
      <c r="BP58" s="28"/>
      <c r="BQ58" s="28"/>
      <c r="BR58" s="28"/>
      <c r="BS58" s="28"/>
      <c r="BT58" s="28"/>
      <c r="BU58" s="28"/>
      <c r="BV58" s="28"/>
      <c r="BW58" s="28"/>
      <c r="BX58" s="46"/>
      <c r="BY58" s="28"/>
      <c r="BZ58" s="28"/>
      <c r="CA58" s="28"/>
      <c r="CB58" s="28"/>
      <c r="CC58" s="28"/>
      <c r="CD58" s="28"/>
      <c r="CE58" s="28"/>
      <c r="CF58" s="28"/>
      <c r="CG58" s="28"/>
      <c r="CH58" s="28"/>
      <c r="CI58" s="28"/>
      <c r="CJ58" s="28"/>
      <c r="CK58" s="28"/>
      <c r="CL58" s="28"/>
      <c r="CM58" s="10">
        <v>46045</v>
      </c>
      <c r="CN58" s="10">
        <f>IF(BK58="",WORKDAY(BJ58,CN57),WORKDAY(BK58,CN57))</f>
        <v>45819</v>
      </c>
      <c r="CO58" s="56">
        <v>46297</v>
      </c>
      <c r="CP58" s="10">
        <v>46052</v>
      </c>
      <c r="CQ58" s="10">
        <f>IF(CO58="",WORKDAY(CN58,CQ57),WORKDAY(CO58,CQ57))</f>
        <v>46304</v>
      </c>
      <c r="CR58" s="56">
        <v>46297</v>
      </c>
      <c r="CS58" s="77" t="s">
        <v>479</v>
      </c>
      <c r="CT58" s="10">
        <v>46465</v>
      </c>
      <c r="CU58" s="10">
        <f>IF(CR58="",WORKDAY(CQ58,CU57),WORKDAY(CR58,CU57))</f>
        <v>46465</v>
      </c>
      <c r="CV58" s="56">
        <v>46100</v>
      </c>
      <c r="CW58" s="10">
        <v>46035</v>
      </c>
      <c r="CX58" s="10">
        <f>IF(BB58="",WORKDAY(BA58,CX57),WORKDAY(BB58,CX57))</f>
        <v>46042</v>
      </c>
      <c r="CY58" s="56"/>
      <c r="CZ58" s="10">
        <v>46035</v>
      </c>
      <c r="DA58" s="10">
        <f>IF(CY58="",WORKDAY(CX58,DA57),WORKDAY(CY58,DA57))</f>
        <v>46042</v>
      </c>
      <c r="DB58" s="56">
        <v>46042</v>
      </c>
      <c r="DC58" s="45"/>
      <c r="DD58" s="45"/>
      <c r="DE58" s="45"/>
      <c r="DF58" s="10">
        <v>46493</v>
      </c>
      <c r="DG58" s="10">
        <f>IF($CV58="",IF($CU58&gt;$DA58,WORKDAY($CU58,DG57),WORKDAY($DA58,DG57)),IF($CV58&gt;$DB58,WORKDAY($CV58,DG57),WORKDAY($DB58,DG57)))</f>
        <v>46128</v>
      </c>
      <c r="DH58" s="56"/>
      <c r="DI58" s="46"/>
      <c r="DJ58" s="10">
        <v>46521</v>
      </c>
      <c r="DK58" s="10">
        <f>IF(DH58="",WORKDAY(DG58,DK57*$DI57),WORKDAY(DH58,DK57*$DI57))</f>
        <v>46156</v>
      </c>
      <c r="DL58" s="56"/>
      <c r="DM58" s="46"/>
      <c r="DN58" s="46"/>
      <c r="DO58" s="46"/>
      <c r="DP58" s="46"/>
      <c r="DQ58" s="46"/>
      <c r="DR58" s="46"/>
      <c r="DS58" s="46"/>
      <c r="DT58" s="46"/>
      <c r="DU58" s="46"/>
      <c r="DV58" s="46"/>
      <c r="DW58" s="46"/>
      <c r="DX58" s="46"/>
      <c r="DY58" s="46"/>
      <c r="DZ58" s="46"/>
      <c r="EA58" s="46"/>
      <c r="EB58" s="46"/>
      <c r="EC58" s="46"/>
      <c r="ED58" s="46"/>
      <c r="EE58" s="10">
        <v>46521</v>
      </c>
      <c r="EF58" s="10">
        <f>IF(DL58="",WORKDAY(DK58,EF57),WORKDAY(DL58,EF57))</f>
        <v>46156</v>
      </c>
      <c r="EG58" s="56"/>
      <c r="EH58" s="10">
        <v>46449</v>
      </c>
      <c r="EI58" s="10">
        <v>46449</v>
      </c>
      <c r="EJ58" s="56"/>
      <c r="EK58" s="27"/>
      <c r="EL58" s="27"/>
      <c r="EM58" s="27"/>
      <c r="EN58" s="27"/>
      <c r="EO58" s="28"/>
      <c r="EP58" s="28"/>
      <c r="EQ58" s="28"/>
      <c r="ER58" s="28"/>
      <c r="ES58" s="28"/>
      <c r="ET58" s="28"/>
      <c r="EU58" s="28"/>
      <c r="EV58" s="28"/>
      <c r="EW58" s="28"/>
      <c r="EX58" s="28"/>
      <c r="EY58" s="28"/>
      <c r="EZ58" s="10">
        <v>46528</v>
      </c>
      <c r="FA58" s="10">
        <f>IF(EG58="",WORKDAY(EF58,FA57),WORKDAY(EG58,FA57))</f>
        <v>46163</v>
      </c>
      <c r="FB58" s="56"/>
      <c r="FC58" s="28"/>
      <c r="FD58" s="28"/>
      <c r="FE58" s="28"/>
      <c r="FF58" s="28"/>
      <c r="FG58" s="28"/>
      <c r="FH58" s="28"/>
      <c r="FI58" s="10">
        <v>46549</v>
      </c>
      <c r="FJ58" s="10">
        <f>IF(FB58="",WORKDAY(FA58,FJ57),WORKDAY(FB58,FJ57))</f>
        <v>46184</v>
      </c>
      <c r="FK58" s="56"/>
      <c r="FL58" s="10">
        <v>46549</v>
      </c>
      <c r="FM58" s="10">
        <f>IF(FK58="",WORKDAY(FJ58,FM57),WORKDAY(FK58,FM57))</f>
        <v>46184</v>
      </c>
      <c r="FN58" s="56"/>
      <c r="FO58" s="10">
        <v>46605</v>
      </c>
      <c r="FP58" s="10">
        <f>WORKDAY(FM58,FP57)</f>
        <v>46240</v>
      </c>
      <c r="FQ58" s="56"/>
      <c r="FR58" s="77" t="str">
        <f>IF(NETWORKDAYS(FJ58,FO58)&gt;=30,"On-Track",IF(AND(NETWORKDAYS(FJ58,FO58)&lt;30,FJ58&lt;=FO58),"At Risk","Missed TCD"))</f>
        <v>On-Track</v>
      </c>
      <c r="FS58" s="110" t="s">
        <v>480</v>
      </c>
      <c r="FT58" s="57">
        <f>NETWORKDAYS(CP58,FI58)</f>
        <v>356</v>
      </c>
      <c r="FU58" s="57">
        <f>NETWORKDAYS(CQ58,FJ58)</f>
        <v>-87</v>
      </c>
      <c r="FV58" s="57">
        <f>IF(BH58="",NETWORKDAYS(BG58,FJ58),IF(FK58="",NETWORKDAYS(BH58,FJ58),NETWORKDAYS(BH58,FK58)))</f>
        <v>103</v>
      </c>
      <c r="FW58" s="58" t="s">
        <v>467</v>
      </c>
    </row>
  </sheetData>
  <autoFilter ref="A8:FW8" xr:uid="{F4E22136-C518-4089-A549-24027D094DBC}"/>
  <mergeCells count="70">
    <mergeCell ref="FI7:FK7"/>
    <mergeCell ref="FL7:FN7"/>
    <mergeCell ref="FO7:FQ7"/>
    <mergeCell ref="EQ7:ES7"/>
    <mergeCell ref="ET7:EV7"/>
    <mergeCell ref="EW7:EY7"/>
    <mergeCell ref="EZ7:FB7"/>
    <mergeCell ref="FC7:FE7"/>
    <mergeCell ref="FF7:FH7"/>
    <mergeCell ref="EN7:EP7"/>
    <mergeCell ref="DC7:DE7"/>
    <mergeCell ref="DF7:DH7"/>
    <mergeCell ref="DI7:DL7"/>
    <mergeCell ref="DM7:DO7"/>
    <mergeCell ref="DP7:DR7"/>
    <mergeCell ref="DS7:DV7"/>
    <mergeCell ref="DW7:DZ7"/>
    <mergeCell ref="EA7:ED7"/>
    <mergeCell ref="EE7:EG7"/>
    <mergeCell ref="EH7:EJ7"/>
    <mergeCell ref="EK7:EM7"/>
    <mergeCell ref="BL7:BN7"/>
    <mergeCell ref="CZ7:DB7"/>
    <mergeCell ref="BR7:BT7"/>
    <mergeCell ref="BU7:BW7"/>
    <mergeCell ref="BX7:BZ7"/>
    <mergeCell ref="CA7:CC7"/>
    <mergeCell ref="CD7:CF7"/>
    <mergeCell ref="CG7:CI7"/>
    <mergeCell ref="CJ7:CL7"/>
    <mergeCell ref="CM7:CO7"/>
    <mergeCell ref="CP7:CS7"/>
    <mergeCell ref="CT7:CV7"/>
    <mergeCell ref="CW7:CY7"/>
    <mergeCell ref="AW7:AY7"/>
    <mergeCell ref="AZ7:BB7"/>
    <mergeCell ref="BC7:BE7"/>
    <mergeCell ref="BF7:BH7"/>
    <mergeCell ref="BI7:BK7"/>
    <mergeCell ref="FT5:FW7"/>
    <mergeCell ref="A7:G7"/>
    <mergeCell ref="J7:L7"/>
    <mergeCell ref="M7:O7"/>
    <mergeCell ref="P7:R7"/>
    <mergeCell ref="S7:U7"/>
    <mergeCell ref="V7:X7"/>
    <mergeCell ref="Y7:AA7"/>
    <mergeCell ref="AB7:AD7"/>
    <mergeCell ref="AE7:AG7"/>
    <mergeCell ref="BO7:BQ7"/>
    <mergeCell ref="AH7:AJ7"/>
    <mergeCell ref="AK7:AM7"/>
    <mergeCell ref="AN7:AP7"/>
    <mergeCell ref="AQ7:AS7"/>
    <mergeCell ref="AT7:AV7"/>
    <mergeCell ref="J4:BE4"/>
    <mergeCell ref="BF4:CL4"/>
    <mergeCell ref="CM4:EY4"/>
    <mergeCell ref="EZ4:FR4"/>
    <mergeCell ref="I5:BH6"/>
    <mergeCell ref="BI5:FK6"/>
    <mergeCell ref="FL5:FR6"/>
    <mergeCell ref="G1:G2"/>
    <mergeCell ref="H1:H2"/>
    <mergeCell ref="I1:CU2"/>
    <mergeCell ref="J3:AA3"/>
    <mergeCell ref="AE3:AG3"/>
    <mergeCell ref="AH3:AP3"/>
    <mergeCell ref="AQ3:BA3"/>
    <mergeCell ref="BC3:BH3"/>
  </mergeCells>
  <conditionalFormatting sqref="L10 U10 AA10 BH10 BN10 BQ10 BT10 BW10 BZ10 CC10 CF10 CI10 CL10 CY10 DB10 DE10 DH10 DL10 DO10 DZ10:EA10 ED10 EJ10 EM10 EP10 ES10 EV10 EY10 FB10 FE10 FH10 FQ10 FK10 EG10 DR10 DV10 AD10 FN10">
    <cfRule type="notContainsBlanks" dxfId="321" priority="291">
      <formula>LEN(TRIM(L10))&gt;0</formula>
    </cfRule>
  </conditionalFormatting>
  <conditionalFormatting sqref="E1:E1048576">
    <cfRule type="cellIs" dxfId="320" priority="286" operator="equal">
      <formula>"Red"</formula>
    </cfRule>
    <cfRule type="cellIs" dxfId="319" priority="287" operator="equal">
      <formula>"Unknown"</formula>
    </cfRule>
    <cfRule type="cellIs" dxfId="318" priority="288" operator="equal">
      <formula>"Covered"</formula>
    </cfRule>
    <cfRule type="cellIs" dxfId="317" priority="289" operator="equal">
      <formula>"Green"</formula>
    </cfRule>
    <cfRule type="cellIs" dxfId="316" priority="290" operator="equal">
      <formula>"Yellow"</formula>
    </cfRule>
  </conditionalFormatting>
  <conditionalFormatting sqref="FR10:FS10">
    <cfRule type="cellIs" dxfId="315" priority="283" operator="equal">
      <formula>"Requires Re-Baseline"</formula>
    </cfRule>
    <cfRule type="cellIs" dxfId="314" priority="284" operator="equal">
      <formula>"On-Track"</formula>
    </cfRule>
    <cfRule type="cellIs" dxfId="313" priority="285" operator="equal">
      <formula>"At Risk"</formula>
    </cfRule>
  </conditionalFormatting>
  <conditionalFormatting sqref="CS10">
    <cfRule type="cellIs" dxfId="312" priority="282" operator="equal">
      <formula>"Execution schedule has been re-baselined w/ FAIR PO Ack ACD. Validate your durations before publishing"</formula>
    </cfRule>
  </conditionalFormatting>
  <conditionalFormatting sqref="L10 U10 AA10 BH10 BN10 BQ10 BT10 BW10 BZ10 CC10 CF10 CI10 CL10 CY10 DB10 DE10 DH10 DO10 DZ10:EA10 ED10 EJ10 EM10 EP10 ES10 EV10 EY10 FB10 FE10 FH10 FQ10 FK10 EG10 DR10 DV10 AD10 FN10 DL10">
    <cfRule type="notContainsBlanks" dxfId="311" priority="281">
      <formula>LEN(TRIM(L10))&gt;0</formula>
    </cfRule>
  </conditionalFormatting>
  <conditionalFormatting sqref="E9:E10">
    <cfRule type="cellIs" dxfId="310" priority="276" operator="equal">
      <formula>"Red"</formula>
    </cfRule>
    <cfRule type="cellIs" dxfId="309" priority="277" operator="equal">
      <formula>"Unknown"</formula>
    </cfRule>
    <cfRule type="cellIs" dxfId="308" priority="278" operator="equal">
      <formula>"Covered"</formula>
    </cfRule>
    <cfRule type="cellIs" dxfId="307" priority="279" operator="equal">
      <formula>"Green"</formula>
    </cfRule>
    <cfRule type="cellIs" dxfId="306" priority="280" operator="equal">
      <formula>"Yellow"</formula>
    </cfRule>
  </conditionalFormatting>
  <conditionalFormatting sqref="FR10:FS10">
    <cfRule type="cellIs" dxfId="305" priority="273" operator="equal">
      <formula>"Missed TCD"</formula>
    </cfRule>
    <cfRule type="cellIs" dxfId="304" priority="274" operator="equal">
      <formula>"On-Track"</formula>
    </cfRule>
    <cfRule type="cellIs" dxfId="303" priority="275" operator="equal">
      <formula>"At Risk"</formula>
    </cfRule>
  </conditionalFormatting>
  <conditionalFormatting sqref="CS10">
    <cfRule type="cellIs" dxfId="302" priority="272" operator="equal">
      <formula>"Execution schedule has been re-baselined w/ FAIR PO Ack ACD. Validate your durations before publishing"</formula>
    </cfRule>
  </conditionalFormatting>
  <conditionalFormatting sqref="L12 U12 AA12 BH12 BN12 BQ12 BT12 BW12 BZ12 CC12 CF12 CI12 CL12 CY12 DE12 DH12 DO12 DZ12:EA12 ED12 EJ12 EM12 EP12 ES12 EV12 EY12 FB12 FE12 FH12 FQ12 FK12 EG12 DR12 DV12 AD12 FN12 DL12">
    <cfRule type="notContainsBlanks" dxfId="301" priority="271">
      <formula>LEN(TRIM(L12))&gt;0</formula>
    </cfRule>
  </conditionalFormatting>
  <conditionalFormatting sqref="E11:E12">
    <cfRule type="cellIs" dxfId="300" priority="266" operator="equal">
      <formula>"Red"</formula>
    </cfRule>
    <cfRule type="cellIs" dxfId="299" priority="267" operator="equal">
      <formula>"Unknown"</formula>
    </cfRule>
    <cfRule type="cellIs" dxfId="298" priority="268" operator="equal">
      <formula>"Covered"</formula>
    </cfRule>
    <cfRule type="cellIs" dxfId="297" priority="269" operator="equal">
      <formula>"Green"</formula>
    </cfRule>
    <cfRule type="cellIs" dxfId="296" priority="270" operator="equal">
      <formula>"Yellow"</formula>
    </cfRule>
  </conditionalFormatting>
  <conditionalFormatting sqref="FR12:FS12">
    <cfRule type="cellIs" dxfId="295" priority="263" operator="equal">
      <formula>"Missed TCD"</formula>
    </cfRule>
    <cfRule type="cellIs" dxfId="294" priority="264" operator="equal">
      <formula>"On-Track"</formula>
    </cfRule>
    <cfRule type="cellIs" dxfId="293" priority="265" operator="equal">
      <formula>"At Risk"</formula>
    </cfRule>
  </conditionalFormatting>
  <conditionalFormatting sqref="CS12">
    <cfRule type="cellIs" dxfId="292" priority="262" operator="equal">
      <formula>"Execution schedule has been re-baselined w/ FAIR PO Ack ACD. Validate your durations before publishing"</formula>
    </cfRule>
  </conditionalFormatting>
  <conditionalFormatting sqref="L14 U14 AA14 BH14 BN14 BQ14 BT14 BW14 BZ14 CC14 CF14 CI14 CL14 CY14 DE14 DH14 DO14 DZ14:EA14 ED14 EJ14 EM14 EP14 ES14 EV14 EY14 FB14 FE14 FH14 FQ14 FK14 EG14 DR14 DV14 AD14 FN14 DL14">
    <cfRule type="notContainsBlanks" dxfId="291" priority="261">
      <formula>LEN(TRIM(L14))&gt;0</formula>
    </cfRule>
  </conditionalFormatting>
  <conditionalFormatting sqref="E13:E14">
    <cfRule type="cellIs" dxfId="290" priority="256" operator="equal">
      <formula>"Red"</formula>
    </cfRule>
    <cfRule type="cellIs" dxfId="289" priority="257" operator="equal">
      <formula>"Unknown"</formula>
    </cfRule>
    <cfRule type="cellIs" dxfId="288" priority="258" operator="equal">
      <formula>"Covered"</formula>
    </cfRule>
    <cfRule type="cellIs" dxfId="287" priority="259" operator="equal">
      <formula>"Green"</formula>
    </cfRule>
    <cfRule type="cellIs" dxfId="286" priority="260" operator="equal">
      <formula>"Yellow"</formula>
    </cfRule>
  </conditionalFormatting>
  <conditionalFormatting sqref="FR14:FS14">
    <cfRule type="cellIs" dxfId="285" priority="253" operator="equal">
      <formula>"Missed TCD"</formula>
    </cfRule>
    <cfRule type="cellIs" dxfId="284" priority="254" operator="equal">
      <formula>"On-Track"</formula>
    </cfRule>
    <cfRule type="cellIs" dxfId="283" priority="255" operator="equal">
      <formula>"At Risk"</formula>
    </cfRule>
  </conditionalFormatting>
  <conditionalFormatting sqref="CS14">
    <cfRule type="cellIs" dxfId="282" priority="252" operator="equal">
      <formula>"Execution schedule has been re-baselined w/ FAIR PO Ack ACD. Validate your durations before publishing"</formula>
    </cfRule>
  </conditionalFormatting>
  <conditionalFormatting sqref="L16 U16 AA16 BH16 BN16 BQ16 BT16 BW16 BZ16 CC16 CF16 CI16 CL16 CY16 DE16 DH16 DO16 DZ16:EA16 ED16 EJ16 EM16 EP16 ES16 EV16 EY16 FB16 FE16 FH16 FQ16 FK16 EG16 DR16 DV16 AD16 FN16 DL16">
    <cfRule type="notContainsBlanks" dxfId="281" priority="251">
      <formula>LEN(TRIM(L16))&gt;0</formula>
    </cfRule>
  </conditionalFormatting>
  <conditionalFormatting sqref="E15:E16">
    <cfRule type="cellIs" dxfId="280" priority="246" operator="equal">
      <formula>"Red"</formula>
    </cfRule>
    <cfRule type="cellIs" dxfId="279" priority="247" operator="equal">
      <formula>"Unknown"</formula>
    </cfRule>
    <cfRule type="cellIs" dxfId="278" priority="248" operator="equal">
      <formula>"Covered"</formula>
    </cfRule>
    <cfRule type="cellIs" dxfId="277" priority="249" operator="equal">
      <formula>"Green"</formula>
    </cfRule>
    <cfRule type="cellIs" dxfId="276" priority="250" operator="equal">
      <formula>"Yellow"</formula>
    </cfRule>
  </conditionalFormatting>
  <conditionalFormatting sqref="FR16:FS16">
    <cfRule type="cellIs" dxfId="275" priority="243" operator="equal">
      <formula>"Missed TCD"</formula>
    </cfRule>
    <cfRule type="cellIs" dxfId="274" priority="244" operator="equal">
      <formula>"On-Track"</formula>
    </cfRule>
    <cfRule type="cellIs" dxfId="273" priority="245" operator="equal">
      <formula>"At Risk"</formula>
    </cfRule>
  </conditionalFormatting>
  <conditionalFormatting sqref="CS16">
    <cfRule type="cellIs" dxfId="272" priority="242" operator="equal">
      <formula>"Execution schedule has been re-baselined w/ FAIR PO Ack ACD. Validate your durations before publishing"</formula>
    </cfRule>
  </conditionalFormatting>
  <conditionalFormatting sqref="L18 U18 AA18 BH18 BN18 BQ18 BT18 BW18 BZ18 CC18 CF18 CI18 CL18 CY18 DE18 DH18 DO18 DZ18:EA18 ED18 EJ18 EM18 EP18 ES18 EV18 EY18 FB18 FE18 FH18 FQ18 FK18 EG18 DR18 DV18 AD18 FN18 DL18">
    <cfRule type="notContainsBlanks" dxfId="271" priority="241">
      <formula>LEN(TRIM(L18))&gt;0</formula>
    </cfRule>
  </conditionalFormatting>
  <conditionalFormatting sqref="E17:E18">
    <cfRule type="cellIs" dxfId="270" priority="236" operator="equal">
      <formula>"Red"</formula>
    </cfRule>
    <cfRule type="cellIs" dxfId="269" priority="237" operator="equal">
      <formula>"Unknown"</formula>
    </cfRule>
    <cfRule type="cellIs" dxfId="268" priority="238" operator="equal">
      <formula>"Covered"</formula>
    </cfRule>
    <cfRule type="cellIs" dxfId="267" priority="239" operator="equal">
      <formula>"Green"</formula>
    </cfRule>
    <cfRule type="cellIs" dxfId="266" priority="240" operator="equal">
      <formula>"Yellow"</formula>
    </cfRule>
  </conditionalFormatting>
  <conditionalFormatting sqref="FR18:FS18">
    <cfRule type="cellIs" dxfId="265" priority="233" operator="equal">
      <formula>"Missed TCD"</formula>
    </cfRule>
    <cfRule type="cellIs" dxfId="264" priority="234" operator="equal">
      <formula>"On-Track"</formula>
    </cfRule>
    <cfRule type="cellIs" dxfId="263" priority="235" operator="equal">
      <formula>"At Risk"</formula>
    </cfRule>
  </conditionalFormatting>
  <conditionalFormatting sqref="CS18">
    <cfRule type="cellIs" dxfId="262" priority="232" operator="equal">
      <formula>"Execution schedule has been re-baselined w/ FAIR PO Ack ACD. Validate your durations before publishing"</formula>
    </cfRule>
  </conditionalFormatting>
  <conditionalFormatting sqref="L20 U20 AA20 BH20 BN20 BQ20 BT20 BW20 BZ20 CC20 CF20 CI20 CL20 CY20 DE20 DH20 DO20 DZ20:EA20 ED20 EJ20 EM20 EP20 ES20 EV20 EY20 FB20 FE20 FH20 FQ20 FK20 EG20 DR20 DV20 AD20 FN20 DL20">
    <cfRule type="notContainsBlanks" dxfId="261" priority="231">
      <formula>LEN(TRIM(L20))&gt;0</formula>
    </cfRule>
  </conditionalFormatting>
  <conditionalFormatting sqref="E19:E20">
    <cfRule type="cellIs" dxfId="260" priority="226" operator="equal">
      <formula>"Red"</formula>
    </cfRule>
    <cfRule type="cellIs" dxfId="259" priority="227" operator="equal">
      <formula>"Unknown"</formula>
    </cfRule>
    <cfRule type="cellIs" dxfId="258" priority="228" operator="equal">
      <formula>"Covered"</formula>
    </cfRule>
    <cfRule type="cellIs" dxfId="257" priority="229" operator="equal">
      <formula>"Green"</formula>
    </cfRule>
    <cfRule type="cellIs" dxfId="256" priority="230" operator="equal">
      <formula>"Yellow"</formula>
    </cfRule>
  </conditionalFormatting>
  <conditionalFormatting sqref="FR20:FS20">
    <cfRule type="cellIs" dxfId="255" priority="223" operator="equal">
      <formula>"Missed TCD"</formula>
    </cfRule>
    <cfRule type="cellIs" dxfId="254" priority="224" operator="equal">
      <formula>"On-Track"</formula>
    </cfRule>
    <cfRule type="cellIs" dxfId="253" priority="225" operator="equal">
      <formula>"At Risk"</formula>
    </cfRule>
  </conditionalFormatting>
  <conditionalFormatting sqref="CS20">
    <cfRule type="cellIs" dxfId="252" priority="222" operator="equal">
      <formula>"Execution schedule has been re-baselined w/ FAIR PO Ack ACD. Validate your durations before publishing"</formula>
    </cfRule>
  </conditionalFormatting>
  <conditionalFormatting sqref="L22 U22 AA22 BH22 BN22 BQ22 BT22 BW22 BZ22 CC22 CF22 CI22 CL22 CY22 DE22 DH22 DO22 DZ22:EA22 ED22 EJ22 EM22 EP22 ES22 EV22 EY22 FB22 FE22 FH22 FQ22 FK22 EG22 DR22 DV22 AD22 FN22 DL22">
    <cfRule type="notContainsBlanks" dxfId="251" priority="221">
      <formula>LEN(TRIM(L22))&gt;0</formula>
    </cfRule>
  </conditionalFormatting>
  <conditionalFormatting sqref="E21:E22">
    <cfRule type="cellIs" dxfId="250" priority="216" operator="equal">
      <formula>"Red"</formula>
    </cfRule>
    <cfRule type="cellIs" dxfId="249" priority="217" operator="equal">
      <formula>"Unknown"</formula>
    </cfRule>
    <cfRule type="cellIs" dxfId="248" priority="218" operator="equal">
      <formula>"Covered"</formula>
    </cfRule>
    <cfRule type="cellIs" dxfId="247" priority="219" operator="equal">
      <formula>"Green"</formula>
    </cfRule>
    <cfRule type="cellIs" dxfId="246" priority="220" operator="equal">
      <formula>"Yellow"</formula>
    </cfRule>
  </conditionalFormatting>
  <conditionalFormatting sqref="FR22:FS22">
    <cfRule type="cellIs" dxfId="245" priority="213" operator="equal">
      <formula>"Missed TCD"</formula>
    </cfRule>
    <cfRule type="cellIs" dxfId="244" priority="214" operator="equal">
      <formula>"On-Track"</formula>
    </cfRule>
    <cfRule type="cellIs" dxfId="243" priority="215" operator="equal">
      <formula>"At Risk"</formula>
    </cfRule>
  </conditionalFormatting>
  <conditionalFormatting sqref="CS22">
    <cfRule type="cellIs" dxfId="242" priority="212" operator="equal">
      <formula>"Execution schedule has been re-baselined w/ FAIR PO Ack ACD. Validate your durations before publishing"</formula>
    </cfRule>
  </conditionalFormatting>
  <conditionalFormatting sqref="L24 U24 AA24 BH24 BN24 BQ24 BT24 BW24 BZ24 CC24 CF24 CI24 CL24 CY24 DB24 DE24 DH24 DO24 DZ24:EA24 ED24 EJ24 EM24 EP24 ES24 EV24 EY24 FB24 FE24 FH24 FQ24 FK24 EG24 DR24 DV24 AD24 FN24 DL24">
    <cfRule type="notContainsBlanks" dxfId="241" priority="211">
      <formula>LEN(TRIM(L24))&gt;0</formula>
    </cfRule>
  </conditionalFormatting>
  <conditionalFormatting sqref="E23:E24">
    <cfRule type="cellIs" dxfId="240" priority="206" operator="equal">
      <formula>"Red"</formula>
    </cfRule>
    <cfRule type="cellIs" dxfId="239" priority="207" operator="equal">
      <formula>"Unknown"</formula>
    </cfRule>
    <cfRule type="cellIs" dxfId="238" priority="208" operator="equal">
      <formula>"Covered"</formula>
    </cfRule>
    <cfRule type="cellIs" dxfId="237" priority="209" operator="equal">
      <formula>"Green"</formula>
    </cfRule>
    <cfRule type="cellIs" dxfId="236" priority="210" operator="equal">
      <formula>"Yellow"</formula>
    </cfRule>
  </conditionalFormatting>
  <conditionalFormatting sqref="FR24:FS24">
    <cfRule type="cellIs" dxfId="235" priority="203" operator="equal">
      <formula>"Missed TCD"</formula>
    </cfRule>
    <cfRule type="cellIs" dxfId="234" priority="204" operator="equal">
      <formula>"On-Track"</formula>
    </cfRule>
    <cfRule type="cellIs" dxfId="233" priority="205" operator="equal">
      <formula>"At Risk"</formula>
    </cfRule>
  </conditionalFormatting>
  <conditionalFormatting sqref="CS24">
    <cfRule type="cellIs" dxfId="232" priority="202" operator="equal">
      <formula>"Execution schedule has been re-baselined w/ FAIR PO Ack ACD. Validate your durations before publishing"</formula>
    </cfRule>
  </conditionalFormatting>
  <conditionalFormatting sqref="L26 U26 AA26 BH26 BN26 BQ26 BT26 BW26 BZ26 CC26 CF26 CI26 CL26 CY26 DE26 DH26 DO26 DZ26:EA26 ED26 EJ26 EM26 EP26 ES26 EV26 EY26 FB26 FE26 FH26 FQ26 FK26 EG26 DR26 DV26 AD26 FN26 DL26">
    <cfRule type="notContainsBlanks" dxfId="231" priority="201">
      <formula>LEN(TRIM(L26))&gt;0</formula>
    </cfRule>
  </conditionalFormatting>
  <conditionalFormatting sqref="E25:E26">
    <cfRule type="cellIs" dxfId="230" priority="196" operator="equal">
      <formula>"Red"</formula>
    </cfRule>
    <cfRule type="cellIs" dxfId="229" priority="197" operator="equal">
      <formula>"Unknown"</formula>
    </cfRule>
    <cfRule type="cellIs" dxfId="228" priority="198" operator="equal">
      <formula>"Covered"</formula>
    </cfRule>
    <cfRule type="cellIs" dxfId="227" priority="199" operator="equal">
      <formula>"Green"</formula>
    </cfRule>
    <cfRule type="cellIs" dxfId="226" priority="200" operator="equal">
      <formula>"Yellow"</formula>
    </cfRule>
  </conditionalFormatting>
  <conditionalFormatting sqref="FR26:FS26">
    <cfRule type="cellIs" dxfId="225" priority="193" operator="equal">
      <formula>"Missed TCD"</formula>
    </cfRule>
    <cfRule type="cellIs" dxfId="224" priority="194" operator="equal">
      <formula>"On-Track"</formula>
    </cfRule>
    <cfRule type="cellIs" dxfId="223" priority="195" operator="equal">
      <formula>"At Risk"</formula>
    </cfRule>
  </conditionalFormatting>
  <conditionalFormatting sqref="CS26">
    <cfRule type="cellIs" dxfId="222" priority="192" operator="equal">
      <formula>"Execution schedule has been re-baselined w/ FAIR PO Ack ACD. Validate your durations before publishing"</formula>
    </cfRule>
  </conditionalFormatting>
  <conditionalFormatting sqref="L28 U28 AA28 BH28 BN28 BQ28 BT28 BW28 BZ28 CC28 CF28 CI28 CL28 CY28 DE28 DH28 DO28 DZ28:EA28 ED28 EJ28 EM28 EP28 ES28 EV28 EY28 FB28 FE28 FH28 FQ28 FK28 EG28 DR28 DV28 AD28 FN28 DL28">
    <cfRule type="notContainsBlanks" dxfId="221" priority="191">
      <formula>LEN(TRIM(L28))&gt;0</formula>
    </cfRule>
  </conditionalFormatting>
  <conditionalFormatting sqref="E27:E28">
    <cfRule type="cellIs" dxfId="220" priority="186" operator="equal">
      <formula>"Red"</formula>
    </cfRule>
    <cfRule type="cellIs" dxfId="219" priority="187" operator="equal">
      <formula>"Unknown"</formula>
    </cfRule>
    <cfRule type="cellIs" dxfId="218" priority="188" operator="equal">
      <formula>"Covered"</formula>
    </cfRule>
    <cfRule type="cellIs" dxfId="217" priority="189" operator="equal">
      <formula>"Green"</formula>
    </cfRule>
    <cfRule type="cellIs" dxfId="216" priority="190" operator="equal">
      <formula>"Yellow"</formula>
    </cfRule>
  </conditionalFormatting>
  <conditionalFormatting sqref="FR28:FS28">
    <cfRule type="cellIs" dxfId="215" priority="183" operator="equal">
      <formula>"Missed TCD"</formula>
    </cfRule>
    <cfRule type="cellIs" dxfId="214" priority="184" operator="equal">
      <formula>"On-Track"</formula>
    </cfRule>
    <cfRule type="cellIs" dxfId="213" priority="185" operator="equal">
      <formula>"At Risk"</formula>
    </cfRule>
  </conditionalFormatting>
  <conditionalFormatting sqref="CS28">
    <cfRule type="cellIs" dxfId="212" priority="182" operator="equal">
      <formula>"Execution schedule has been re-baselined w/ FAIR PO Ack ACD. Validate your durations before publishing"</formula>
    </cfRule>
  </conditionalFormatting>
  <conditionalFormatting sqref="L30 U30 AA30 BH30 BN30 BQ30 BT30 BW30 BZ30 CC30 CF30 CI30 CL30 CY30 DE30 DH30 DO30 DZ30:EA30 ED30 EJ30 EM30 EP30 ES30 EV30 EY30 FB30 FE30 FH30 FQ30 FK30 EG30 DR30 DV30 AD30 FN30 DL30">
    <cfRule type="notContainsBlanks" dxfId="211" priority="181">
      <formula>LEN(TRIM(L30))&gt;0</formula>
    </cfRule>
  </conditionalFormatting>
  <conditionalFormatting sqref="E29:E30">
    <cfRule type="cellIs" dxfId="210" priority="176" operator="equal">
      <formula>"Red"</formula>
    </cfRule>
    <cfRule type="cellIs" dxfId="209" priority="177" operator="equal">
      <formula>"Unknown"</formula>
    </cfRule>
    <cfRule type="cellIs" dxfId="208" priority="178" operator="equal">
      <formula>"Covered"</formula>
    </cfRule>
    <cfRule type="cellIs" dxfId="207" priority="179" operator="equal">
      <formula>"Green"</formula>
    </cfRule>
    <cfRule type="cellIs" dxfId="206" priority="180" operator="equal">
      <formula>"Yellow"</formula>
    </cfRule>
  </conditionalFormatting>
  <conditionalFormatting sqref="FR30:FS30">
    <cfRule type="cellIs" dxfId="205" priority="173" operator="equal">
      <formula>"Missed TCD"</formula>
    </cfRule>
    <cfRule type="cellIs" dxfId="204" priority="174" operator="equal">
      <formula>"On-Track"</formula>
    </cfRule>
    <cfRule type="cellIs" dxfId="203" priority="175" operator="equal">
      <formula>"At Risk"</formula>
    </cfRule>
  </conditionalFormatting>
  <conditionalFormatting sqref="CS30">
    <cfRule type="cellIs" dxfId="202" priority="172" operator="equal">
      <formula>"Execution schedule has been re-baselined w/ FAIR PO Ack ACD. Validate your durations before publishing"</formula>
    </cfRule>
  </conditionalFormatting>
  <conditionalFormatting sqref="L32 U32 AA32 BH32 BN32 BQ32 BT32 BW32 BZ32 CC32 CF32 CI32 CL32 CY32 DE32 DH32 DO32 DZ32:EA32 ED32 EJ32 EM32 EP32 ES32 EV32 EY32 FB32 FE32 FH32 FQ32 FK32 EG32 DR32 DV32 AD32 FN32 DL32">
    <cfRule type="notContainsBlanks" dxfId="201" priority="171">
      <formula>LEN(TRIM(L32))&gt;0</formula>
    </cfRule>
  </conditionalFormatting>
  <conditionalFormatting sqref="E31:E32">
    <cfRule type="cellIs" dxfId="200" priority="166" operator="equal">
      <formula>"Red"</formula>
    </cfRule>
    <cfRule type="cellIs" dxfId="199" priority="167" operator="equal">
      <formula>"Unknown"</formula>
    </cfRule>
    <cfRule type="cellIs" dxfId="198" priority="168" operator="equal">
      <formula>"Covered"</formula>
    </cfRule>
    <cfRule type="cellIs" dxfId="197" priority="169" operator="equal">
      <formula>"Green"</formula>
    </cfRule>
    <cfRule type="cellIs" dxfId="196" priority="170" operator="equal">
      <formula>"Yellow"</formula>
    </cfRule>
  </conditionalFormatting>
  <conditionalFormatting sqref="FR32:FS32">
    <cfRule type="cellIs" dxfId="195" priority="163" operator="equal">
      <formula>"Missed TCD"</formula>
    </cfRule>
    <cfRule type="cellIs" dxfId="194" priority="164" operator="equal">
      <formula>"On-Track"</formula>
    </cfRule>
    <cfRule type="cellIs" dxfId="193" priority="165" operator="equal">
      <formula>"At Risk"</formula>
    </cfRule>
  </conditionalFormatting>
  <conditionalFormatting sqref="CS32">
    <cfRule type="cellIs" dxfId="192" priority="162" operator="equal">
      <formula>"Execution schedule has been re-baselined w/ FAIR PO Ack ACD. Validate your durations before publishing"</formula>
    </cfRule>
  </conditionalFormatting>
  <conditionalFormatting sqref="L34 U34 AA34 BH34 BN34 BQ34 BT34 BW34 BZ34 CC34 CF34 CI34 CL34 CY34 DE34 DH34 DO34 DZ34:EA34 ED34 EJ34 EM34 EP34 ES34 EV34 EY34 FB34 FE34 FH34 FQ34 FK34 EG34 DR34 DV34 AD34 FN34 DL34">
    <cfRule type="notContainsBlanks" dxfId="191" priority="161">
      <formula>LEN(TRIM(L34))&gt;0</formula>
    </cfRule>
  </conditionalFormatting>
  <conditionalFormatting sqref="E33:E34">
    <cfRule type="cellIs" dxfId="190" priority="156" operator="equal">
      <formula>"Red"</formula>
    </cfRule>
    <cfRule type="cellIs" dxfId="189" priority="157" operator="equal">
      <formula>"Unknown"</formula>
    </cfRule>
    <cfRule type="cellIs" dxfId="188" priority="158" operator="equal">
      <formula>"Covered"</formula>
    </cfRule>
    <cfRule type="cellIs" dxfId="187" priority="159" operator="equal">
      <formula>"Green"</formula>
    </cfRule>
    <cfRule type="cellIs" dxfId="186" priority="160" operator="equal">
      <formula>"Yellow"</formula>
    </cfRule>
  </conditionalFormatting>
  <conditionalFormatting sqref="FR34:FS34">
    <cfRule type="cellIs" dxfId="185" priority="153" operator="equal">
      <formula>"Missed TCD"</formula>
    </cfRule>
    <cfRule type="cellIs" dxfId="184" priority="154" operator="equal">
      <formula>"On-Track"</formula>
    </cfRule>
    <cfRule type="cellIs" dxfId="183" priority="155" operator="equal">
      <formula>"At Risk"</formula>
    </cfRule>
  </conditionalFormatting>
  <conditionalFormatting sqref="CS34">
    <cfRule type="cellIs" dxfId="182" priority="152" operator="equal">
      <formula>"Execution schedule has been re-baselined w/ FAIR PO Ack ACD. Validate your durations before publishing"</formula>
    </cfRule>
  </conditionalFormatting>
  <conditionalFormatting sqref="L36 U36 AA36 BH36 BN36 BQ36 BT36 BW36 BZ36 CC36 CF36 CI36 CL36 CY36 DE36 DH36 DO36 DZ36:EA36 ED36 EJ36 EM36 EP36 ES36 EV36 EY36 FB36 FE36 FH36 FQ36 FK36 EG36 DR36 DV36 AD36 FN36 DL36">
    <cfRule type="notContainsBlanks" dxfId="181" priority="151">
      <formula>LEN(TRIM(L36))&gt;0</formula>
    </cfRule>
  </conditionalFormatting>
  <conditionalFormatting sqref="E35:E36">
    <cfRule type="cellIs" dxfId="180" priority="146" operator="equal">
      <formula>"Red"</formula>
    </cfRule>
    <cfRule type="cellIs" dxfId="179" priority="147" operator="equal">
      <formula>"Unknown"</formula>
    </cfRule>
    <cfRule type="cellIs" dxfId="178" priority="148" operator="equal">
      <formula>"Covered"</formula>
    </cfRule>
    <cfRule type="cellIs" dxfId="177" priority="149" operator="equal">
      <formula>"Green"</formula>
    </cfRule>
    <cfRule type="cellIs" dxfId="176" priority="150" operator="equal">
      <formula>"Yellow"</formula>
    </cfRule>
  </conditionalFormatting>
  <conditionalFormatting sqref="FR36:FS36">
    <cfRule type="cellIs" dxfId="175" priority="143" operator="equal">
      <formula>"Missed TCD"</formula>
    </cfRule>
    <cfRule type="cellIs" dxfId="174" priority="144" operator="equal">
      <formula>"On-Track"</formula>
    </cfRule>
    <cfRule type="cellIs" dxfId="173" priority="145" operator="equal">
      <formula>"At Risk"</formula>
    </cfRule>
  </conditionalFormatting>
  <conditionalFormatting sqref="CS36">
    <cfRule type="cellIs" dxfId="172" priority="142" operator="equal">
      <formula>"Execution schedule has been re-baselined w/ FAIR PO Ack ACD. Validate your durations before publishing"</formula>
    </cfRule>
  </conditionalFormatting>
  <conditionalFormatting sqref="L38 U38 AA38 BH38 BN38 BQ38 BT38 BW38 BZ38 CC38 CF38 CI38 CL38 CY38 DE38 DH38 DO38 DZ38:EA38 ED38 EJ38 EM38 EP38 ES38 EV38 EY38 FB38 FE38 FH38 FQ38 FK38 EG38 DR38 DV38 AD38 FN38 DL38">
    <cfRule type="notContainsBlanks" dxfId="171" priority="141">
      <formula>LEN(TRIM(L38))&gt;0</formula>
    </cfRule>
  </conditionalFormatting>
  <conditionalFormatting sqref="E37:E38">
    <cfRule type="cellIs" dxfId="170" priority="136" operator="equal">
      <formula>"Red"</formula>
    </cfRule>
    <cfRule type="cellIs" dxfId="169" priority="137" operator="equal">
      <formula>"Unknown"</formula>
    </cfRule>
    <cfRule type="cellIs" dxfId="168" priority="138" operator="equal">
      <formula>"Covered"</formula>
    </cfRule>
    <cfRule type="cellIs" dxfId="167" priority="139" operator="equal">
      <formula>"Green"</formula>
    </cfRule>
    <cfRule type="cellIs" dxfId="166" priority="140" operator="equal">
      <formula>"Yellow"</formula>
    </cfRule>
  </conditionalFormatting>
  <conditionalFormatting sqref="FR38:FS38">
    <cfRule type="cellIs" dxfId="165" priority="133" operator="equal">
      <formula>"Missed TCD"</formula>
    </cfRule>
    <cfRule type="cellIs" dxfId="164" priority="134" operator="equal">
      <formula>"On-Track"</formula>
    </cfRule>
    <cfRule type="cellIs" dxfId="163" priority="135" operator="equal">
      <formula>"At Risk"</formula>
    </cfRule>
  </conditionalFormatting>
  <conditionalFormatting sqref="CS38">
    <cfRule type="cellIs" dxfId="162" priority="132" operator="equal">
      <formula>"Execution schedule has been re-baselined w/ FAIR PO Ack ACD. Validate your durations before publishing"</formula>
    </cfRule>
  </conditionalFormatting>
  <conditionalFormatting sqref="L40 U40 AA40 BH40 BN40 BQ40 BT40 BW40 BZ40 CC40 CF40 CI40 CL40 CY40 DE40 DH40 DO40 DZ40:EA40 ED40 EJ40 EM40 EP40 ES40 EV40 EY40 FB40 FE40 FH40 FQ40 FK40 EG40 DR40 DV40 AD40 FN40 DL40">
    <cfRule type="notContainsBlanks" dxfId="161" priority="131">
      <formula>LEN(TRIM(L40))&gt;0</formula>
    </cfRule>
  </conditionalFormatting>
  <conditionalFormatting sqref="E39:E40">
    <cfRule type="cellIs" dxfId="160" priority="126" operator="equal">
      <formula>"Red"</formula>
    </cfRule>
    <cfRule type="cellIs" dxfId="159" priority="127" operator="equal">
      <formula>"Unknown"</formula>
    </cfRule>
    <cfRule type="cellIs" dxfId="158" priority="128" operator="equal">
      <formula>"Covered"</formula>
    </cfRule>
    <cfRule type="cellIs" dxfId="157" priority="129" operator="equal">
      <formula>"Green"</formula>
    </cfRule>
    <cfRule type="cellIs" dxfId="156" priority="130" operator="equal">
      <formula>"Yellow"</formula>
    </cfRule>
  </conditionalFormatting>
  <conditionalFormatting sqref="FR40:FS40">
    <cfRule type="cellIs" dxfId="155" priority="123" operator="equal">
      <formula>"Missed TCD"</formula>
    </cfRule>
    <cfRule type="cellIs" dxfId="154" priority="124" operator="equal">
      <formula>"On-Track"</formula>
    </cfRule>
    <cfRule type="cellIs" dxfId="153" priority="125" operator="equal">
      <formula>"At Risk"</formula>
    </cfRule>
  </conditionalFormatting>
  <conditionalFormatting sqref="CS40">
    <cfRule type="cellIs" dxfId="152" priority="122" operator="equal">
      <formula>"Execution schedule has been re-baselined w/ FAIR PO Ack ACD. Validate your durations before publishing"</formula>
    </cfRule>
  </conditionalFormatting>
  <conditionalFormatting sqref="L42 U42 AA42 BH42 BN42 BQ42 BT42 BW42 BZ42 CC42 CF42 CI42 CL42 CY42 DE42 DH42 DO42 DZ42:EA42 ED42 EJ42 EM42 EP42 ES42 EV42 EY42 FB42 FE42 FH42 FQ42 FK42 EG42 DR42 DV42 AD42 FN42 DL42">
    <cfRule type="notContainsBlanks" dxfId="151" priority="121">
      <formula>LEN(TRIM(L42))&gt;0</formula>
    </cfRule>
  </conditionalFormatting>
  <conditionalFormatting sqref="E41:E42">
    <cfRule type="cellIs" dxfId="150" priority="116" operator="equal">
      <formula>"Red"</formula>
    </cfRule>
    <cfRule type="cellIs" dxfId="149" priority="117" operator="equal">
      <formula>"Unknown"</formula>
    </cfRule>
    <cfRule type="cellIs" dxfId="148" priority="118" operator="equal">
      <formula>"Covered"</formula>
    </cfRule>
    <cfRule type="cellIs" dxfId="147" priority="119" operator="equal">
      <formula>"Green"</formula>
    </cfRule>
    <cfRule type="cellIs" dxfId="146" priority="120" operator="equal">
      <formula>"Yellow"</formula>
    </cfRule>
  </conditionalFormatting>
  <conditionalFormatting sqref="FR42:FS42">
    <cfRule type="cellIs" dxfId="145" priority="113" operator="equal">
      <formula>"Missed TCD"</formula>
    </cfRule>
    <cfRule type="cellIs" dxfId="144" priority="114" operator="equal">
      <formula>"On-Track"</formula>
    </cfRule>
    <cfRule type="cellIs" dxfId="143" priority="115" operator="equal">
      <formula>"At Risk"</formula>
    </cfRule>
  </conditionalFormatting>
  <conditionalFormatting sqref="CS42">
    <cfRule type="cellIs" dxfId="142" priority="112" operator="equal">
      <formula>"Execution schedule has been re-baselined w/ FAIR PO Ack ACD. Validate your durations before publishing"</formula>
    </cfRule>
  </conditionalFormatting>
  <conditionalFormatting sqref="L44 U44 AA44 BH44 BN44 BQ44 BT44 BW44 BZ44 CC44 CF44 CI44 CL44 CY44 DE44 DH44 DO44 DZ44:EA44 ED44 EJ44 EM44 EP44 ES44 EV44 EY44 FB44 FE44 FH44 FQ44 FK44 EG44 DR44 DV44 AD44 FN44 DL44">
    <cfRule type="notContainsBlanks" dxfId="141" priority="111">
      <formula>LEN(TRIM(L44))&gt;0</formula>
    </cfRule>
  </conditionalFormatting>
  <conditionalFormatting sqref="E43:E44">
    <cfRule type="cellIs" dxfId="140" priority="106" operator="equal">
      <formula>"Red"</formula>
    </cfRule>
    <cfRule type="cellIs" dxfId="139" priority="107" operator="equal">
      <formula>"Unknown"</formula>
    </cfRule>
    <cfRule type="cellIs" dxfId="138" priority="108" operator="equal">
      <formula>"Covered"</formula>
    </cfRule>
    <cfRule type="cellIs" dxfId="137" priority="109" operator="equal">
      <formula>"Green"</formula>
    </cfRule>
    <cfRule type="cellIs" dxfId="136" priority="110" operator="equal">
      <formula>"Yellow"</formula>
    </cfRule>
  </conditionalFormatting>
  <conditionalFormatting sqref="FR44:FS44">
    <cfRule type="cellIs" dxfId="135" priority="103" operator="equal">
      <formula>"Missed TCD"</formula>
    </cfRule>
    <cfRule type="cellIs" dxfId="134" priority="104" operator="equal">
      <formula>"On-Track"</formula>
    </cfRule>
    <cfRule type="cellIs" dxfId="133" priority="105" operator="equal">
      <formula>"At Risk"</formula>
    </cfRule>
  </conditionalFormatting>
  <conditionalFormatting sqref="CS44">
    <cfRule type="cellIs" dxfId="132" priority="102" operator="equal">
      <formula>"Execution schedule has been re-baselined w/ FAIR PO Ack ACD. Validate your durations before publishing"</formula>
    </cfRule>
  </conditionalFormatting>
  <conditionalFormatting sqref="L46 O46 U46 AA46 AG46 AS46 BB46 BE46 BH46 BK46 BN46 BQ46 BT46 BW46 BZ46 CC46 CF46 CI46 CL46 CO46 CY46 DE46 DH46 DO46 DZ46:EA46 ED46 EJ46 EM46 EP46 ES46 EV46 EY46 FB46 FE46 FH46 FQ46 FK46 EG46 DR46 DV46 AD46 FN46 DL46 R46 CR46">
    <cfRule type="notContainsBlanks" dxfId="131" priority="101">
      <formula>LEN(TRIM(L46))&gt;0</formula>
    </cfRule>
  </conditionalFormatting>
  <conditionalFormatting sqref="E45:E46">
    <cfRule type="cellIs" dxfId="130" priority="96" operator="equal">
      <formula>"Red"</formula>
    </cfRule>
    <cfRule type="cellIs" dxfId="129" priority="97" operator="equal">
      <formula>"Unknown"</formula>
    </cfRule>
    <cfRule type="cellIs" dxfId="128" priority="98" operator="equal">
      <formula>"Covered"</formula>
    </cfRule>
    <cfRule type="cellIs" dxfId="127" priority="99" operator="equal">
      <formula>"Green"</formula>
    </cfRule>
    <cfRule type="cellIs" dxfId="126" priority="100" operator="equal">
      <formula>"Yellow"</formula>
    </cfRule>
  </conditionalFormatting>
  <conditionalFormatting sqref="FR46:FS46">
    <cfRule type="cellIs" dxfId="125" priority="93" operator="equal">
      <formula>"Missed TCD"</formula>
    </cfRule>
    <cfRule type="cellIs" dxfId="124" priority="94" operator="equal">
      <formula>"On-Track"</formula>
    </cfRule>
    <cfRule type="cellIs" dxfId="123" priority="95" operator="equal">
      <formula>"At Risk"</formula>
    </cfRule>
  </conditionalFormatting>
  <conditionalFormatting sqref="CS46">
    <cfRule type="cellIs" dxfId="122" priority="92" operator="equal">
      <formula>"Execution schedule has been re-baselined w/ FAIR PO Ack ACD. Validate your durations before publishing"</formula>
    </cfRule>
  </conditionalFormatting>
  <conditionalFormatting sqref="L48 U48 AA48 BH48 BN48 BQ48 BT48 BW48 BZ48 CC48 CF48 CI48 CL48 CY48 DE48 DH48 DO48 DZ48:EA48 ED48 EJ48 EM48 EP48 ES48 EV48 EY48 FB48 FE48 FH48 FQ48 FK48 EG48 DR48 DV48 AD48 FN48 DL48">
    <cfRule type="notContainsBlanks" dxfId="121" priority="91">
      <formula>LEN(TRIM(L48))&gt;0</formula>
    </cfRule>
  </conditionalFormatting>
  <conditionalFormatting sqref="E47:E48">
    <cfRule type="cellIs" dxfId="120" priority="86" operator="equal">
      <formula>"Red"</formula>
    </cfRule>
    <cfRule type="cellIs" dxfId="119" priority="87" operator="equal">
      <formula>"Unknown"</formula>
    </cfRule>
    <cfRule type="cellIs" dxfId="118" priority="88" operator="equal">
      <formula>"Covered"</formula>
    </cfRule>
    <cfRule type="cellIs" dxfId="117" priority="89" operator="equal">
      <formula>"Green"</formula>
    </cfRule>
    <cfRule type="cellIs" dxfId="116" priority="90" operator="equal">
      <formula>"Yellow"</formula>
    </cfRule>
  </conditionalFormatting>
  <conditionalFormatting sqref="FR48:FS48">
    <cfRule type="cellIs" dxfId="115" priority="83" operator="equal">
      <formula>"Missed TCD"</formula>
    </cfRule>
    <cfRule type="cellIs" dxfId="114" priority="84" operator="equal">
      <formula>"On-Track"</formula>
    </cfRule>
    <cfRule type="cellIs" dxfId="113" priority="85" operator="equal">
      <formula>"At Risk"</formula>
    </cfRule>
  </conditionalFormatting>
  <conditionalFormatting sqref="CS48">
    <cfRule type="cellIs" dxfId="112" priority="82" operator="equal">
      <formula>"Execution schedule has been re-baselined w/ FAIR PO Ack ACD. Validate your durations before publishing"</formula>
    </cfRule>
  </conditionalFormatting>
  <conditionalFormatting sqref="L50 U50 AA50 BH50 BN50 BQ50 BT50 BW50 BZ50 CC50 CF50 CI50 CL50 CY50 DE50 DH50 DO50 DZ50:EA50 ED50 EJ50 EM50 EP50 ES50 EV50 EY50 FB50 FE50 FH50 FQ50 FK50 EG50 DR50 DV50 AD50 FN50 DL50">
    <cfRule type="notContainsBlanks" dxfId="111" priority="81">
      <formula>LEN(TRIM(L50))&gt;0</formula>
    </cfRule>
  </conditionalFormatting>
  <conditionalFormatting sqref="E49:E50">
    <cfRule type="cellIs" dxfId="110" priority="76" operator="equal">
      <formula>"Red"</formula>
    </cfRule>
    <cfRule type="cellIs" dxfId="109" priority="77" operator="equal">
      <formula>"Unknown"</formula>
    </cfRule>
    <cfRule type="cellIs" dxfId="108" priority="78" operator="equal">
      <formula>"Covered"</formula>
    </cfRule>
    <cfRule type="cellIs" dxfId="107" priority="79" operator="equal">
      <formula>"Green"</formula>
    </cfRule>
    <cfRule type="cellIs" dxfId="106" priority="80" operator="equal">
      <formula>"Yellow"</formula>
    </cfRule>
  </conditionalFormatting>
  <conditionalFormatting sqref="FR50:FS50">
    <cfRule type="cellIs" dxfId="105" priority="73" operator="equal">
      <formula>"Missed TCD"</formula>
    </cfRule>
    <cfRule type="cellIs" dxfId="104" priority="74" operator="equal">
      <formula>"On-Track"</formula>
    </cfRule>
    <cfRule type="cellIs" dxfId="103" priority="75" operator="equal">
      <formula>"At Risk"</formula>
    </cfRule>
  </conditionalFormatting>
  <conditionalFormatting sqref="CS50">
    <cfRule type="cellIs" dxfId="102" priority="72" operator="equal">
      <formula>"Execution schedule has been re-baselined w/ FAIR PO Ack ACD. Validate your durations before publishing"</formula>
    </cfRule>
  </conditionalFormatting>
  <conditionalFormatting sqref="L52 U52 AA52 BH52 BN52 BQ52 BT52 BW52 BZ52 CC52 CF52 CI52 CL52 CY52 DE52 DH52 DO52 DZ52:EA52 ED52 EJ52 EM52 EP52 ES52 EV52 EY52 FB52 FE52 FH52 FQ52 FK52 EG52 DR52 DV52 AD52 FN52 DL52">
    <cfRule type="notContainsBlanks" dxfId="101" priority="71">
      <formula>LEN(TRIM(L52))&gt;0</formula>
    </cfRule>
  </conditionalFormatting>
  <conditionalFormatting sqref="E51:E52">
    <cfRule type="cellIs" dxfId="100" priority="66" operator="equal">
      <formula>"Red"</formula>
    </cfRule>
    <cfRule type="cellIs" dxfId="99" priority="67" operator="equal">
      <formula>"Unknown"</formula>
    </cfRule>
    <cfRule type="cellIs" dxfId="98" priority="68" operator="equal">
      <formula>"Covered"</formula>
    </cfRule>
    <cfRule type="cellIs" dxfId="97" priority="69" operator="equal">
      <formula>"Green"</formula>
    </cfRule>
    <cfRule type="cellIs" dxfId="96" priority="70" operator="equal">
      <formula>"Yellow"</formula>
    </cfRule>
  </conditionalFormatting>
  <conditionalFormatting sqref="FR52:FS52">
    <cfRule type="cellIs" dxfId="95" priority="63" operator="equal">
      <formula>"Missed TCD"</formula>
    </cfRule>
    <cfRule type="cellIs" dxfId="94" priority="64" operator="equal">
      <formula>"On-Track"</formula>
    </cfRule>
    <cfRule type="cellIs" dxfId="93" priority="65" operator="equal">
      <formula>"At Risk"</formula>
    </cfRule>
  </conditionalFormatting>
  <conditionalFormatting sqref="CS52">
    <cfRule type="cellIs" dxfId="92" priority="62" operator="equal">
      <formula>"Execution schedule has been re-baselined w/ FAIR PO Ack ACD. Validate your durations before publishing"</formula>
    </cfRule>
  </conditionalFormatting>
  <conditionalFormatting sqref="L54 U54 AA54 BH54 BN54 BQ54 BT54 BW54 BZ54 CC54 CF54 CI54 CL54 CY54 DE54 DH54 DO54 DZ54:EA54 ED54 EJ54 EM54 EP54 ES54 EV54 EY54 FB54 FE54 FH54 FQ54 FK54 EG54 DR54 DV54 AD54 FN54 DL54">
    <cfRule type="notContainsBlanks" dxfId="91" priority="61">
      <formula>LEN(TRIM(L54))&gt;0</formula>
    </cfRule>
  </conditionalFormatting>
  <conditionalFormatting sqref="E53:E54">
    <cfRule type="cellIs" dxfId="90" priority="56" operator="equal">
      <formula>"Red"</formula>
    </cfRule>
    <cfRule type="cellIs" dxfId="89" priority="57" operator="equal">
      <formula>"Unknown"</formula>
    </cfRule>
    <cfRule type="cellIs" dxfId="88" priority="58" operator="equal">
      <formula>"Covered"</formula>
    </cfRule>
    <cfRule type="cellIs" dxfId="87" priority="59" operator="equal">
      <formula>"Green"</formula>
    </cfRule>
    <cfRule type="cellIs" dxfId="86" priority="60" operator="equal">
      <formula>"Yellow"</formula>
    </cfRule>
  </conditionalFormatting>
  <conditionalFormatting sqref="FR54:FS54">
    <cfRule type="cellIs" dxfId="85" priority="53" operator="equal">
      <formula>"Missed TCD"</formula>
    </cfRule>
    <cfRule type="cellIs" dxfId="84" priority="54" operator="equal">
      <formula>"On-Track"</formula>
    </cfRule>
    <cfRule type="cellIs" dxfId="83" priority="55" operator="equal">
      <formula>"At Risk"</formula>
    </cfRule>
  </conditionalFormatting>
  <conditionalFormatting sqref="CS54">
    <cfRule type="cellIs" dxfId="82" priority="52" operator="equal">
      <formula>"Execution schedule has been re-baselined w/ FAIR PO Ack ACD. Validate your durations before publishing"</formula>
    </cfRule>
  </conditionalFormatting>
  <conditionalFormatting sqref="L56 U56 AA56 BH56 BN56 BQ56 BT56 BW56 BZ56 CC56 CF56 CI56 CL56 CY56 DE56 DH56 DO56 DZ56:EA56 ED56 EJ56 EM56 EP56 ES56 EV56 EY56 FB56 FE56 FH56 FQ56 FK56 EG56 DR56 DV56 AD56 FN56 DL56">
    <cfRule type="notContainsBlanks" dxfId="81" priority="51">
      <formula>LEN(TRIM(L56))&gt;0</formula>
    </cfRule>
  </conditionalFormatting>
  <conditionalFormatting sqref="E55:E56">
    <cfRule type="cellIs" dxfId="80" priority="46" operator="equal">
      <formula>"Red"</formula>
    </cfRule>
    <cfRule type="cellIs" dxfId="79" priority="47" operator="equal">
      <formula>"Unknown"</formula>
    </cfRule>
    <cfRule type="cellIs" dxfId="78" priority="48" operator="equal">
      <formula>"Covered"</formula>
    </cfRule>
    <cfRule type="cellIs" dxfId="77" priority="49" operator="equal">
      <formula>"Green"</formula>
    </cfRule>
    <cfRule type="cellIs" dxfId="76" priority="50" operator="equal">
      <formula>"Yellow"</formula>
    </cfRule>
  </conditionalFormatting>
  <conditionalFormatting sqref="FR56:FS56">
    <cfRule type="cellIs" dxfId="75" priority="43" operator="equal">
      <formula>"Missed TCD"</formula>
    </cfRule>
    <cfRule type="cellIs" dxfId="74" priority="44" operator="equal">
      <formula>"On-Track"</formula>
    </cfRule>
    <cfRule type="cellIs" dxfId="73" priority="45" operator="equal">
      <formula>"At Risk"</formula>
    </cfRule>
  </conditionalFormatting>
  <conditionalFormatting sqref="CS56">
    <cfRule type="cellIs" dxfId="72" priority="42" operator="equal">
      <formula>"Execution schedule has been re-baselined w/ FAIR PO Ack ACD. Validate your durations before publishing"</formula>
    </cfRule>
  </conditionalFormatting>
  <conditionalFormatting sqref="L58 U58 AA58 BH58 BN58 BQ58 BT58 BW58 BZ58 CC58 CF58 CI58 CL58 CY58 DE58 DH58 DO58 DZ58:EA58 ED58 EJ58 EM58 EP58 ES58 EV58 EY58 FB58 FE58 FH58 FQ58 FK58 EG58 DR58 DV58 AD58 FN58 DL58">
    <cfRule type="notContainsBlanks" dxfId="71" priority="41">
      <formula>LEN(TRIM(L58))&gt;0</formula>
    </cfRule>
  </conditionalFormatting>
  <conditionalFormatting sqref="E57:E58">
    <cfRule type="cellIs" dxfId="70" priority="36" operator="equal">
      <formula>"Red"</formula>
    </cfRule>
    <cfRule type="cellIs" dxfId="69" priority="37" operator="equal">
      <formula>"Unknown"</formula>
    </cfRule>
    <cfRule type="cellIs" dxfId="68" priority="38" operator="equal">
      <formula>"Covered"</formula>
    </cfRule>
    <cfRule type="cellIs" dxfId="67" priority="39" operator="equal">
      <formula>"Green"</formula>
    </cfRule>
    <cfRule type="cellIs" dxfId="66" priority="40" operator="equal">
      <formula>"Yellow"</formula>
    </cfRule>
  </conditionalFormatting>
  <conditionalFormatting sqref="FR58:FS58">
    <cfRule type="cellIs" dxfId="65" priority="33" operator="equal">
      <formula>"Missed TCD"</formula>
    </cfRule>
    <cfRule type="cellIs" dxfId="64" priority="34" operator="equal">
      <formula>"On-Track"</formula>
    </cfRule>
    <cfRule type="cellIs" dxfId="63" priority="35" operator="equal">
      <formula>"At Risk"</formula>
    </cfRule>
  </conditionalFormatting>
  <conditionalFormatting sqref="CS58">
    <cfRule type="cellIs" dxfId="62" priority="32" operator="equal">
      <formula>"Execution schedule has been re-baselined w/ FAIR PO Ack ACD. Validate your durations before publishing"</formula>
    </cfRule>
  </conditionalFormatting>
  <conditionalFormatting sqref="DB12">
    <cfRule type="notContainsBlanks" dxfId="61" priority="31">
      <formula>LEN(TRIM(DB12))&gt;0</formula>
    </cfRule>
  </conditionalFormatting>
  <conditionalFormatting sqref="DB12">
    <cfRule type="notContainsBlanks" dxfId="60" priority="30">
      <formula>LEN(TRIM(DB12))&gt;0</formula>
    </cfRule>
  </conditionalFormatting>
  <conditionalFormatting sqref="DB14">
    <cfRule type="notContainsBlanks" dxfId="59" priority="29">
      <formula>LEN(TRIM(DB14))&gt;0</formula>
    </cfRule>
  </conditionalFormatting>
  <conditionalFormatting sqref="DB14">
    <cfRule type="notContainsBlanks" dxfId="58" priority="28">
      <formula>LEN(TRIM(DB14))&gt;0</formula>
    </cfRule>
  </conditionalFormatting>
  <conditionalFormatting sqref="DB16">
    <cfRule type="notContainsBlanks" dxfId="57" priority="27">
      <formula>LEN(TRIM(DB16))&gt;0</formula>
    </cfRule>
  </conditionalFormatting>
  <conditionalFormatting sqref="DB16">
    <cfRule type="notContainsBlanks" dxfId="56" priority="26">
      <formula>LEN(TRIM(DB16))&gt;0</formula>
    </cfRule>
  </conditionalFormatting>
  <conditionalFormatting sqref="DB18">
    <cfRule type="notContainsBlanks" dxfId="55" priority="25">
      <formula>LEN(TRIM(DB18))&gt;0</formula>
    </cfRule>
  </conditionalFormatting>
  <conditionalFormatting sqref="DB18">
    <cfRule type="notContainsBlanks" dxfId="54" priority="24">
      <formula>LEN(TRIM(DB18))&gt;0</formula>
    </cfRule>
  </conditionalFormatting>
  <conditionalFormatting sqref="DB20">
    <cfRule type="notContainsBlanks" dxfId="53" priority="23">
      <formula>LEN(TRIM(DB20))&gt;0</formula>
    </cfRule>
  </conditionalFormatting>
  <conditionalFormatting sqref="DB20">
    <cfRule type="notContainsBlanks" dxfId="52" priority="22">
      <formula>LEN(TRIM(DB20))&gt;0</formula>
    </cfRule>
  </conditionalFormatting>
  <conditionalFormatting sqref="DB22">
    <cfRule type="notContainsBlanks" dxfId="51" priority="21">
      <formula>LEN(TRIM(DB22))&gt;0</formula>
    </cfRule>
  </conditionalFormatting>
  <conditionalFormatting sqref="DB22">
    <cfRule type="notContainsBlanks" dxfId="50" priority="20">
      <formula>LEN(TRIM(DB22))&gt;0</formula>
    </cfRule>
  </conditionalFormatting>
  <conditionalFormatting sqref="DB58 DB56 DB54 DB52 DB50 DB48 DB46 DB44 DB42 DB40 DB38 DB36 DB34 DB32 DB30 DB28 DB26">
    <cfRule type="notContainsBlanks" dxfId="49" priority="19">
      <formula>LEN(TRIM(DB26))&gt;0</formula>
    </cfRule>
  </conditionalFormatting>
  <conditionalFormatting sqref="O58 O56 O54 O52 O50 O48 O44 O42 O40 O38 O36 O34 O32 O30 O28 O26 O24 O22 O20 O18 O16 O14 O12 O10">
    <cfRule type="notContainsBlanks" dxfId="48" priority="18">
      <formula>LEN(TRIM(O10))&gt;0</formula>
    </cfRule>
  </conditionalFormatting>
  <conditionalFormatting sqref="R58 R56 R54 R52 R50 R48 R44 R42 R40 R38 R36 R34 R32 R30 R28 R26 R24 R22 R20 R18 R16 R14 R12 R10">
    <cfRule type="notContainsBlanks" dxfId="47" priority="17">
      <formula>LEN(TRIM(R10))&gt;0</formula>
    </cfRule>
  </conditionalFormatting>
  <conditionalFormatting sqref="X10 X12 X14 X16 X18 X20 X22 X24 X26 X28 X30 X32 X34 X36 X38 X40 X42 X44 X48 X50 X52 X54 X56 X58">
    <cfRule type="notContainsBlanks" dxfId="46" priority="16">
      <formula>LEN(TRIM(X10))&gt;0</formula>
    </cfRule>
  </conditionalFormatting>
  <conditionalFormatting sqref="AG58 AG56 AG54 AG52 AG50 AG48 AG44 AG42 AG40 AG38 AG36 AG34 AG32 AG30 AG28 AG26 AG24 AG22 AG20 AG18 AG16 AG14 AG12 AG10">
    <cfRule type="notContainsBlanks" dxfId="45" priority="15">
      <formula>LEN(TRIM(AG10))&gt;0</formula>
    </cfRule>
  </conditionalFormatting>
  <conditionalFormatting sqref="AS58 AS56 AS54 AS52 AS50 AS48 AS44 AS42 AS40 AS38 AS36 AS34 AS32 AS30 AS28 AS26 AS24 AS22 AS20 AS18 AS16 AS14 AS12 AS10">
    <cfRule type="notContainsBlanks" dxfId="44" priority="12">
      <formula>LEN(TRIM(AS10))&gt;0</formula>
    </cfRule>
  </conditionalFormatting>
  <conditionalFormatting sqref="BB58 BB56 BB54 BB52 BB50 BB48 BB44 BB42 BB40 BB38 BB36 BB34 BB32 BB30 BB28 BB26 BB24 BB22 BB20 BB18 BB16 BB14 BB12 BB10">
    <cfRule type="notContainsBlanks" dxfId="43" priority="8">
      <formula>LEN(TRIM(BB10))&gt;0</formula>
    </cfRule>
  </conditionalFormatting>
  <conditionalFormatting sqref="BE58 BE56 BE54 BE52 BE50 BE48 BE44 BE42 BE40 BE38 BE36 BE34 BE32 BE30 BE28 BE26 BE24 BE22 BE20 BE18 BE16 BE14 BE12 BE10">
    <cfRule type="notContainsBlanks" dxfId="42" priority="7">
      <formula>LEN(TRIM(BE10))&gt;0</formula>
    </cfRule>
  </conditionalFormatting>
  <conditionalFormatting sqref="BK58 BK56 BK54 BK52 BK50 BK48 BK44 BK42 BK40 BK38 BK36 BK34 BK32 BK30 BK28 BK26 BK24 BK22 BK20 BK18 BK16 BK14 BK12 BK10">
    <cfRule type="notContainsBlanks" dxfId="41" priority="6">
      <formula>LEN(TRIM(BK10))&gt;0</formula>
    </cfRule>
  </conditionalFormatting>
  <conditionalFormatting sqref="CO58 CO56 CO54 CO52 CO50 CO48 CO44 CO42 CO40 CO38 CO36 CO34 CO32 CO30 CO28 CO26 CO24 CO22 CO20 CO18 CO16 CO14 CO12 CO10">
    <cfRule type="notContainsBlanks" dxfId="40" priority="5">
      <formula>LEN(TRIM(CO10))&gt;0</formula>
    </cfRule>
  </conditionalFormatting>
  <conditionalFormatting sqref="CR58 CR56 CR54 CR52 CR50 CR48 CR44 CR42 CR40 CR38 CR36 CR34 CR32 CR30 CR28 CR26 CR24 CR22 CR20 CR18 CR16 CR14 CR12 CR10">
    <cfRule type="notContainsBlanks" dxfId="39" priority="4">
      <formula>LEN(TRIM(CR10))&gt;0</formula>
    </cfRule>
  </conditionalFormatting>
  <conditionalFormatting sqref="CV10 CV12 CV14 CV16 CV18 CV20 CV22 CV24 CV26 CV28 CV30 CV32 CV34 CV36 CV38 CV40 CV42 CV44 CV48 CV50 CV52 CV54 CV56 CV58">
    <cfRule type="notContainsBlanks" dxfId="38" priority="3">
      <formula>LEN(TRIM(CV10))&gt;0</formula>
    </cfRule>
  </conditionalFormatting>
  <conditionalFormatting sqref="X46">
    <cfRule type="notContainsBlanks" dxfId="37" priority="2">
      <formula>LEN(TRIM(X46))&gt;0</formula>
    </cfRule>
  </conditionalFormatting>
  <conditionalFormatting sqref="CV46">
    <cfRule type="notContainsBlanks" dxfId="36" priority="1">
      <formula>LEN(TRIM(CV46))&gt;0</formula>
    </cfRule>
  </conditionalFormatting>
  <dataValidations count="4">
    <dataValidation operator="greaterThan" allowBlank="1" showInputMessage="1" showErrorMessage="1" sqref="FR1:FS2 CS9:CS58 FR7:FS1048576" xr:uid="{E7562A0B-61FD-4004-8DEA-36C4511A013A}"/>
    <dataValidation type="whole" operator="greaterThan" allowBlank="1" showInputMessage="1" showErrorMessage="1" sqref="EZ7:FB7 BC7:BE7 BA1:BE6 ET7 BI5 FL5 DC7:DE7 EZ4 EN7 EQ7 EW7 DG1 DX1 DQ1 DT2:DU2 DT1 EB1 DI2:DK2 DI1:DJ1 DI7 DS7 DW7 EA7 EB2:EC2 BJ1:DF2 DX2:DY2 DZ1:EA2 DV1:DW2 DM1:DP2 CM4 BG1:BI3 AC1:AD6 ED1:FQ2 CS8 BI7:CP1048576 CQ59:CS1048576 D9:D1048576 FI7:FL1048576 FM8:FN1048576 DQ8:ED1048576 FO7:FQ1048576 BF1:BF1048576 BG5:BH1048576 DA8:DE1048576 AC8:AD1048576 DF7:DH1048576 CT7:CT1048576 AE1:AZ1048576 FD8:FH1048576 EE7:EM1048576 DM7:DP1048576 EN8:FB1048576 I1:AB1048576 CW7:CZ1048576 FC7:FC1048576 CQ8:CR58 DI8:DL1048576 BA8:BE1048576 CU8:CV1048576" xr:uid="{84F31B0F-7F3B-4F81-91EF-CF6B135FACDA}">
      <formula1>-9999</formula1>
    </dataValidation>
    <dataValidation type="list" allowBlank="1" showInputMessage="1" showErrorMessage="1" sqref="E9:E1048576" xr:uid="{35E056E9-B255-4640-A1CD-89FC9799F9F0}">
      <formula1>"Covered,Green,Yellow,Red,Unknown"</formula1>
    </dataValidation>
    <dataValidation type="list" allowBlank="1" showInputMessage="1" showErrorMessage="1" sqref="H6:H1048576" xr:uid="{B00DB7FF-08BE-4744-94E4-579977534B2E}">
      <formula1>"Pre-Execution,Execution"</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32B62-19AB-4C9A-B978-A15C79CE03E0}">
  <sheetPr codeName="Sheet4"/>
  <dimension ref="A1:C13"/>
  <sheetViews>
    <sheetView workbookViewId="0"/>
  </sheetViews>
  <sheetFormatPr defaultRowHeight="15" x14ac:dyDescent="0.25"/>
  <cols>
    <col min="3" max="3" width="10.28515625" bestFit="1" customWidth="1"/>
  </cols>
  <sheetData>
    <row r="1" spans="1:3" x14ac:dyDescent="0.25">
      <c r="A1" s="14" t="s">
        <v>481</v>
      </c>
      <c r="B1" s="15" t="s">
        <v>482</v>
      </c>
      <c r="C1" s="15" t="s">
        <v>483</v>
      </c>
    </row>
    <row r="2" spans="1:3" x14ac:dyDescent="0.25">
      <c r="A2" t="s">
        <v>484</v>
      </c>
      <c r="C2" s="9">
        <v>45758</v>
      </c>
    </row>
    <row r="3" spans="1:3" x14ac:dyDescent="0.25">
      <c r="A3" t="s">
        <v>485</v>
      </c>
      <c r="B3">
        <v>5</v>
      </c>
      <c r="C3" s="9">
        <f>WORKDAY(C2,B3)</f>
        <v>45765</v>
      </c>
    </row>
    <row r="4" spans="1:3" x14ac:dyDescent="0.25">
      <c r="A4" t="s">
        <v>486</v>
      </c>
      <c r="B4">
        <v>10</v>
      </c>
      <c r="C4" s="9">
        <f t="shared" ref="C4:C13" si="0">WORKDAY(C3,B4)</f>
        <v>45779</v>
      </c>
    </row>
    <row r="5" spans="1:3" x14ac:dyDescent="0.25">
      <c r="A5" t="s">
        <v>487</v>
      </c>
      <c r="B5">
        <v>15</v>
      </c>
      <c r="C5" s="9">
        <f t="shared" si="0"/>
        <v>45800</v>
      </c>
    </row>
    <row r="6" spans="1:3" x14ac:dyDescent="0.25">
      <c r="A6" t="s">
        <v>488</v>
      </c>
      <c r="B6">
        <v>5</v>
      </c>
      <c r="C6" s="9">
        <f t="shared" si="0"/>
        <v>45807</v>
      </c>
    </row>
    <row r="7" spans="1:3" x14ac:dyDescent="0.25">
      <c r="A7" t="s">
        <v>489</v>
      </c>
      <c r="B7">
        <v>45</v>
      </c>
      <c r="C7" s="9">
        <f t="shared" si="0"/>
        <v>45870</v>
      </c>
    </row>
    <row r="8" spans="1:3" x14ac:dyDescent="0.25">
      <c r="A8" t="s">
        <v>490</v>
      </c>
      <c r="B8">
        <v>10</v>
      </c>
      <c r="C8" s="9">
        <f t="shared" si="0"/>
        <v>45884</v>
      </c>
    </row>
    <row r="9" spans="1:3" x14ac:dyDescent="0.25">
      <c r="A9" t="s">
        <v>491</v>
      </c>
      <c r="B9">
        <v>50</v>
      </c>
      <c r="C9" s="9">
        <f t="shared" si="0"/>
        <v>45954</v>
      </c>
    </row>
    <row r="10" spans="1:3" x14ac:dyDescent="0.25">
      <c r="A10" t="s">
        <v>492</v>
      </c>
      <c r="B10">
        <v>10</v>
      </c>
      <c r="C10" s="9">
        <f t="shared" si="0"/>
        <v>45968</v>
      </c>
    </row>
    <row r="11" spans="1:3" x14ac:dyDescent="0.25">
      <c r="A11" t="s">
        <v>493</v>
      </c>
      <c r="B11">
        <v>5</v>
      </c>
      <c r="C11" s="9">
        <f t="shared" si="0"/>
        <v>45975</v>
      </c>
    </row>
    <row r="12" spans="1:3" x14ac:dyDescent="0.25">
      <c r="A12" t="s">
        <v>494</v>
      </c>
      <c r="B12">
        <v>85</v>
      </c>
      <c r="C12" s="9">
        <f t="shared" si="0"/>
        <v>46094</v>
      </c>
    </row>
    <row r="13" spans="1:3" x14ac:dyDescent="0.25">
      <c r="A13" t="s">
        <v>495</v>
      </c>
      <c r="B13">
        <v>10</v>
      </c>
      <c r="C13" s="9">
        <f t="shared" si="0"/>
        <v>46108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5ED08968429F841957127518CBE11EB" ma:contentTypeVersion="3" ma:contentTypeDescription="Create a new document." ma:contentTypeScope="" ma:versionID="8b55102dfc24a116c3212cdb8818b1af">
  <xsd:schema xmlns:xsd="http://www.w3.org/2001/XMLSchema" xmlns:xs="http://www.w3.org/2001/XMLSchema" xmlns:p="http://schemas.microsoft.com/office/2006/metadata/properties" xmlns:ns2="d42d171d-8134-49e3-9261-5540650d98f6" targetNamespace="http://schemas.microsoft.com/office/2006/metadata/properties" ma:root="true" ma:fieldsID="deb8d1a803aea5bd36c220f7888e5f51" ns2:_="">
    <xsd:import namespace="d42d171d-8134-49e3-9261-5540650d98f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2d171d-8134-49e3-9261-5540650d98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04276B-22BA-48E5-8D2C-E35445855F0E}">
  <ds:schemaRefs>
    <ds:schemaRef ds:uri="http://purl.org/dc/terms/"/>
    <ds:schemaRef ds:uri="http://schemas.microsoft.com/office/2006/documentManagement/types"/>
    <ds:schemaRef ds:uri="http://schemas.microsoft.com/office/infopath/2007/PartnerControls"/>
    <ds:schemaRef ds:uri="http://purl.org/dc/dcmitype/"/>
    <ds:schemaRef ds:uri="http://schemas.openxmlformats.org/package/2006/metadata/core-properties"/>
    <ds:schemaRef ds:uri="http://schemas.microsoft.com/office/2006/metadata/properties"/>
    <ds:schemaRef ds:uri="d42d171d-8134-49e3-9261-5540650d98f6"/>
    <ds:schemaRef ds:uri="http://www.w3.org/XML/1998/namespace"/>
    <ds:schemaRef ds:uri="http://purl.org/dc/elements/1.1/"/>
  </ds:schemaRefs>
</ds:datastoreItem>
</file>

<file path=customXml/itemProps2.xml><?xml version="1.0" encoding="utf-8"?>
<ds:datastoreItem xmlns:ds="http://schemas.openxmlformats.org/officeDocument/2006/customXml" ds:itemID="{E4DC704B-3B43-4446-949D-CF537C83CBE4}">
  <ds:schemaRefs>
    <ds:schemaRef ds:uri="http://schemas.microsoft.com/sharepoint/v3/contenttype/forms"/>
  </ds:schemaRefs>
</ds:datastoreItem>
</file>

<file path=customXml/itemProps3.xml><?xml version="1.0" encoding="utf-8"?>
<ds:datastoreItem xmlns:ds="http://schemas.openxmlformats.org/officeDocument/2006/customXml" ds:itemID="{0B8E2FED-21E9-4D27-A03F-5DBAB0D820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2d171d-8134-49e3-9261-5540650d98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ee0f640-a56a-42e2-b6b0-038f80e79f5c}" enabled="1" method="Standard" siteId="{088ba556-7df5-4286-96d5-06283c06d167}" removed="0"/>
  <clbl:label id="{d546e5e1-5d42-4630-bacd-c69bfdcbd5e8}" enabled="1" method="Standard" siteId="{96ece526-9c7d-48b0-8daf-8b93c90a5d1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SIMS_Template</vt:lpstr>
      <vt:lpstr>SIMS</vt:lpstr>
      <vt:lpstr>Inchstone Example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Vale, Walter (SR-Power Systems)</dc:creator>
  <cp:keywords/>
  <dc:description/>
  <cp:lastModifiedBy>G, Rathna</cp:lastModifiedBy>
  <cp:revision/>
  <dcterms:created xsi:type="dcterms:W3CDTF">2025-03-07T14:46:06Z</dcterms:created>
  <dcterms:modified xsi:type="dcterms:W3CDTF">2026-05-06T09:55:21Z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0x01010085ED08968429F841957127518CBE11EB</vt:lpwstr>
  </property>
  <property fmtid="{D5CDD505-2E9C-101B-9397-08002B2CF9AE}" pid="3" name="SGM_SYS_Server">
    <vt:lpwstr>https://accolade.honeywell.com:443</vt:lpwstr>
  </property>
  <property fmtid="{D5CDD505-2E9C-101B-9397-08002B2CF9AE}" pid="4" name="SGM_SYS_ProjectID">
    <vt:i4>0</vt:i4>
  </property>
  <property fmtid="{D5CDD505-2E9C-101B-9397-08002B2CF9AE}" pid="5" name="SGM_SYS_ActivityID">
    <vt:i4>0</vt:i4>
  </property>
  <property fmtid="{D5CDD505-2E9C-101B-9397-08002B2CF9AE}" pid="6" name="SGM_SYS_DeliverableID">
    <vt:i4>0</vt:i4>
  </property>
  <property fmtid="{D5CDD505-2E9C-101B-9397-08002B2CF9AE}" pid="7" name="SGM_SYS_RelatedFileID">
    <vt:i4>0</vt:i4>
  </property>
  <property fmtid="{D5CDD505-2E9C-101B-9397-08002B2CF9AE}" pid="8" name="SGM_SYS_GateDocumentID">
    <vt:i4>0</vt:i4>
  </property>
  <property fmtid="{D5CDD505-2E9C-101B-9397-08002B2CF9AE}" pid="9" name="SGM_SYS_TemplateLibraryID">
    <vt:i4>0</vt:i4>
  </property>
</Properties>
</file>