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honaero.sharepoint.com/teams/DL_SR_ToW_India/Shared Documents/IMS/ELE/Sayee/"/>
    </mc:Choice>
  </mc:AlternateContent>
  <xr:revisionPtr revIDLastSave="238" documentId="13_ncr:1_{CE152B62-B260-4332-9BA4-B176FF67B67F}" xr6:coauthVersionLast="47" xr6:coauthVersionMax="47" xr10:uidLastSave="{D00A3F25-01AF-4576-8096-58C1B78934CD}"/>
  <bookViews>
    <workbookView xWindow="-110" yWindow="-110" windowWidth="19420" windowHeight="10300" tabRatio="587" firstSheet="2" activeTab="2" xr2:uid="{D3CD9099-DA27-4BA4-AFE1-4D3091A45DA0}"/>
  </bookViews>
  <sheets>
    <sheet name="Instructions" sheetId="7" r:id="rId1"/>
    <sheet name="SIMS_Template" sheetId="19" r:id="rId2"/>
    <sheet name="SIMS" sheetId="26" r:id="rId3"/>
    <sheet name="Inchstone Example" sheetId="17" r:id="rId4"/>
  </sheets>
  <definedNames>
    <definedName name="_xlnm._FilterDatabase" localSheetId="0" hidden="1">Instructions!$A$26:$B$26</definedName>
    <definedName name="_xlnm._FilterDatabase" localSheetId="2" hidden="1">SIMS!$A$8:$FW$8</definedName>
    <definedName name="_xlnm._FilterDatabase" localSheetId="1" hidden="1">SIMS_Template!$A$8:$FW$19</definedName>
    <definedName name="_xleta.BASE" hidden="1" xlm="1">#NAME?</definedName>
    <definedName name="_xleta.DAYS" hidden="1" xlm="1">#NAME?</definedName>
    <definedName name="_xleta.N" hidden="1" xlm="1">#NAME?</definedName>
    <definedName name="_xleta.NETWORKDAYS" hidden="1" xlm="1">#NAME?</definedName>
    <definedName name="_xleta.T" hidden="1" xlm="1">#NAME?</definedName>
  </definedNames>
  <calcPr calcId="191028"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J14" i="26" l="1"/>
  <c r="FP10" i="26"/>
  <c r="FJ12" i="26"/>
  <c r="FJ10" i="26"/>
  <c r="FM14" i="26"/>
  <c r="FM12" i="26"/>
  <c r="FM10" i="26"/>
  <c r="FP14" i="26"/>
  <c r="FP12" i="26"/>
  <c r="AC14" i="26"/>
  <c r="AF14" i="26" s="1"/>
  <c r="N14" i="26"/>
  <c r="H14" i="26"/>
  <c r="E14" i="26"/>
  <c r="AC12" i="26"/>
  <c r="AF12" i="26" s="1"/>
  <c r="N12" i="26"/>
  <c r="H12" i="26"/>
  <c r="E12" i="26"/>
  <c r="AC10" i="26"/>
  <c r="AF10" i="26" s="1"/>
  <c r="N10" i="26"/>
  <c r="H10" i="26"/>
  <c r="E10" i="26"/>
  <c r="FP18" i="19"/>
  <c r="FP16" i="19"/>
  <c r="FP14" i="19"/>
  <c r="FP12" i="19"/>
  <c r="FP10" i="19"/>
  <c r="CS18" i="19"/>
  <c r="CS16" i="19"/>
  <c r="CS14" i="19"/>
  <c r="CS12" i="19"/>
  <c r="CS10" i="19"/>
  <c r="AC18" i="19"/>
  <c r="AF18" i="19" s="1"/>
  <c r="AB18" i="19"/>
  <c r="AE18" i="19" s="1"/>
  <c r="AC16" i="19"/>
  <c r="AF16" i="19" s="1"/>
  <c r="AB16" i="19"/>
  <c r="AE16" i="19" s="1"/>
  <c r="AC14" i="19"/>
  <c r="AF14" i="19" s="1"/>
  <c r="AB14" i="19"/>
  <c r="AE14" i="19" s="1"/>
  <c r="AC12" i="19"/>
  <c r="AF12" i="19" s="1"/>
  <c r="AB12" i="19"/>
  <c r="AE12" i="19" s="1"/>
  <c r="AC10" i="19"/>
  <c r="AF10" i="19" s="1"/>
  <c r="AB10" i="19"/>
  <c r="AE10" i="19" s="1"/>
  <c r="Q14" i="26" l="1"/>
  <c r="Q10" i="26"/>
  <c r="Q12" i="26"/>
  <c r="W14" i="26"/>
  <c r="Z14" i="26"/>
  <c r="AI14" i="26" s="1"/>
  <c r="AL14" i="26" s="1"/>
  <c r="AO14" i="26" s="1"/>
  <c r="W12" i="26"/>
  <c r="Z12" i="26"/>
  <c r="AI12" i="26" s="1"/>
  <c r="AL12" i="26" s="1"/>
  <c r="AO12" i="26" s="1"/>
  <c r="W10" i="26"/>
  <c r="Z10" i="26"/>
  <c r="AI10" i="26" s="1"/>
  <c r="AL10" i="26" s="1"/>
  <c r="AO10" i="26" s="1"/>
  <c r="A4" i="7" a="1"/>
  <c r="A4" i="7" s="1"/>
  <c r="N12" i="19"/>
  <c r="AU14" i="26" l="1"/>
  <c r="AR14" i="26"/>
  <c r="BA14" i="26"/>
  <c r="CX14" i="26" s="1"/>
  <c r="DA14" i="26" s="1"/>
  <c r="AU12" i="26"/>
  <c r="AR12" i="26"/>
  <c r="BA12" i="26"/>
  <c r="CX12" i="26" s="1"/>
  <c r="DA12" i="26" s="1"/>
  <c r="AU10" i="26"/>
  <c r="BA10" i="26"/>
  <c r="CX10" i="26" s="1"/>
  <c r="DA10" i="26" s="1"/>
  <c r="AR10" i="26"/>
  <c r="H18" i="19"/>
  <c r="H16" i="19"/>
  <c r="H14" i="19"/>
  <c r="H12" i="19"/>
  <c r="H10" i="19"/>
  <c r="AX12" i="26" l="1"/>
  <c r="BD12" i="26" s="1"/>
  <c r="BG12" i="26" s="1"/>
  <c r="AX14" i="26"/>
  <c r="BD14" i="26" s="1"/>
  <c r="BG14" i="26" s="1"/>
  <c r="AX10" i="26"/>
  <c r="BD10" i="26" s="1"/>
  <c r="BG10" i="26" s="1"/>
  <c r="EI10" i="26" s="1"/>
  <c r="FT13" i="26"/>
  <c r="E10" i="19"/>
  <c r="E18" i="19"/>
  <c r="E16" i="19"/>
  <c r="E14" i="19"/>
  <c r="E12" i="19"/>
  <c r="BJ14" i="26" l="1"/>
  <c r="CN14" i="26" s="1"/>
  <c r="CQ14" i="26" s="1"/>
  <c r="CU14" i="26" s="1"/>
  <c r="DG14" i="26" s="1"/>
  <c r="DK14" i="26" s="1"/>
  <c r="EF14" i="26" s="1"/>
  <c r="FA14" i="26" s="1"/>
  <c r="EI14" i="26"/>
  <c r="BJ10" i="26"/>
  <c r="CN10" i="26" s="1"/>
  <c r="CQ10" i="26" s="1"/>
  <c r="CU10" i="26" s="1"/>
  <c r="DG10" i="26" s="1"/>
  <c r="DK10" i="26" s="1"/>
  <c r="EF10" i="26" s="1"/>
  <c r="FA10" i="26" s="1"/>
  <c r="FU10" i="26" s="1"/>
  <c r="FT9" i="26"/>
  <c r="FT14" i="26"/>
  <c r="EI12" i="26"/>
  <c r="BJ12" i="26"/>
  <c r="CN12" i="26" s="1"/>
  <c r="CQ12" i="26" s="1"/>
  <c r="FT11" i="26"/>
  <c r="N18" i="19"/>
  <c r="Q18" i="19" s="1"/>
  <c r="W18" i="19" s="1"/>
  <c r="M18" i="19"/>
  <c r="P18" i="19" s="1"/>
  <c r="N16" i="19"/>
  <c r="Q16" i="19" s="1"/>
  <c r="M16" i="19"/>
  <c r="P16" i="19" s="1"/>
  <c r="K14" i="19"/>
  <c r="N14" i="19" s="1"/>
  <c r="Q14" i="19" s="1"/>
  <c r="Z14" i="19" s="1"/>
  <c r="J14" i="19"/>
  <c r="M14" i="19" s="1"/>
  <c r="P14" i="19" s="1"/>
  <c r="Q12" i="19"/>
  <c r="M12" i="19"/>
  <c r="P12" i="19" s="1"/>
  <c r="V12" i="19" s="1"/>
  <c r="N10" i="19"/>
  <c r="Q10" i="19" s="1"/>
  <c r="M10" i="19"/>
  <c r="FR14" i="26" l="1"/>
  <c r="FV14" i="26"/>
  <c r="FU14" i="26"/>
  <c r="FT12" i="26"/>
  <c r="CU12" i="26"/>
  <c r="DG12" i="26" s="1"/>
  <c r="DK12" i="26" s="1"/>
  <c r="EF12" i="26" s="1"/>
  <c r="FA12" i="26" s="1"/>
  <c r="FU12" i="26" s="1"/>
  <c r="FR10" i="26"/>
  <c r="FV10" i="26"/>
  <c r="FT10" i="26"/>
  <c r="S14" i="19"/>
  <c r="Y14" i="19"/>
  <c r="Z12" i="19"/>
  <c r="AI12" i="19" s="1"/>
  <c r="AL12" i="19" s="1"/>
  <c r="AO12" i="19" s="1"/>
  <c r="W12" i="19"/>
  <c r="Z18" i="19"/>
  <c r="AI18" i="19" s="1"/>
  <c r="AL18" i="19" s="1"/>
  <c r="AO18" i="19" s="1"/>
  <c r="Z16" i="19"/>
  <c r="AI16" i="19" s="1"/>
  <c r="AL16" i="19" s="1"/>
  <c r="AO16" i="19" s="1"/>
  <c r="AU16" i="19" s="1"/>
  <c r="W16" i="19"/>
  <c r="Y18" i="19"/>
  <c r="AH18" i="19" s="1"/>
  <c r="AK18" i="19" s="1"/>
  <c r="AN18" i="19" s="1"/>
  <c r="AT18" i="19" s="1"/>
  <c r="V18" i="19"/>
  <c r="T14" i="19"/>
  <c r="Y12" i="19"/>
  <c r="AH12" i="19" s="1"/>
  <c r="AK12" i="19" s="1"/>
  <c r="AN12" i="19" s="1"/>
  <c r="AT12" i="19" s="1"/>
  <c r="V16" i="19"/>
  <c r="Y16" i="19"/>
  <c r="AH16" i="19" s="1"/>
  <c r="AK16" i="19" s="1"/>
  <c r="AN16" i="19" s="1"/>
  <c r="AT16" i="19" s="1"/>
  <c r="P10" i="19"/>
  <c r="FV13" i="26" l="1"/>
  <c r="FU13" i="26"/>
  <c r="FR12" i="26"/>
  <c r="FV12" i="26"/>
  <c r="FV9" i="26"/>
  <c r="FU9" i="26"/>
  <c r="AH14" i="19"/>
  <c r="AK14" i="19" s="1"/>
  <c r="AN14" i="19" s="1"/>
  <c r="AT14" i="19" s="1"/>
  <c r="AR18" i="19"/>
  <c r="AU18" i="19"/>
  <c r="Z10" i="19"/>
  <c r="AI10" i="19" s="1"/>
  <c r="AL10" i="19" s="1"/>
  <c r="AO10" i="19" s="1"/>
  <c r="W10" i="19"/>
  <c r="BA12" i="19"/>
  <c r="CX12" i="19" s="1"/>
  <c r="DA12" i="19" s="1"/>
  <c r="AU12" i="19"/>
  <c r="AR12" i="19"/>
  <c r="BA18" i="19"/>
  <c r="CX18" i="19" s="1"/>
  <c r="DA18" i="19" s="1"/>
  <c r="BA16" i="19"/>
  <c r="CX16" i="19" s="1"/>
  <c r="DA16" i="19" s="1"/>
  <c r="AR16" i="19"/>
  <c r="AX16" i="19" s="1"/>
  <c r="AI14" i="19"/>
  <c r="AL14" i="19" s="1"/>
  <c r="AO14" i="19" s="1"/>
  <c r="AU14" i="19" s="1"/>
  <c r="V10" i="19"/>
  <c r="Y10" i="19"/>
  <c r="AH10" i="19" s="1"/>
  <c r="AK10" i="19" s="1"/>
  <c r="AN10" i="19" s="1"/>
  <c r="AT10" i="19" s="1"/>
  <c r="AZ18" i="19"/>
  <c r="CW18" i="19" s="1"/>
  <c r="CZ18" i="19" s="1"/>
  <c r="AQ18" i="19"/>
  <c r="AZ16" i="19"/>
  <c r="CW16" i="19" s="1"/>
  <c r="CZ16" i="19" s="1"/>
  <c r="AQ16" i="19"/>
  <c r="AZ12" i="19"/>
  <c r="CW12" i="19" s="1"/>
  <c r="CZ12" i="19" s="1"/>
  <c r="AQ12" i="19"/>
  <c r="FV11" i="26" l="1"/>
  <c r="FU11" i="26"/>
  <c r="AX12" i="19"/>
  <c r="AQ14" i="19"/>
  <c r="AW14" i="19" s="1"/>
  <c r="AZ14" i="19"/>
  <c r="CW14" i="19" s="1"/>
  <c r="CZ14" i="19" s="1"/>
  <c r="BA10" i="19"/>
  <c r="CX10" i="19" s="1"/>
  <c r="DA10" i="19" s="1"/>
  <c r="AU10" i="19"/>
  <c r="AR10" i="19"/>
  <c r="AX18" i="19"/>
  <c r="BD18" i="19" s="1"/>
  <c r="BG18" i="19" s="1"/>
  <c r="AW18" i="19"/>
  <c r="BD16" i="19"/>
  <c r="BG16" i="19" s="1"/>
  <c r="AW16" i="19"/>
  <c r="AZ10" i="19"/>
  <c r="CW10" i="19" s="1"/>
  <c r="CZ10" i="19" s="1"/>
  <c r="AQ10" i="19"/>
  <c r="AW12" i="19"/>
  <c r="BD12" i="19"/>
  <c r="BG12" i="19" s="1"/>
  <c r="AR14" i="19"/>
  <c r="AX14" i="19" s="1"/>
  <c r="BA14" i="19"/>
  <c r="CX14" i="19" s="1"/>
  <c r="DA14" i="19" s="1"/>
  <c r="AX10" i="19" l="1"/>
  <c r="BD10" i="19" s="1"/>
  <c r="BG10" i="19" s="1"/>
  <c r="BC14" i="19"/>
  <c r="BF14" i="19" s="1"/>
  <c r="EH14" i="19" s="1"/>
  <c r="BC12" i="19"/>
  <c r="BF12" i="19" s="1"/>
  <c r="EH12" i="19" s="1"/>
  <c r="BC16" i="19"/>
  <c r="BF16" i="19" s="1"/>
  <c r="EH16" i="19" s="1"/>
  <c r="BC18" i="19"/>
  <c r="BF18" i="19" s="1"/>
  <c r="EH18" i="19" s="1"/>
  <c r="BD14" i="19"/>
  <c r="BG14" i="19" s="1"/>
  <c r="EI12" i="19"/>
  <c r="BJ12" i="19"/>
  <c r="CK12" i="19" s="1"/>
  <c r="CN12" i="19" s="1"/>
  <c r="AW10" i="19"/>
  <c r="BJ16" i="19"/>
  <c r="EI16" i="19"/>
  <c r="EI18" i="19"/>
  <c r="BJ18" i="19"/>
  <c r="CK18" i="19" s="1"/>
  <c r="CN18" i="19" s="1"/>
  <c r="CQ18" i="19" l="1"/>
  <c r="CQ12" i="19"/>
  <c r="BI18" i="19"/>
  <c r="CJ18" i="19" s="1"/>
  <c r="CM18" i="19" s="1"/>
  <c r="BI16" i="19"/>
  <c r="BI12" i="19"/>
  <c r="CJ12" i="19" s="1"/>
  <c r="CM12" i="19" s="1"/>
  <c r="BC10" i="19"/>
  <c r="BF10" i="19" s="1"/>
  <c r="EH10" i="19" s="1"/>
  <c r="BO16" i="19"/>
  <c r="CJ16" i="19"/>
  <c r="CM16" i="19" s="1"/>
  <c r="BP16" i="19"/>
  <c r="CK16" i="19"/>
  <c r="CN16" i="19" s="1"/>
  <c r="BJ10" i="19"/>
  <c r="CN10" i="19" s="1"/>
  <c r="EI10" i="19"/>
  <c r="BI14" i="19"/>
  <c r="BL14" i="19" s="1"/>
  <c r="BO14" i="19" s="1"/>
  <c r="BR14" i="19" s="1"/>
  <c r="BU14" i="19" s="1"/>
  <c r="BX14" i="19" s="1"/>
  <c r="BJ14" i="19"/>
  <c r="BM14" i="19" s="1"/>
  <c r="BP14" i="19" s="1"/>
  <c r="BS14" i="19" s="1"/>
  <c r="BV14" i="19" s="1"/>
  <c r="BY14" i="19" s="1"/>
  <c r="EI14" i="19"/>
  <c r="CU12" i="19" l="1"/>
  <c r="CU18" i="19"/>
  <c r="DC12" i="19"/>
  <c r="DF12" i="19" s="1"/>
  <c r="DJ12" i="19" s="1"/>
  <c r="DM12" i="19" s="1"/>
  <c r="DP12" i="19" s="1"/>
  <c r="DT12" i="19" s="1"/>
  <c r="DD12" i="19"/>
  <c r="DG12" i="19" s="1"/>
  <c r="DK12" i="19" s="1"/>
  <c r="DN12" i="19" s="1"/>
  <c r="DQ12" i="19" s="1"/>
  <c r="DU12" i="19" s="1"/>
  <c r="DD18" i="19"/>
  <c r="DG18" i="19" s="1"/>
  <c r="DK18" i="19" s="1"/>
  <c r="DN18" i="19" s="1"/>
  <c r="DQ18" i="19" s="1"/>
  <c r="DU18" i="19" s="1"/>
  <c r="DY18" i="19" s="1"/>
  <c r="DC18" i="19"/>
  <c r="DF18" i="19" s="1"/>
  <c r="DJ18" i="19" s="1"/>
  <c r="DM18" i="19" s="1"/>
  <c r="DP18" i="19" s="1"/>
  <c r="CP16" i="19"/>
  <c r="CP12" i="19"/>
  <c r="CP18" i="19"/>
  <c r="CQ10" i="19"/>
  <c r="CU10" i="19" s="1"/>
  <c r="DG10" i="19" s="1"/>
  <c r="DK10" i="19" s="1"/>
  <c r="EF10" i="19" s="1"/>
  <c r="FA10" i="19" s="1"/>
  <c r="CQ16" i="19"/>
  <c r="BI10" i="19"/>
  <c r="CM10" i="19" s="1"/>
  <c r="CP10" i="19" s="1"/>
  <c r="CT10" i="19" s="1"/>
  <c r="CG14" i="19"/>
  <c r="CD14" i="19"/>
  <c r="CJ14" i="19" s="1"/>
  <c r="CM14" i="19" s="1"/>
  <c r="CP14" i="19" s="1"/>
  <c r="CA14" i="19"/>
  <c r="CH14" i="19"/>
  <c r="CE14" i="19"/>
  <c r="CK14" i="19" s="1"/>
  <c r="CN14" i="19" s="1"/>
  <c r="CB14" i="19"/>
  <c r="CT12" i="19" l="1"/>
  <c r="CT16" i="19"/>
  <c r="CU16" i="19"/>
  <c r="DC16" i="19" s="1"/>
  <c r="DF16" i="19" s="1"/>
  <c r="DJ16" i="19" s="1"/>
  <c r="DM16" i="19" s="1"/>
  <c r="DP16" i="19" s="1"/>
  <c r="DT16" i="19" s="1"/>
  <c r="DX16" i="19" s="1"/>
  <c r="CT18" i="19"/>
  <c r="CT14" i="19"/>
  <c r="DF14" i="19" s="1"/>
  <c r="DT18" i="19"/>
  <c r="DX18" i="19" s="1"/>
  <c r="EB18" i="19" s="1"/>
  <c r="CQ14" i="19"/>
  <c r="DD16" i="19" l="1"/>
  <c r="DG16" i="19" s="1"/>
  <c r="DK16" i="19" s="1"/>
  <c r="DN16" i="19" s="1"/>
  <c r="DQ16" i="19" s="1"/>
  <c r="DU16" i="19" s="1"/>
  <c r="DY16" i="19" s="1"/>
  <c r="CU14" i="19"/>
  <c r="DG14" i="19" s="1"/>
  <c r="EC12" i="19"/>
  <c r="EF12" i="19" s="1"/>
  <c r="EB12" i="19"/>
  <c r="EE12" i="19" s="1"/>
  <c r="DJ14" i="19"/>
  <c r="DM14" i="19" s="1"/>
  <c r="DP14" i="19" s="1"/>
  <c r="DT14" i="19" s="1"/>
  <c r="DK14" i="19"/>
  <c r="DN14" i="19" s="1"/>
  <c r="DQ14" i="19" s="1"/>
  <c r="DU14" i="19" s="1"/>
  <c r="FJ10" i="19"/>
  <c r="FV10" i="19" l="1"/>
  <c r="FU10" i="19"/>
  <c r="FM10" i="19"/>
  <c r="EN12" i="19"/>
  <c r="ET12" i="19"/>
  <c r="EQ12" i="19"/>
  <c r="ER12" i="19"/>
  <c r="EO12" i="19"/>
  <c r="EU12" i="19"/>
  <c r="EC18" i="19"/>
  <c r="EF18" i="19" s="1"/>
  <c r="EX12" i="19" l="1"/>
  <c r="FA12" i="19" s="1"/>
  <c r="FJ12" i="19" s="1"/>
  <c r="EW12" i="19"/>
  <c r="EZ12" i="19" s="1"/>
  <c r="FI12" i="19" s="1"/>
  <c r="EO18" i="19"/>
  <c r="EU18" i="19"/>
  <c r="ER18" i="19"/>
  <c r="EB16" i="19"/>
  <c r="EE16" i="19" s="1"/>
  <c r="EC16" i="19"/>
  <c r="EF16" i="19" s="1"/>
  <c r="EC14" i="19"/>
  <c r="EF14" i="19" s="1"/>
  <c r="EB14" i="19"/>
  <c r="EE14" i="19" s="1"/>
  <c r="FL12" i="19" l="1"/>
  <c r="FO12" i="19" s="1"/>
  <c r="FT11" i="19" s="1"/>
  <c r="FT12" i="19"/>
  <c r="FR12" i="19"/>
  <c r="FV12" i="19"/>
  <c r="FU12" i="19"/>
  <c r="FM12" i="19"/>
  <c r="EU14" i="19"/>
  <c r="EO14" i="19"/>
  <c r="ER14" i="19"/>
  <c r="EL14" i="19"/>
  <c r="EN16" i="19"/>
  <c r="ET16" i="19"/>
  <c r="EQ16" i="19"/>
  <c r="ER16" i="19"/>
  <c r="EU16" i="19"/>
  <c r="EO16" i="19"/>
  <c r="EX18" i="19"/>
  <c r="FA18" i="19" s="1"/>
  <c r="EN14" i="19"/>
  <c r="EK14" i="19"/>
  <c r="EQ14" i="19"/>
  <c r="ET14" i="19"/>
  <c r="FV11" i="19" l="1"/>
  <c r="FU11" i="19"/>
  <c r="EX14" i="19"/>
  <c r="FA14" i="19" s="1"/>
  <c r="EX16" i="19"/>
  <c r="FA16" i="19" s="1"/>
  <c r="EW16" i="19"/>
  <c r="EZ16" i="19" s="1"/>
  <c r="FJ18" i="19"/>
  <c r="EW14" i="19"/>
  <c r="EZ14" i="19" s="1"/>
  <c r="FC14" i="19" s="1"/>
  <c r="FF14" i="19" s="1"/>
  <c r="FI14" i="19" s="1"/>
  <c r="FI16" i="19"/>
  <c r="FJ16" i="19"/>
  <c r="FD14" i="19"/>
  <c r="FG14" i="19" s="1"/>
  <c r="FJ14" i="19" s="1"/>
  <c r="FL14" i="19" l="1"/>
  <c r="FO14" i="19" s="1"/>
  <c r="FT13" i="19" s="1"/>
  <c r="FT14" i="19"/>
  <c r="FL16" i="19"/>
  <c r="FO16" i="19" s="1"/>
  <c r="FT15" i="19" s="1"/>
  <c r="FT16" i="19"/>
  <c r="FM16" i="19"/>
  <c r="FR16" i="19"/>
  <c r="FV16" i="19"/>
  <c r="FU16" i="19"/>
  <c r="FM18" i="19"/>
  <c r="FV18" i="19"/>
  <c r="FU18" i="19"/>
  <c r="FM14" i="19"/>
  <c r="FR14" i="19"/>
  <c r="FV14" i="19"/>
  <c r="FU14" i="19"/>
  <c r="C3" i="17"/>
  <c r="C4" i="17" s="1"/>
  <c r="C5" i="17" s="1"/>
  <c r="C6" i="17" s="1"/>
  <c r="C7" i="17" s="1"/>
  <c r="C8" i="17" s="1"/>
  <c r="C9" i="17" s="1"/>
  <c r="C10" i="17" s="1"/>
  <c r="C11" i="17" s="1"/>
  <c r="C12" i="17" s="1"/>
  <c r="C13" i="17" s="1"/>
  <c r="FU13" i="19" l="1"/>
  <c r="FV13" i="19"/>
  <c r="FU17" i="19"/>
  <c r="FV17" i="19"/>
  <c r="FU15" i="19"/>
  <c r="FV15" i="19"/>
  <c r="EE18" i="19"/>
  <c r="EN18" i="19" l="1"/>
  <c r="EQ18" i="19"/>
  <c r="ET18" i="19"/>
  <c r="EW18" i="19" l="1"/>
  <c r="EZ18" i="19" s="1"/>
  <c r="FI18" i="19" l="1"/>
  <c r="FL18" i="19" l="1"/>
  <c r="FO18" i="19" s="1"/>
  <c r="FT18" i="19"/>
  <c r="DF10" i="19"/>
  <c r="DJ10" i="19" s="1"/>
  <c r="EE10" i="19" s="1"/>
  <c r="EZ10" i="19" s="1"/>
  <c r="FT17" i="19" l="1"/>
  <c r="FR18" i="19"/>
  <c r="FI10" i="19"/>
  <c r="FT10" i="19" s="1"/>
  <c r="FL10" i="19" l="1"/>
  <c r="FO10" i="19" s="1"/>
  <c r="FR10" i="19" l="1"/>
  <c r="FT9" i="19"/>
  <c r="FV9" i="19" l="1"/>
  <c r="FU9"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tc={08BC158A-969E-4D67-839D-FF33265E984F}</author>
    <author>tc={E52FB5DD-51A0-4D57-B63A-F9D92FCF6C5C}</author>
    <author>tc={0FC57DC6-17D1-4E3E-B52D-8C4440F48F92}</author>
    <author>tc={A0FFCB2B-7DEF-40C0-9909-8D1D80EE7C83}</author>
    <author>tc={91E1CCED-81A8-4506-B259-8AEBC43445FE}</author>
    <author>tc={5836E495-177A-4B77-94F9-F0E91E49CE3A}</author>
    <author>tc={A2889480-F7FE-4B34-9B21-D8D24F326420}</author>
    <author>tc={C2F0857A-BC02-4A1B-B073-D529FB241A2D}</author>
    <author>tc={A16F8D56-6F5C-4F8E-AA0A-FD5D9EB1665E}</author>
    <author>tc={21E66285-8263-4788-9556-F2DECE98E869}</author>
    <author>tc={CCDAF93E-687F-4B88-AEA7-7D35A6175C67}</author>
    <author>tc={F7B9C23B-4F78-4195-8323-289C59E3B1FF}</author>
    <author>tc={FF2B224C-40C5-4EAC-8420-46F49DF3E3BB}</author>
    <author>tc={A1A22307-2509-4EE9-B5AB-DE109CD116A9}</author>
    <author>tc={AA1753E6-8A4B-4CE8-8D6A-CF6B3B221B35}</author>
    <author>tc={670E1313-D1FF-4E56-B630-9D6C89DE3B96}</author>
    <author>tc={73263EC4-6F5A-48A3-8550-1513F40E6B66}</author>
    <author>tc={8E554F45-B388-4AEB-8B40-BF00E768870A}</author>
    <author>tc={3D4F271B-0118-4D98-9BFD-F9DDD2F44661}</author>
    <author>tc={E9CC74F1-79B2-4822-B53F-72EB84341249}</author>
    <author>tc={B41373CF-F784-432A-BB9D-C1E13F5D239B}</author>
    <author>tc={8658C90C-3745-4532-A4C1-DFDA147CB2F1}</author>
    <author>tc={D2C72F31-62D7-4F21-930F-1103B5193EA9}</author>
    <author>tc={3BC82244-D1CE-43D8-9AD9-5839D30EA82B}</author>
    <author>tc={65B6615F-DEA1-4E32-B4A3-3E45EF21615B}</author>
    <author>tc={6A38574B-E458-4FB3-82F7-683CFE6BE099}</author>
    <author>tc={771A4593-9052-4961-8D7E-B753A98C576A}</author>
    <author>tc={E0410239-E63C-4102-B2B4-9D078268B850}</author>
    <author>tc={51FCA388-CA91-43F8-B6B9-586774A84E1A}</author>
    <author>tc={ECAF61EE-7041-4B4F-A868-10D3EF070DC4}</author>
    <author>tc={A6A5D544-D923-427A-A376-59A999BFBDE2}</author>
    <author>tc={BAFCC0C7-5872-4DA2-858B-D8F3EA0E2E4E}</author>
    <author>tc={9C5433C9-2195-444D-AF1C-1FB2CF7BB802}</author>
    <author>tc={042611B2-FFBA-4E8F-9946-248F6B9B8165}</author>
    <author>tc={21C6C478-2F06-410E-AE6C-7610DB8527A0}</author>
    <author>tc={D01D9706-9BF2-4112-8754-A78B011C0A74}</author>
    <author>tc={2C848EBF-A0A3-436F-A5BC-2A57C120894A}</author>
    <author>tc={944DA72B-9826-47E7-86C2-FA15F8CC21CE}</author>
    <author>tc={43E56FF7-CEEB-4EA0-889A-B8DC4990A2B9}</author>
    <author>tc={DD206D59-72EF-49E8-A62D-FD721E544CD4}</author>
    <author>tc={E2FA127D-6371-4205-BDD1-783367837589}</author>
    <author>tc={6ABCC524-3B25-4C74-8718-8D7735E7197F}</author>
    <author>tc={B4205A6A-CA8C-4F1B-B620-F279DDC972E6}</author>
    <author>tc={B0B48EB2-1E79-4E96-9467-F9DF4E16AAE0}</author>
  </authors>
  <commentList>
    <comment ref="I4" authorId="0" shapeId="0" xr:uid="{08BC158A-969E-4D67-839D-FF33265E984F}">
      <text>
        <t>[Threaded comment]
Your version of Excel allows you to read this threaded comment; however, any edits to it will get removed if the file is opened in a newer version of Excel. Learn more: https://go.microsoft.com/fwlink/?linkid=870924
Comment:
    Only Applicable for Power Systems</t>
      </text>
    </comment>
    <comment ref="J7" authorId="1" shapeId="0" xr:uid="{E52FB5DD-51A0-4D57-B63A-F9D92FCF6C5C}">
      <text>
        <t>[Threaded comment]
Your version of Excel allows you to read this threaded comment; however, any edits to it will get removed if the file is opened in a newer version of Excel. Learn more: https://go.microsoft.com/fwlink/?linkid=870924
Comment:
    PSC = Procurement Spec</t>
      </text>
    </comment>
    <comment ref="P7" authorId="2" shapeId="0" xr:uid="{0FC57DC6-17D1-4E3E-B52D-8C4440F48F92}">
      <text>
        <t>[Threaded comment]
Your version of Excel allows you to read this threaded comment; however, any edits to it will get removed if the file is opened in a newer version of Excel. Learn more: https://go.microsoft.com/fwlink/?linkid=870924
Comment:
    BTP FAIR Only will not require a TDR, but to efficiently provide a link to PFEP tab not blanking this out, but leaving as grey</t>
      </text>
    </comment>
    <comment ref="Y7" authorId="3" shapeId="0" xr:uid="{A0FFCB2B-7DEF-40C0-9909-8D1D80EE7C83}">
      <text>
        <t>[Threaded comment]
Your version of Excel allows you to read this threaded comment; however, any edits to it will get removed if the file is opened in a newer version of Excel. Learn more: https://go.microsoft.com/fwlink/?linkid=870924
Comment:
    Often up front drawing changes will be found during EPA/TDR, later dwg changes will need to be built into the supplier build time</t>
      </text>
    </comment>
    <comment ref="AB7" authorId="4" shapeId="0" xr:uid="{91E1CCED-81A8-4506-B259-8AEBC43445FE}">
      <text>
        <t>[Threaded comment]
Your version of Excel allows you to read this threaded comment; however, any edits to it will get removed if the file is opened in a newer version of Excel. Learn more: https://go.microsoft.com/fwlink/?linkid=870924
Comment:
    Applicable for Repositions or Transitions with suppliers that are new to HON and need to be set up in multiple systems: SAP, Net-Inspect, HASP, etc.
For this scenario, the suggested duration is of 20 workdays</t>
      </text>
    </comment>
    <comment ref="AN7" authorId="5" shapeId="0" xr:uid="{5836E495-177A-4B77-94F9-F0E91E49CE3A}">
      <text>
        <t>[Threaded comment]
Your version of Excel allows you to read this threaded comment; however, any edits to it will get removed if the file is opened in a newer version of Excel. Learn more: https://go.microsoft.com/fwlink/?linkid=870924
Comment:
    Largely unused anymore, can set as 0 duration</t>
      </text>
    </comment>
    <comment ref="AQ7" authorId="6" shapeId="0" xr:uid="{A2889480-F7FE-4B34-9B21-D8D24F326420}">
      <text>
        <t>[Threaded comment]
Your version of Excel allows you to read this threaded comment; however, any edits to it will get removed if the file is opened in a newer version of Excel. Learn more: https://go.microsoft.com/fwlink/?linkid=870924
Comment:
    Formal onsite review with full checklist completed by SDE, the one pager in the TRB file does not count. Check with SDE to determine if one has been completed recently that is still valid</t>
      </text>
    </comment>
    <comment ref="AT7" authorId="7" shapeId="0" xr:uid="{C2F0857A-BC02-4A1B-B073-D529FB241A2D}">
      <text>
        <t>[Threaded comment]
Your version of Excel allows you to read this threaded comment; however, any edits to it will get removed if the file is opened in a newer version of Excel. Learn more: https://go.microsoft.com/fwlink/?linkid=870924
Comment:
    Once you have validation plan from EPA/TDR this can be completed even before formal EPA/TDR approval in ERS or TeamCenter
Reply:
    ECE = Engineering Cost Estimate</t>
      </text>
    </comment>
    <comment ref="AZ7" authorId="8" shapeId="0" xr:uid="{A16F8D56-6F5C-4F8E-AA0A-FD5D9EB1665E}">
      <text>
        <t>[Threaded comment]
Your version of Excel allows you to read this threaded comment; however, any edits to it will get removed if the file is opened in a newer version of Excel. Learn more: https://go.microsoft.com/fwlink/?linkid=870924
Comment:
    Most projects will not have this, if N/A then 0 for duration</t>
      </text>
    </comment>
    <comment ref="BI7" authorId="9" shapeId="0" xr:uid="{21E66285-8263-4788-9556-F2DECE98E869}">
      <text>
        <t>[Threaded comment]
Your version of Excel allows you to read this threaded comment; however, any edits to it will get removed if the file is opened in a newer version of Excel. Learn more: https://go.microsoft.com/fwlink/?linkid=870924
Comment:
    Initial meetings with internal team and/or go-to supplier</t>
      </text>
    </comment>
    <comment ref="BL7" authorId="10" shapeId="0" xr:uid="{CCDAF93E-687F-4B88-AEA7-7D35A6175C67}">
      <text>
        <t>[Threaded comment]
Your version of Excel allows you to read this threaded comment; however, any edits to it will get removed if the file is opened in a newer version of Excel. Learn more: https://go.microsoft.com/fwlink/?linkid=870924
Comment:
    Design Review Engineering Approval</t>
      </text>
    </comment>
    <comment ref="BO7" authorId="11" shapeId="0" xr:uid="{F7B9C23B-4F78-4195-8323-289C59E3B1FF}">
      <text>
        <t>[Threaded comment]
Your version of Excel allows you to read this threaded comment; however, any edits to it will get removed if the file is opened in a newer version of Excel. Learn more: https://go.microsoft.com/fwlink/?linkid=870924
Comment:
    Level 1 Design Review (DR)</t>
      </text>
    </comment>
    <comment ref="BR7" authorId="12" shapeId="0" xr:uid="{FF2B224C-40C5-4EAC-8420-46F49DF3E3BB}">
      <text>
        <t>[Threaded comment]
Your version of Excel allows you to read this threaded comment; however, any edits to it will get removed if the file is opened in a newer version of Excel. Learn more: https://go.microsoft.com/fwlink/?linkid=870924
Comment:
    Technical Concept Review</t>
      </text>
    </comment>
    <comment ref="BU7" authorId="13" shapeId="0" xr:uid="{A1A22307-2509-4EE9-B5AB-DE109CD116A9}">
      <text>
        <t>[Threaded comment]
Your version of Excel allows you to read this threaded comment; however, any edits to it will get removed if the file is opened in a newer version of Excel. Learn more: https://go.microsoft.com/fwlink/?linkid=870924
Comment:
    Preliminary Design Review (PDR)</t>
      </text>
    </comment>
    <comment ref="BX7" authorId="14" shapeId="0" xr:uid="{AA1753E6-8A4B-4CE8-8D6A-CF6B3B221B35}">
      <text>
        <t>[Threaded comment]
Your version of Excel allows you to read this threaded comment; however, any edits to it will get removed if the file is opened in a newer version of Excel. Learn more: https://go.microsoft.com/fwlink/?linkid=870924
Comment:
    Critical Design Review (CDR)</t>
      </text>
    </comment>
    <comment ref="CA7" authorId="15" shapeId="0" xr:uid="{670E1313-D1FF-4E56-B630-9D6C89DE3B96}">
      <text>
        <t>[Threaded comment]
Your version of Excel allows you to read this threaded comment; however, any edits to it will get removed if the file is opened in a newer version of Excel. Learn more: https://go.microsoft.com/fwlink/?linkid=870924
Comment:
    Includes time to close all CDR actions for BTS parts</t>
      </text>
    </comment>
    <comment ref="CG7" authorId="16" shapeId="0" xr:uid="{73263EC4-6F5A-48A3-8550-1513F40E6B66}">
      <text>
        <t>[Threaded comment]
Your version of Excel allows you to read this threaded comment; however, any edits to it will get removed if the file is opened in a newer version of Excel. Learn more: https://go.microsoft.com/fwlink/?linkid=870924
Comment:
    Approval date is the combination of HON &amp; Customer, if applicable
Reply:
    HON Approval: 15 WD
HON + Cust Approval: 60WD</t>
      </text>
    </comment>
    <comment ref="CP7" authorId="17" shapeId="0" xr:uid="{8E554F45-B388-4AEB-8B40-BF00E768870A}">
      <text>
        <t>[Threaded comment]
Your version of Excel allows you to read this threaded comment; however, any edits to it will get removed if the file is opened in a newer version of Excel. Learn more: https://go.microsoft.com/fwlink/?linkid=870924
Comment:
    The baseline for Execution milestones will be set up once there is an Actual Completion Date for the FAIR PO Acknowledgment by the supplier</t>
      </text>
    </comment>
    <comment ref="CT7" authorId="18" shapeId="0" xr:uid="{3D4F271B-0118-4D98-9BFD-F9DDD2F44661}">
      <text>
        <t>[Threaded comment]
Your version of Excel allows you to read this threaded comment; however, any edits to it will get removed if the file is opened in a newer version of Excel. Learn more: https://go.microsoft.com/fwlink/?linkid=870924
Comment:
    Baseline assumes 6 months for material lead-time.  Adjust as needed...</t>
      </text>
    </comment>
    <comment ref="CW7" authorId="19" shapeId="0" xr:uid="{E9CC74F1-79B2-4822-B53F-72EB84341249}">
      <text>
        <t>[Threaded comment]
Your version of Excel allows you to read this threaded comment; however, any edits to it will get removed if the file is opened in a newer version of Excel. Learn more: https://go.microsoft.com/fwlink/?linkid=870924
Comment:
    Most projects will not have this, if N/A then 0 for duration</t>
      </text>
    </comment>
    <comment ref="CZ7" authorId="20" shapeId="0" xr:uid="{B41373CF-F784-432A-BB9D-C1E13F5D239B}">
      <text>
        <t>[Threaded comment]
Your version of Excel allows you to read this threaded comment; however, any edits to it will get removed if the file is opened in a newer version of Excel. Learn more: https://go.microsoft.com/fwlink/?linkid=870924
Comment:
    Baseline assumes 6 months for material lead-time.  Adjust as needed...</t>
      </text>
    </comment>
    <comment ref="DC7" authorId="21" shapeId="0" xr:uid="{8658C90C-3745-4532-A4C1-DFDA147CB2F1}">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STICs, Proof &amp; Burst, Fire Test, Fixed Process, Metallurgy, etc.
Reply:
    If N/A - adjust duration to "0"</t>
      </text>
    </comment>
    <comment ref="DF7" authorId="22" shapeId="0" xr:uid="{D2C72F31-62D7-4F21-930F-1103B5193EA9}">
      <text>
        <t>[Threaded comment]
Your version of Excel allows you to read this threaded comment; however, any edits to it will get removed if the file is opened in a newer version of Excel. Learn more: https://go.microsoft.com/fwlink/?linkid=870924
Comment:
    At baseline adjust duration for schedule and then have cell locked by VS IRB/TRB focal</t>
      </text>
    </comment>
    <comment ref="DP7" authorId="23" shapeId="0" xr:uid="{3BC82244-D1CE-43D8-9AD9-5839D30EA82B}">
      <text>
        <t>[Threaded comment]
Your version of Excel allows you to read this threaded comment; however, any edits to it will get removed if the file is opened in a newer version of Excel. Learn more: https://go.microsoft.com/fwlink/?linkid=870924
Comment:
    3.3.4.4	Test Readiness Review (TRR)
The Supplier shall plan/coordinate a TRR for each part or group of parts subject to test.  The TRR shall be attended by Honeywell and shall demonstrate that all necessary test hardware, tooling and procedures are available and approved in advance of the testing to be performed. The TRR shall be conducted at least 1 week prior to the start of substantiation testing.</t>
      </text>
    </comment>
    <comment ref="DS7" authorId="24" shapeId="0" xr:uid="{65B6615F-DEA1-4E32-B4A3-3E45EF21615B}">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STICs, Proof &amp; Burst, Fire Test, Fixed Process, Metallurgy, etc.
Reply:
    If N/A - adjust duration to "0"</t>
      </text>
    </comment>
    <comment ref="EA7" authorId="25" shapeId="0" xr:uid="{6A38574B-E458-4FB3-82F7-683CFE6BE099}">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Machining trials, engine test</t>
      </text>
    </comment>
    <comment ref="EE7" authorId="26" shapeId="0" xr:uid="{771A4593-9052-4961-8D7E-B753A98C576A}">
      <text>
        <t>[Threaded comment]
Your version of Excel allows you to read this threaded comment; however, any edits to it will get removed if the file is opened in a newer version of Excel. Learn more: https://go.microsoft.com/fwlink/?linkid=870924
Comment:
    For new PNs customer approval can come after SS1 elevation, however for same PN customer approval is needed prior to SS1 elevation.
Reply:
    This is all of the post test reports being completed, examples: engine test report, gear report, STR, FTR, etc. Anything that is needed for the SS1 ECN.
Reply:
    FAIR Only parts are greyed out since N/A, leaving a date in here to support PFEP link</t>
      </text>
    </comment>
    <comment ref="EN7" authorId="27" shapeId="0" xr:uid="{E0410239-E63C-4102-B2B4-9D078268B850}">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EQ7" authorId="28" shapeId="0" xr:uid="{51FCA388-CA91-43F8-B6B9-586774A84E1A}">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ET7" authorId="29" shapeId="0" xr:uid="{ECAF61EE-7041-4B4F-A868-10D3EF070DC4}">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FC7" authorId="30" shapeId="0" xr:uid="{A6A5D544-D923-427A-A376-59A999BFBDE2}">
      <text>
        <t>[Threaded comment]
Your version of Excel allows you to read this threaded comment; however, any edits to it will get removed if the file is opened in a newer version of Excel. Learn more: https://go.microsoft.com/fwlink/?linkid=870924
Comment:
    4 to 5 weeks after SS1 Elevation.</t>
      </text>
    </comment>
    <comment ref="FI7" authorId="31" shapeId="0" xr:uid="{BAFCC0C7-5872-4DA2-858B-D8F3EA0E2E4E}">
      <text>
        <t>[Threaded comment]
Your version of Excel allows you to read this threaded comment; however, any edits to it will get removed if the file is opened in a newer version of Excel. Learn more: https://go.microsoft.com/fwlink/?linkid=870924
Comment:
    When all actions completed including final audit pass</t>
      </text>
    </comment>
    <comment ref="FL7" authorId="32" shapeId="0" xr:uid="{9C5433C9-2195-444D-AF1C-1FB2CF7BB802}">
      <text>
        <t>[Threaded comment]
Your version of Excel allows you to read this threaded comment; however, any edits to it will get removed if the file is opened in a newer version of Excel. Learn more: https://go.microsoft.com/fwlink/?linkid=870924
Comment:
    Production Cutover Date should match your 1st Production Delivery Date.</t>
      </text>
    </comment>
    <comment ref="FO7" authorId="33" shapeId="0" xr:uid="{042611B2-FFBA-4E8F-9946-248F6B9B8165}">
      <text>
        <t>[Threaded comment]
Your version of Excel allows you to read this threaded comment; however, any edits to it will get removed if the file is opened in a newer version of Excel. Learn more: https://go.microsoft.com/fwlink/?linkid=870924
Comment:
    Use formula ONLY to determine TCD date, after TRB approval replace the formula with a hard coded date, otherwise as your schedule moves this will move with it and you mass pass your TCD without even realizing it</t>
      </text>
    </comment>
    <comment ref="A8" authorId="34" shapeId="0" xr:uid="{21C6C478-2F06-410E-AE6C-7610DB8527A0}">
      <text>
        <t>[Threaded comment]
Your version of Excel allows you to read this threaded comment; however, any edits to it will get removed if the file is opened in a newer version of Excel. Learn more: https://go.microsoft.com/fwlink/?linkid=870924
Comment:
    Only use 2nd line of each pair for Project name, helps with filters</t>
      </text>
    </comment>
    <comment ref="B8" authorId="35" shapeId="0" xr:uid="{D01D9706-9BF2-4112-8754-A78B011C0A74}">
      <text>
        <t>[Threaded comment]
Your version of Excel allows you to read this threaded comment; however, any edits to it will get removed if the file is opened in a newer version of Excel. Learn more: https://go.microsoft.com/fwlink/?linkid=870924
Comment:
    Only use 2nd line of each pair for AID, helps with filters</t>
      </text>
    </comment>
    <comment ref="C8" authorId="36" shapeId="0" xr:uid="{2C848EBF-A0A3-436F-A5BC-2A57C120894A}">
      <text>
        <t>[Threaded comment]
Your version of Excel allows you to read this threaded comment; however, any edits to it will get removed if the file is opened in a newer version of Excel. Learn more: https://go.microsoft.com/fwlink/?linkid=870924
Comment:
    Only use 2nd line of each pair for PN, helps with filters</t>
      </text>
    </comment>
    <comment ref="E8" authorId="37" shapeId="0" xr:uid="{944DA72B-9826-47E7-86C2-FA15F8CC21CE}">
      <text>
        <t xml:space="preserve">[Threaded comment]
Your version of Excel allows you to read this threaded comment; however, any edits to it will get removed if the file is opened in a newer version of Excel. Learn more: https://go.microsoft.com/fwlink/?linkid=870924
Comment:
    *Red: Run Out Date occurs prior to or within 3 months of First Production Lot (FPL) Ready date- Risk on delivery gap between Incumbent/New Source
*Yellow: Run Out Date occurs 4-6 months after FPL Ready date-  Risk on delivery gap between Incumbent/New Source
*Green: Run Out Date occurs 7-23 months after FPL Ready date – No Risk on delivery gap between Incumbent/New Source
*Covered: 24 months+ before demand needs supported. – No Risk on delivery gap between Incumbent/New Source
</t>
      </text>
    </comment>
    <comment ref="F8" authorId="38" shapeId="0" xr:uid="{43E56FF7-CEEB-4EA0-889A-B8DC4990A2B9}">
      <text>
        <t>[Threaded comment]
Your version of Excel allows you to read this threaded comment; however, any edits to it will get removed if the file is opened in a newer version of Excel. Learn more: https://go.microsoft.com/fwlink/?linkid=870924
Comment:
    Select the Pair of lines to use based on what type of project you have, likely will know this up front but 100% after EPA/TDR</t>
      </text>
    </comment>
    <comment ref="H8" authorId="39" shapeId="0" xr:uid="{DD206D59-72EF-49E8-A62D-FD721E544CD4}">
      <text>
        <t>[Threaded comment]
Your version of Excel allows you to read this threaded comment; however, any edits to it will get removed if the file is opened in a newer version of Excel. Learn more: https://go.microsoft.com/fwlink/?linkid=870924
Comment:
    The Baseline will change to Execution once there is an Actual Completion Date for the FAIR Order Acknowledged</t>
      </text>
    </comment>
    <comment ref="EK8" authorId="40" shapeId="0" xr:uid="{E2FA127D-6371-4205-BDD1-783367837589}">
      <text>
        <t>[Threaded comment]
Your version of Excel allows you to read this threaded comment; however, any edits to it will get removed if the file is opened in a newer version of Excel. Learn more: https://go.microsoft.com/fwlink/?linkid=870924
Comment:
    AG-5924 MRR/MRA is not applicable for suppliers per AG-5924 paragraph 3. Applicability -  The MRA is only applicable to products manufactured at Honeywell locations.</t>
      </text>
    </comment>
    <comment ref="EN8" authorId="41" shapeId="0" xr:uid="{6ABCC524-3B25-4C74-8718-8D7735E7197F}">
      <text>
        <t>[Threaded comment]
Your version of Excel allows you to read this threaded comment; however, any edits to it will get removed if the file is opened in a newer version of Excel. Learn more: https://go.microsoft.com/fwlink/?linkid=870924
Comment:
    Eventually, it all goes into service. This is achieved through certification by a Civil (Airworthiness) Aviation Authority
FAA
EASA (Europe)
ANAC (Brazil)
CAAC (China)
Transport Canada
Reply:
    What does certification mean?
At some point all goods need to be certified and this is granted to the Applicant by the Airworthiness Authority’s Aircraft Cert Office (ACO)
A Technical Standard Order (TSO) Authorization or equivalent (FAA issues TSO, EASA issues an ETSO) 
These goods are represented to have a self standing function and can be installed in multiple aircraft
Very common in General Aviation and Business Jet Markets
Less common in the Air Transport Markets but every aircraft has Line Replaceable Units (LRUs) that hold a TSO
Air Transport goods are typically certified by the Airframer of the Aircraft as the Applicant to Airworthiness Authorities
All certification artifacts are generated by Honeywell and becomes part of the Airframer’s Aircraft Certification Package to Cert Authorities
When a good is first proposed to be installed on an aircraft that is already certified, a Supplemental Type Certificate (STC) is required</t>
      </text>
    </comment>
    <comment ref="EQ8" authorId="42" shapeId="0" xr:uid="{B4205A6A-CA8C-4F1B-B620-F279DDC972E6}">
      <text>
        <t>[Threaded comment]
Your version of Excel allows you to read this threaded comment; however, any edits to it will get removed if the file is opened in a newer version of Excel. Learn more: https://go.microsoft.com/fwlink/?linkid=870924
Comment:
    For new PNs customer approval can come after SS1 elevation, however for same PN customer approval is needed prior to SS1 elevation.</t>
      </text>
    </comment>
    <comment ref="EZ8" authorId="43" shapeId="0" xr:uid="{B0B48EB2-1E79-4E96-9467-F9DF4E16AAE0}">
      <text>
        <t>[Threaded comment]
Your version of Excel allows you to read this threaded comment; however, any edits to it will get removed if the file is opened in a newer version of Excel. Learn more: https://go.microsoft.com/fwlink/?linkid=870924
Comment:
    AG-5924 MRR/MRA is not applicable for suppliers per AG-5924 paragraph 3. Applicability -  The MRA is only applicable to products manufactured at Honeywell locations.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tc={BE2375AC-1FAF-44E1-9EC4-C93788DC684C}</author>
    <author>tc={66875AA3-88D8-4D84-BF53-5839F1A26708}</author>
    <author>tc={7C683C32-962F-4806-A1AB-6E6964B34523}</author>
    <author>tc={5653E446-D393-40C1-A794-4800335652B4}</author>
    <author>tc={5AF57A17-74DC-4747-BE7A-3ECB75BAA857}</author>
    <author>tc={37CF6CAF-52BB-4529-8422-966BD1CCE868}</author>
    <author>tc={824A813A-6CF6-48FE-A258-EEDC94DB712A}</author>
    <author>tc={4D0D99E7-0094-428B-B4F4-7B322D6B90F4}</author>
    <author>tc={2C4E589F-A397-4587-9013-84365E829417}</author>
    <author>tc={D97378B8-583E-448E-86BE-F41E0762D426}</author>
    <author>tc={14D2AC08-373C-4BC2-AC0D-85F8A0D6A8AA}</author>
    <author>tc={A3C47215-1FE3-4A49-8B37-F428270BEE7B}</author>
    <author>tc={2345DA65-6CF7-49C3-A58C-1E7B3DE155A9}</author>
    <author>tc={D8214D93-D1B2-45B3-B845-B36EB771B5E9}</author>
    <author>tc={F80009F5-45DC-4AD7-91C7-8A71CD4B93B1}</author>
    <author>tc={A5F5E895-759C-4BEE-B19F-4DC31DEBE3DB}</author>
    <author>tc={01E7CAAD-4D42-4568-8253-AE173FA9BE5B}</author>
    <author>tc={D08A23F8-16DA-4C83-93FE-8492D92356C8}</author>
    <author>tc={E7537BC0-5699-48AD-9736-584B1942D35D}</author>
    <author>tc={31848541-5900-4B87-89CD-C8EF7B691CDC}</author>
    <author>tc={031108AA-8D04-4990-BBCF-DD2098939F33}</author>
    <author>tc={A17DACD4-9174-4F7B-BF3B-3B8DB1AA6D75}</author>
    <author>tc={B70C87FD-4CEE-4A8D-8E61-009C17EC9285}</author>
    <author>tc={DC7FE293-C0CC-4BF1-A7C2-3363470F8714}</author>
    <author>tc={8CDAC6A0-56FE-46A3-AB76-6DD10A2BD26C}</author>
    <author>tc={FEE21791-EC55-4C04-BD78-64F3CC5D57BA}</author>
    <author>tc={9AD321C6-E1D9-4FDF-9937-701F038A0377}</author>
    <author>tc={29032A7E-71C5-4C1F-9F24-B6B9A77EF185}</author>
    <author>tc={A4708FEF-8C18-4144-B3C6-748E0A041265}</author>
    <author>tc={1A7F99C2-82A0-45F7-9A2C-D5A86A99C631}</author>
    <author>tc={52124900-563F-4B55-8AF7-A30CB795B34B}</author>
    <author>tc={9B0E2A01-42FA-4319-8198-8CDC54B5D1A1}</author>
    <author>tc={5BD3A202-51E5-4C14-8991-8AFD7E94E761}</author>
    <author>tc={293A5B57-37A4-4D7A-BE86-C5C05B9BC6AE}</author>
    <author>tc={F847554A-54F2-45F2-B61F-704798CE2FB0}</author>
    <author>tc={7EB810F2-8894-4EB0-97BB-1A6ECE894423}</author>
    <author>tc={881D75AE-2AD0-419D-8BFF-F7956CFB8117}</author>
    <author>tc={726E5D60-889F-4B30-974F-188BC48C3E1B}</author>
    <author>tc={95C3C469-5D1C-4FD2-918F-12C6DEA588F2}</author>
    <author>tc={22E25760-5825-4B1F-AB5F-F312CBAE0AB4}</author>
    <author>tc={4982CBF0-3EB0-40A8-BCE8-F06A0802EB1C}</author>
    <author>tc={FB1F36B9-04E3-491C-AB3C-07EFB1DCA83E}</author>
    <author>tc={D31E8C5D-06AB-466B-AE26-8E6E4E49F062}</author>
  </authors>
  <commentList>
    <comment ref="I4" authorId="0" shapeId="0" xr:uid="{BE2375AC-1FAF-44E1-9EC4-C93788DC684C}">
      <text>
        <t>[Threaded comment]
Your version of Excel allows you to read this threaded comment; however, any edits to it will get removed if the file is opened in a newer version of Excel. Learn more: https://go.microsoft.com/fwlink/?linkid=870924
Comment:
    Only Applicable for Power Systems</t>
      </text>
    </comment>
    <comment ref="J7" authorId="1" shapeId="0" xr:uid="{66875AA3-88D8-4D84-BF53-5839F1A26708}">
      <text>
        <t>[Threaded comment]
Your version of Excel allows you to read this threaded comment; however, any edits to it will get removed if the file is opened in a newer version of Excel. Learn more: https://go.microsoft.com/fwlink/?linkid=870924
Comment:
    PSC = Procurement Spec</t>
      </text>
    </comment>
    <comment ref="P7" authorId="2" shapeId="0" xr:uid="{7C683C32-962F-4806-A1AB-6E6964B34523}">
      <text>
        <t>[Threaded comment]
Your version of Excel allows you to read this threaded comment; however, any edits to it will get removed if the file is opened in a newer version of Excel. Learn more: https://go.microsoft.com/fwlink/?linkid=870924
Comment:
    BTP FAIR Only will not require a TDR, but to efficiently provide a link to PFEP tab not blanking this out, but leaving as grey</t>
      </text>
    </comment>
    <comment ref="Y7" authorId="3" shapeId="0" xr:uid="{5653E446-D393-40C1-A794-4800335652B4}">
      <text>
        <t>[Threaded comment]
Your version of Excel allows you to read this threaded comment; however, any edits to it will get removed if the file is opened in a newer version of Excel. Learn more: https://go.microsoft.com/fwlink/?linkid=870924
Comment:
    Often up front drawing changes will be found during EPA/TDR, later dwg changes will need to be built into the supplier build time</t>
      </text>
    </comment>
    <comment ref="AB7" authorId="4" shapeId="0" xr:uid="{5AF57A17-74DC-4747-BE7A-3ECB75BAA857}">
      <text>
        <t>[Threaded comment]
Your version of Excel allows you to read this threaded comment; however, any edits to it will get removed if the file is opened in a newer version of Excel. Learn more: https://go.microsoft.com/fwlink/?linkid=870924
Comment:
    Applicable for Repositions or Transitions with suppliers that are new to HON and need to be set up in multiple systems: SAP, Net-Inspect, HASP, etc.
For this scenario, the suggested duration is of 20 workdays</t>
      </text>
    </comment>
    <comment ref="AN7" authorId="5" shapeId="0" xr:uid="{37CF6CAF-52BB-4529-8422-966BD1CCE868}">
      <text>
        <t>[Threaded comment]
Your version of Excel allows you to read this threaded comment; however, any edits to it will get removed if the file is opened in a newer version of Excel. Learn more: https://go.microsoft.com/fwlink/?linkid=870924
Comment:
    Largely unused anymore, can set as 0 duration</t>
      </text>
    </comment>
    <comment ref="AQ7" authorId="6" shapeId="0" xr:uid="{824A813A-6CF6-48FE-A258-EEDC94DB712A}">
      <text>
        <t>[Threaded comment]
Your version of Excel allows you to read this threaded comment; however, any edits to it will get removed if the file is opened in a newer version of Excel. Learn more: https://go.microsoft.com/fwlink/?linkid=870924
Comment:
    Formal onsite review with full checklist completed by SDE, the one pager in the TRB file does not count. Check with SDE to determine if one has been completed recently that is still valid</t>
      </text>
    </comment>
    <comment ref="AT7" authorId="7" shapeId="0" xr:uid="{4D0D99E7-0094-428B-B4F4-7B322D6B90F4}">
      <text>
        <t>[Threaded comment]
Your version of Excel allows you to read this threaded comment; however, any edits to it will get removed if the file is opened in a newer version of Excel. Learn more: https://go.microsoft.com/fwlink/?linkid=870924
Comment:
    Once you have validation plan from EPA/TDR this can be completed even before formal EPA/TDR approval in ERS or TeamCenter
Reply:
    ECE = Engineering Cost Estimate</t>
      </text>
    </comment>
    <comment ref="AZ7" authorId="8" shapeId="0" xr:uid="{2C4E589F-A397-4587-9013-84365E829417}">
      <text>
        <t>[Threaded comment]
Your version of Excel allows you to read this threaded comment; however, any edits to it will get removed if the file is opened in a newer version of Excel. Learn more: https://go.microsoft.com/fwlink/?linkid=870924
Comment:
    Most projects will not have this, if N/A then 0 for duration</t>
      </text>
    </comment>
    <comment ref="BI7" authorId="9" shapeId="0" xr:uid="{D97378B8-583E-448E-86BE-F41E0762D426}">
      <text>
        <t>[Threaded comment]
Your version of Excel allows you to read this threaded comment; however, any edits to it will get removed if the file is opened in a newer version of Excel. Learn more: https://go.microsoft.com/fwlink/?linkid=870924
Comment:
    Initial meetings with internal team and/or go-to supplier</t>
      </text>
    </comment>
    <comment ref="BO7" authorId="10" shapeId="0" xr:uid="{14D2AC08-373C-4BC2-AC0D-85F8A0D6A8AA}">
      <text>
        <t>[Threaded comment]
Your version of Excel allows you to read this threaded comment; however, any edits to it will get removed if the file is opened in a newer version of Excel. Learn more: https://go.microsoft.com/fwlink/?linkid=870924
Comment:
    Level 1 Design Review (DR)</t>
      </text>
    </comment>
    <comment ref="BR7" authorId="11" shapeId="0" xr:uid="{A3C47215-1FE3-4A49-8B37-F428270BEE7B}">
      <text>
        <t>[Threaded comment]
Your version of Excel allows you to read this threaded comment; however, any edits to it will get removed if the file is opened in a newer version of Excel. Learn more: https://go.microsoft.com/fwlink/?linkid=870924
Comment:
    Technical Concept Review</t>
      </text>
    </comment>
    <comment ref="BU7" authorId="12" shapeId="0" xr:uid="{2345DA65-6CF7-49C3-A58C-1E7B3DE155A9}">
      <text>
        <t>[Threaded comment]
Your version of Excel allows you to read this threaded comment; however, any edits to it will get removed if the file is opened in a newer version of Excel. Learn more: https://go.microsoft.com/fwlink/?linkid=870924
Comment:
    Preliminary Design Review (PDR)</t>
      </text>
    </comment>
    <comment ref="BX7" authorId="13" shapeId="0" xr:uid="{D8214D93-D1B2-45B3-B845-B36EB771B5E9}">
      <text>
        <t>[Threaded comment]
Your version of Excel allows you to read this threaded comment; however, any edits to it will get removed if the file is opened in a newer version of Excel. Learn more: https://go.microsoft.com/fwlink/?linkid=870924
Comment:
    Critical Design Review (CDR)</t>
      </text>
    </comment>
    <comment ref="CA7" authorId="14" shapeId="0" xr:uid="{F80009F5-45DC-4AD7-91C7-8A71CD4B93B1}">
      <text>
        <t>[Threaded comment]
Your version of Excel allows you to read this threaded comment; however, any edits to it will get removed if the file is opened in a newer version of Excel. Learn more: https://go.microsoft.com/fwlink/?linkid=870924
Comment:
    Includes time to close all CDR actions for BTS parts</t>
      </text>
    </comment>
    <comment ref="CG7" authorId="15" shapeId="0" xr:uid="{A5F5E895-759C-4BEE-B19F-4DC31DEBE3DB}">
      <text>
        <t>[Threaded comment]
Your version of Excel allows you to read this threaded comment; however, any edits to it will get removed if the file is opened in a newer version of Excel. Learn more: https://go.microsoft.com/fwlink/?linkid=870924
Comment:
    Approval date is the combination of HON &amp; Customer, if applicable
Reply:
    HON Approval: 15 WD
HON + Cust Approval: 60WD</t>
      </text>
    </comment>
    <comment ref="CP7" authorId="16" shapeId="0" xr:uid="{01E7CAAD-4D42-4568-8253-AE173FA9BE5B}">
      <text>
        <t>[Threaded comment]
Your version of Excel allows you to read this threaded comment; however, any edits to it will get removed if the file is opened in a newer version of Excel. Learn more: https://go.microsoft.com/fwlink/?linkid=870924
Comment:
    The baseline for Execution milestones will be set up once there is an Actual Completion Date for the FAIR PO Acknowledgment by the supplier</t>
      </text>
    </comment>
    <comment ref="CT7" authorId="17" shapeId="0" xr:uid="{D08A23F8-16DA-4C83-93FE-8492D92356C8}">
      <text>
        <t>[Threaded comment]
Your version of Excel allows you to read this threaded comment; however, any edits to it will get removed if the file is opened in a newer version of Excel. Learn more: https://go.microsoft.com/fwlink/?linkid=870924
Comment:
    Baseline assumes 6 months for material lead-time.  Adjust as needed...</t>
      </text>
    </comment>
    <comment ref="CW7" authorId="18" shapeId="0" xr:uid="{E7537BC0-5699-48AD-9736-584B1942D35D}">
      <text>
        <t>[Threaded comment]
Your version of Excel allows you to read this threaded comment; however, any edits to it will get removed if the file is opened in a newer version of Excel. Learn more: https://go.microsoft.com/fwlink/?linkid=870924
Comment:
    Most projects will not have this, if N/A then 0 for duration</t>
      </text>
    </comment>
    <comment ref="CZ7" authorId="19" shapeId="0" xr:uid="{31848541-5900-4B87-89CD-C8EF7B691CDC}">
      <text>
        <t>[Threaded comment]
Your version of Excel allows you to read this threaded comment; however, any edits to it will get removed if the file is opened in a newer version of Excel. Learn more: https://go.microsoft.com/fwlink/?linkid=870924
Comment:
    Baseline assumes 6 months for material lead-time.  Adjust as needed...</t>
      </text>
    </comment>
    <comment ref="DC7" authorId="20" shapeId="0" xr:uid="{031108AA-8D04-4990-BBCF-DD2098939F33}">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STICs, Proof &amp; Burst, Fire Test, Fixed Process, Metallurgy, etc.
Reply:
    If N/A - adjust duration to "0"</t>
      </text>
    </comment>
    <comment ref="DF7" authorId="21" shapeId="0" xr:uid="{A17DACD4-9174-4F7B-BF3B-3B8DB1AA6D75}">
      <text>
        <t>[Threaded comment]
Your version of Excel allows you to read this threaded comment; however, any edits to it will get removed if the file is opened in a newer version of Excel. Learn more: https://go.microsoft.com/fwlink/?linkid=870924
Comment:
    At baseline adjust duration for schedule and then have cell locked by VS IRB/TRB focal</t>
      </text>
    </comment>
    <comment ref="DP7" authorId="22" shapeId="0" xr:uid="{B70C87FD-4CEE-4A8D-8E61-009C17EC9285}">
      <text>
        <t>[Threaded comment]
Your version of Excel allows you to read this threaded comment; however, any edits to it will get removed if the file is opened in a newer version of Excel. Learn more: https://go.microsoft.com/fwlink/?linkid=870924
Comment:
    3.3.4.4	Test Readiness Review (TRR)
The Supplier shall plan/coordinate a TRR for each part or group of parts subject to test.  The TRR shall be attended by Honeywell and shall demonstrate that all necessary test hardware, tooling and procedures are available and approved in advance of the testing to be performed. The TRR shall be conducted at least 1 week prior to the start of substantiation testing.</t>
      </text>
    </comment>
    <comment ref="DS7" authorId="23" shapeId="0" xr:uid="{DC7FE293-C0CC-4BF1-A7C2-3363470F8714}">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STICs, Proof &amp; Burst, Fire Test, Fixed Process, Metallurgy, etc.
Reply:
    If N/A - adjust duration to "0"</t>
      </text>
    </comment>
    <comment ref="EA7" authorId="24" shapeId="0" xr:uid="{8CDAC6A0-56FE-46A3-AB76-6DD10A2BD26C}">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Machining trials, engine test</t>
      </text>
    </comment>
    <comment ref="EE7" authorId="25" shapeId="0" xr:uid="{FEE21791-EC55-4C04-BD78-64F3CC5D57BA}">
      <text>
        <t>[Threaded comment]
Your version of Excel allows you to read this threaded comment; however, any edits to it will get removed if the file is opened in a newer version of Excel. Learn more: https://go.microsoft.com/fwlink/?linkid=870924
Comment:
    For new PNs customer approval can come after SS1 elevation, however for same PN customer approval is needed prior to SS1 elevation.
Reply:
    This is all of the post test reports being completed, examples: engine test report, gear report, STR, FTR, etc. Anything that is needed for the SS1 ECN.
Reply:
    FAIR Only parts are greyed out since N/A, leaving a date in here to support PFEP link</t>
      </text>
    </comment>
    <comment ref="EN7" authorId="26" shapeId="0" xr:uid="{9AD321C6-E1D9-4FDF-9937-701F038A0377}">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EQ7" authorId="27" shapeId="0" xr:uid="{29032A7E-71C5-4C1F-9F24-B6B9A77EF185}">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ET7" authorId="28" shapeId="0" xr:uid="{A4708FEF-8C18-4144-B3C6-748E0A041265}">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FC7" authorId="29" shapeId="0" xr:uid="{1A7F99C2-82A0-45F7-9A2C-D5A86A99C631}">
      <text>
        <t>[Threaded comment]
Your version of Excel allows you to read this threaded comment; however, any edits to it will get removed if the file is opened in a newer version of Excel. Learn more: https://go.microsoft.com/fwlink/?linkid=870924
Comment:
    4 to 5 weeks after SS1 Elevation.</t>
      </text>
    </comment>
    <comment ref="FI7" authorId="30" shapeId="0" xr:uid="{52124900-563F-4B55-8AF7-A30CB795B34B}">
      <text>
        <t>[Threaded comment]
Your version of Excel allows you to read this threaded comment; however, any edits to it will get removed if the file is opened in a newer version of Excel. Learn more: https://go.microsoft.com/fwlink/?linkid=870924
Comment:
    When all actions completed including final audit pass</t>
      </text>
    </comment>
    <comment ref="FL7" authorId="31" shapeId="0" xr:uid="{9B0E2A01-42FA-4319-8198-8CDC54B5D1A1}">
      <text>
        <t>[Threaded comment]
Your version of Excel allows you to read this threaded comment; however, any edits to it will get removed if the file is opened in a newer version of Excel. Learn more: https://go.microsoft.com/fwlink/?linkid=870924
Comment:
    Production Cutover Date should match your 1st Production Delivery Date.</t>
      </text>
    </comment>
    <comment ref="FO7" authorId="32" shapeId="0" xr:uid="{5BD3A202-51E5-4C14-8991-8AFD7E94E761}">
      <text>
        <t>[Threaded comment]
Your version of Excel allows you to read this threaded comment; however, any edits to it will get removed if the file is opened in a newer version of Excel. Learn more: https://go.microsoft.com/fwlink/?linkid=870924
Comment:
    Use formula ONLY to determine TCD date, after TRB approval replace the formula with a hard coded date, otherwise as your schedule moves this will move with it and you mass pass your TCD without even realizing it</t>
      </text>
    </comment>
    <comment ref="A8" authorId="33" shapeId="0" xr:uid="{293A5B57-37A4-4D7A-BE86-C5C05B9BC6AE}">
      <text>
        <t>[Threaded comment]
Your version of Excel allows you to read this threaded comment; however, any edits to it will get removed if the file is opened in a newer version of Excel. Learn more: https://go.microsoft.com/fwlink/?linkid=870924
Comment:
    Only use 2nd line of each pair for Project name, helps with filters</t>
      </text>
    </comment>
    <comment ref="B8" authorId="34" shapeId="0" xr:uid="{F847554A-54F2-45F2-B61F-704798CE2FB0}">
      <text>
        <t>[Threaded comment]
Your version of Excel allows you to read this threaded comment; however, any edits to it will get removed if the file is opened in a newer version of Excel. Learn more: https://go.microsoft.com/fwlink/?linkid=870924
Comment:
    Only use 2nd line of each pair for AID, helps with filters</t>
      </text>
    </comment>
    <comment ref="C8" authorId="35" shapeId="0" xr:uid="{7EB810F2-8894-4EB0-97BB-1A6ECE894423}">
      <text>
        <t>[Threaded comment]
Your version of Excel allows you to read this threaded comment; however, any edits to it will get removed if the file is opened in a newer version of Excel. Learn more: https://go.microsoft.com/fwlink/?linkid=870924
Comment:
    Only use 2nd line of each pair for PN, helps with filters</t>
      </text>
    </comment>
    <comment ref="E8" authorId="36" shapeId="0" xr:uid="{881D75AE-2AD0-419D-8BFF-F7956CFB8117}">
      <text>
        <t xml:space="preserve">[Threaded comment]
Your version of Excel allows you to read this threaded comment; however, any edits to it will get removed if the file is opened in a newer version of Excel. Learn more: https://go.microsoft.com/fwlink/?linkid=870924
Comment:
    *Red: Run Out Date occurs prior to or within 3 months of First Production Lot (FPL) Ready date- Risk on delivery gap between Incumbent/New Source
*Yellow: Run Out Date occurs 4-6 months after FPL Ready date-  Risk on delivery gap between Incumbent/New Source
*Green: Run Out Date occurs 7-23 months after FPL Ready date – No Risk on delivery gap between Incumbent/New Source
*Covered: 24 months+ before demand needs supported. – No Risk on delivery gap between Incumbent/New Source
</t>
      </text>
    </comment>
    <comment ref="F8" authorId="37" shapeId="0" xr:uid="{726E5D60-889F-4B30-974F-188BC48C3E1B}">
      <text>
        <t>[Threaded comment]
Your version of Excel allows you to read this threaded comment; however, any edits to it will get removed if the file is opened in a newer version of Excel. Learn more: https://go.microsoft.com/fwlink/?linkid=870924
Comment:
    Select the Pair of lines to use based on what type of project you have, likely will know this up front but 100% after EPA/TDR</t>
      </text>
    </comment>
    <comment ref="H8" authorId="38" shapeId="0" xr:uid="{95C3C469-5D1C-4FD2-918F-12C6DEA588F2}">
      <text>
        <t>[Threaded comment]
Your version of Excel allows you to read this threaded comment; however, any edits to it will get removed if the file is opened in a newer version of Excel. Learn more: https://go.microsoft.com/fwlink/?linkid=870924
Comment:
    The Baseline will change to Execution once there is an Actual Completion Date for the FAIR Order Acknowledged</t>
      </text>
    </comment>
    <comment ref="EK8" authorId="39" shapeId="0" xr:uid="{22E25760-5825-4B1F-AB5F-F312CBAE0AB4}">
      <text>
        <t>[Threaded comment]
Your version of Excel allows you to read this threaded comment; however, any edits to it will get removed if the file is opened in a newer version of Excel. Learn more: https://go.microsoft.com/fwlink/?linkid=870924
Comment:
    AG-5924 MRR/MRA is not applicable for suppliers per AG-5924 paragraph 3. Applicability -  The MRA is only applicable to products manufactured at Honeywell locations.</t>
      </text>
    </comment>
    <comment ref="EN8" authorId="40" shapeId="0" xr:uid="{4982CBF0-3EB0-40A8-BCE8-F06A0802EB1C}">
      <text>
        <t>[Threaded comment]
Your version of Excel allows you to read this threaded comment; however, any edits to it will get removed if the file is opened in a newer version of Excel. Learn more: https://go.microsoft.com/fwlink/?linkid=870924
Comment:
    Eventually, it all goes into service. This is achieved through certification by a Civil (Airworthiness) Aviation Authority
FAA
EASA (Europe)
ANAC (Brazil)
CAAC (China)
Transport Canada
Reply:
    What does certification mean?
At some point all goods need to be certified and this is granted to the Applicant by the Airworthiness Authority’s Aircraft Cert Office (ACO)
A Technical Standard Order (TSO) Authorization or equivalent (FAA issues TSO, EASA issues an ETSO) 
These goods are represented to have a self standing function and can be installed in multiple aircraft
Very common in General Aviation and Business Jet Markets
Less common in the Air Transport Markets but every aircraft has Line Replaceable Units (LRUs) that hold a TSO
Air Transport goods are typically certified by the Airframer of the Aircraft as the Applicant to Airworthiness Authorities
All certification artifacts are generated by Honeywell and becomes part of the Airframer’s Aircraft Certification Package to Cert Authorities
When a good is first proposed to be installed on an aircraft that is already certified, a Supplemental Type Certificate (STC) is required</t>
      </text>
    </comment>
    <comment ref="EQ8" authorId="41" shapeId="0" xr:uid="{FB1F36B9-04E3-491C-AB3C-07EFB1DCA83E}">
      <text>
        <t>[Threaded comment]
Your version of Excel allows you to read this threaded comment; however, any edits to it will get removed if the file is opened in a newer version of Excel. Learn more: https://go.microsoft.com/fwlink/?linkid=870924
Comment:
    For new PNs customer approval can come after SS1 elevation, however for same PN customer approval is needed prior to SS1 elevation.</t>
      </text>
    </comment>
    <comment ref="EZ8" authorId="42" shapeId="0" xr:uid="{D31E8C5D-06AB-466B-AE26-8E6E4E49F062}">
      <text>
        <t>[Threaded comment]
Your version of Excel allows you to read this threaded comment; however, any edits to it will get removed if the file is opened in a newer version of Excel. Learn more: https://go.microsoft.com/fwlink/?linkid=870924
Comment:
    AG-5924 MRR/MRA is not applicable for suppliers per AG-5924 paragraph 3. Applicability -  The MRA is only applicable to products manufactured at Honeywell locations.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<sst xmlns="http://schemas.openxmlformats.org/spreadsheetml/2006/main" count="869" uniqueCount="498">
  <si>
    <t>Mandatory Information</t>
  </si>
  <si>
    <t>Cells B3 to B6 are mandatory, make sure these are filled out before saving this file.
Please do not add rows or columns before this section. Do not rename the titles on column A either.</t>
  </si>
  <si>
    <t>Save SIMS by</t>
  </si>
  <si>
    <t>Project Name</t>
  </si>
  <si>
    <t>IDD Aerospace</t>
  </si>
  <si>
    <t>Project Manager</t>
  </si>
  <si>
    <t>Sayee Thakare</t>
  </si>
  <si>
    <t>Supplier Transitions &amp; Repositions Team</t>
  </si>
  <si>
    <t>ELE</t>
  </si>
  <si>
    <t>General Guidelines</t>
  </si>
  <si>
    <r>
      <t xml:space="preserve">To ensure your SIMS is successfully published:
-Make sure the above 3 fields in </t>
    </r>
    <r>
      <rPr>
        <b/>
        <sz val="10"/>
        <color rgb="FFFF0000"/>
        <rFont val="Aptos Narrow"/>
        <family val="2"/>
        <scheme val="minor"/>
      </rPr>
      <t>red</t>
    </r>
    <r>
      <rPr>
        <sz val="10"/>
        <color theme="1"/>
        <rFont val="Aptos Narrow"/>
        <family val="2"/>
        <scheme val="minor"/>
      </rPr>
      <t xml:space="preserve"> are properly filled out
-Do not rename nor delete the SIMS sheet
-Do not insert any rows before row # 8
-Do not rename existing columns
-Only enter Numeric or Date value for those types of columns: If a task doesn’t apply, please enter 0 in the duration row
</t>
    </r>
    <r>
      <rPr>
        <b/>
        <sz val="10"/>
        <color theme="1"/>
        <rFont val="Aptos Narrow"/>
        <family val="2"/>
        <scheme val="minor"/>
      </rPr>
      <t>First Time Publishing your SIMS</t>
    </r>
    <r>
      <rPr>
        <sz val="10"/>
        <color theme="1"/>
        <rFont val="Aptos Narrow"/>
        <family val="2"/>
        <scheme val="minor"/>
      </rPr>
      <t xml:space="preserve">
-Utilize the </t>
    </r>
    <r>
      <rPr>
        <b/>
        <sz val="10"/>
        <color rgb="FF92D050"/>
        <rFont val="Aptos Narrow"/>
        <family val="2"/>
        <scheme val="minor"/>
      </rPr>
      <t xml:space="preserve">PUBLISH IMS </t>
    </r>
    <r>
      <rPr>
        <sz val="10"/>
        <color theme="1"/>
        <rFont val="Aptos Narrow"/>
        <family val="2"/>
        <scheme val="minor"/>
      </rPr>
      <t xml:space="preserve">button on the SIMS sheet
-If there is no Actual FAIR Order Acknowledged Date (refer to the Baseline Type column (H)), the system will consider it as the initial “Pre-Execution” baseline and will lock it in the database and harcode your baseline dates up to the TRB Approval milestone on this file
-For projects with a FAIR Order Acknowledged Actual Completion Date, the system will add them both the “Pre-Execution” and “Execution” baselines, it will lock them in the database and will hardcode ALL your baseline dates on this file
</t>
    </r>
    <r>
      <rPr>
        <b/>
        <sz val="10"/>
        <color theme="1"/>
        <rFont val="Aptos Narrow"/>
        <family val="2"/>
        <scheme val="minor"/>
      </rPr>
      <t>Subsequent Publications</t>
    </r>
    <r>
      <rPr>
        <sz val="10"/>
        <color theme="1"/>
        <rFont val="Aptos Narrow"/>
        <family val="2"/>
        <scheme val="minor"/>
      </rPr>
      <t xml:space="preserve">
-The previous file will be overwritten, and the system will take your current schedule
-The system will check for part project that moved from “Pre-Execution” to “Execution” and will add and lock the Execution Baseline in the database. All baselines dates after the TRB approval milestone will be hardcoded in the file as well.</t>
    </r>
  </si>
  <si>
    <t>Baseline Changes</t>
  </si>
  <si>
    <t>-Please follow the baseline change management process</t>
  </si>
  <si>
    <t>Resources</t>
  </si>
  <si>
    <t>https://honeywellprod.sharepoint.com/teams/OpExSupplierReadiness/LearningAcademy/MOS%20and%20Standard%20Templates/PM_MOS_Tools/Simplified%20IMS%20%26%20Inchstones</t>
  </si>
  <si>
    <t>Key Metrics</t>
  </si>
  <si>
    <t>Category</t>
  </si>
  <si>
    <t>Milestone/Task</t>
  </si>
  <si>
    <t>Responsible Person</t>
  </si>
  <si>
    <t>General Metric Drivers</t>
  </si>
  <si>
    <t>Project Start IRB Approval Date
FAIR Order Placed
FAIR Order Acknowledged</t>
  </si>
  <si>
    <t>Project Initiator
Project Manager
Project Manager</t>
  </si>
  <si>
    <t>L1 Milestones</t>
  </si>
  <si>
    <t>EPA/TDR/ECE
Supplier &amp; HON STR/QTR Approved by HON Eng
Supplier Signed Contract 
Final FAIR
Target Complete Date (TCD)</t>
  </si>
  <si>
    <t>Project Engineer
Project Engineer
Commodity Manager
Project Manager
Project Manager</t>
  </si>
  <si>
    <t>L2 Milestones</t>
  </si>
  <si>
    <t>Quote Received
Capability &amp; Capacity Assessment Complete
TRB Approval Date
Material Received at Supplier
Supplier FAIR Lot Build Complete
IMS Part Complete Date (PCD)
Production Cutover Date</t>
  </si>
  <si>
    <t>Commodity Manager
Supplier Development Engineer*
Commodity Manager
Project Manager
Project Manager
Project Manager
Project Manager</t>
  </si>
  <si>
    <t>Cycles of Learning</t>
  </si>
  <si>
    <t>Dimensional Pre-Qualification
Supplier Qualification (post-Conditional FAIR)
Dimensional Qualification
HON Qualification</t>
  </si>
  <si>
    <t>Project Manager
Project Manager
Project Manager
Project Manager</t>
  </si>
  <si>
    <t>Abbreviations</t>
  </si>
  <si>
    <t>Abbreviation</t>
  </si>
  <si>
    <t>Description</t>
  </si>
  <si>
    <t xml:space="preserve">ACD </t>
  </si>
  <si>
    <t>Actual Completion Date</t>
  </si>
  <si>
    <t>AID</t>
  </si>
  <si>
    <t>Accolade Part Project ID</t>
  </si>
  <si>
    <t xml:space="preserve">AMCON </t>
  </si>
  <si>
    <t>Andavnced Management Control</t>
  </si>
  <si>
    <t>ASL</t>
  </si>
  <si>
    <t>Approved Supplier List</t>
  </si>
  <si>
    <t xml:space="preserve">AVL </t>
  </si>
  <si>
    <t>Approved Vendor List</t>
  </si>
  <si>
    <t>BTS</t>
  </si>
  <si>
    <t>Build to Specification</t>
  </si>
  <si>
    <t xml:space="preserve">CDR </t>
  </si>
  <si>
    <t>Critical Design Review</t>
  </si>
  <si>
    <t xml:space="preserve">CECD </t>
  </si>
  <si>
    <t>Current Estimated Completion Date</t>
  </si>
  <si>
    <t xml:space="preserve">ConDR </t>
  </si>
  <si>
    <t>Configuration Design Review</t>
  </si>
  <si>
    <t>DCMA</t>
  </si>
  <si>
    <t>Defense Contract Management Agency</t>
  </si>
  <si>
    <t xml:space="preserve">DREA </t>
  </si>
  <si>
    <t>Design Review Engineering Approval</t>
  </si>
  <si>
    <t>ECD</t>
  </si>
  <si>
    <t>Estimated Completion Date</t>
  </si>
  <si>
    <t xml:space="preserve">ECD </t>
  </si>
  <si>
    <t>ECE</t>
  </si>
  <si>
    <t>Engineering Cost Estimate</t>
  </si>
  <si>
    <t>EPA</t>
  </si>
  <si>
    <t>Engineering Part Assessment</t>
  </si>
  <si>
    <t xml:space="preserve">ETSO </t>
  </si>
  <si>
    <t>European Technical Standard Order</t>
  </si>
  <si>
    <t xml:space="preserve">FAA </t>
  </si>
  <si>
    <t>Federal Aviation Administration</t>
  </si>
  <si>
    <t xml:space="preserve">FAIR </t>
  </si>
  <si>
    <t>First Article Inspection Report</t>
  </si>
  <si>
    <t>FPL</t>
  </si>
  <si>
    <t>First Production Lot</t>
  </si>
  <si>
    <t xml:space="preserve">HON </t>
  </si>
  <si>
    <t>Honeywell</t>
  </si>
  <si>
    <t xml:space="preserve">IMS </t>
  </si>
  <si>
    <t>Integrated Master Schedule</t>
  </si>
  <si>
    <t xml:space="preserve">IRB </t>
  </si>
  <si>
    <t>Idea Review Board</t>
  </si>
  <si>
    <t xml:space="preserve">L1DR </t>
  </si>
  <si>
    <t>Level 1 Design Review</t>
  </si>
  <si>
    <t xml:space="preserve">LC&amp;E </t>
  </si>
  <si>
    <t>Law, Contracts &amp; Export</t>
  </si>
  <si>
    <t xml:space="preserve">PCD </t>
  </si>
  <si>
    <t>Part Complete Date</t>
  </si>
  <si>
    <t xml:space="preserve">PDR </t>
  </si>
  <si>
    <t>Preliminary Design Review</t>
  </si>
  <si>
    <t>PFEP</t>
  </si>
  <si>
    <t>Plan for Every Part</t>
  </si>
  <si>
    <t xml:space="preserve">PO </t>
  </si>
  <si>
    <t>Purchase Order</t>
  </si>
  <si>
    <t xml:space="preserve">PRR </t>
  </si>
  <si>
    <t>Production Readiness Review</t>
  </si>
  <si>
    <t xml:space="preserve">PSC </t>
  </si>
  <si>
    <t>Procurement Specification Control</t>
  </si>
  <si>
    <t xml:space="preserve">PTCD </t>
  </si>
  <si>
    <t>Project Technical Completion Date</t>
  </si>
  <si>
    <t xml:space="preserve">QTP </t>
  </si>
  <si>
    <t>Qualification Test Plan</t>
  </si>
  <si>
    <t xml:space="preserve">QTR </t>
  </si>
  <si>
    <t>Qualification Test Report</t>
  </si>
  <si>
    <t xml:space="preserve">RFQ </t>
  </si>
  <si>
    <t>Request for Quotation</t>
  </si>
  <si>
    <t xml:space="preserve">RM </t>
  </si>
  <si>
    <t>Raw Material</t>
  </si>
  <si>
    <t>SCS</t>
  </si>
  <si>
    <t>Supplier Control System</t>
  </si>
  <si>
    <t>SOW</t>
  </si>
  <si>
    <t>Statement of Work</t>
  </si>
  <si>
    <t>SS1</t>
  </si>
  <si>
    <t>Source Status 1</t>
  </si>
  <si>
    <t>STR</t>
  </si>
  <si>
    <t>Structural Test Report</t>
  </si>
  <si>
    <t xml:space="preserve">SubCon </t>
  </si>
  <si>
    <t>Subcontractor</t>
  </si>
  <si>
    <t xml:space="preserve">TCD </t>
  </si>
  <si>
    <t>Target Complete Date</t>
  </si>
  <si>
    <t xml:space="preserve">TDR </t>
  </si>
  <si>
    <t>Technical Design Review</t>
  </si>
  <si>
    <t xml:space="preserve">TRB </t>
  </si>
  <si>
    <t>Transition Review Board</t>
  </si>
  <si>
    <t xml:space="preserve">TRR </t>
  </si>
  <si>
    <t>Test Readiness Review</t>
  </si>
  <si>
    <t>TSO</t>
  </si>
  <si>
    <t>Technical Standard Order</t>
  </si>
  <si>
    <t>Suggested Tasks Durations</t>
  </si>
  <si>
    <t>Task Name</t>
  </si>
  <si>
    <t>Casting &amp; Forging Task</t>
  </si>
  <si>
    <t>Machining Task</t>
  </si>
  <si>
    <t>BTS Task</t>
  </si>
  <si>
    <t>Sheet Metal</t>
  </si>
  <si>
    <t>Electronics Task</t>
  </si>
  <si>
    <t>Project Approved at Idea Review Board (IRB) (Authorization to Proceed)</t>
  </si>
  <si>
    <t>Project Eng (PE), Project Manager (PM), Supplier Dev Eng (SDE) and Material Eng (Mat Eng) Assigned - (Respective Leaders to assign)</t>
  </si>
  <si>
    <t>PE Completed Requirements Review with Design Authority (DA)</t>
  </si>
  <si>
    <t>Engineering Part Assessment (EPA) Completed &amp; Approved</t>
  </si>
  <si>
    <t>Transition Design Review (TDR) Completed &amp; Approved</t>
  </si>
  <si>
    <t>Supplier Dev Eng (SDE) Update STT with APQP Level and Flow Down Date</t>
  </si>
  <si>
    <t xml:space="preserve">3D Model Created and Released (if required from EPA/TDR) </t>
  </si>
  <si>
    <t>Drawings &amp; Specs (PSCs) Updated if Required</t>
  </si>
  <si>
    <t>PM Completed Initial Package Creation (Identify Potential Suppliers)</t>
  </si>
  <si>
    <t>PM Initiate DATT for Pre RFI &amp; Pre Award (Pre Auction)</t>
  </si>
  <si>
    <t xml:space="preserve"> BTP (BTS Optional) - Analyze Drawing and Identify Raw Material (RM) Include Testing Units (Tempe) and Raw Material Sources</t>
  </si>
  <si>
    <t xml:space="preserve"> BTP (BTS Optional) - Place Raw Material (RM) PO and Receive at Main Receiving Site</t>
  </si>
  <si>
    <t>Supplier Dev Eng (SDE) Validated Potential Suppliers Scouting Assessment</t>
  </si>
  <si>
    <t xml:space="preserve"> Received DATT Pre RFI Approval</t>
  </si>
  <si>
    <t xml:space="preserve"> PM Received Drawing Package from Drawing Pull Team (OPEX)</t>
  </si>
  <si>
    <t xml:space="preserve"> BTS - Statement of Work (SOW) Approved and Released by Project Engineer</t>
  </si>
  <si>
    <t xml:space="preserve"> Auction Team Sent Formal Request for Quotes (RFQ) to Suppliers</t>
  </si>
  <si>
    <t xml:space="preserve"> Received DATT Pre Award (Pre Auction) Approval</t>
  </si>
  <si>
    <t xml:space="preserve"> Auction Scheduled and Completed</t>
  </si>
  <si>
    <t xml:space="preserve"> Down Select Top 2 or 3 Suppliers for Award Evaluation</t>
  </si>
  <si>
    <t xml:space="preserve"> SDE to conduct Preliminary Technical Review (Compliance Matrix for BTS) including Capacity Assessment With Down Selected Suppliers</t>
  </si>
  <si>
    <t xml:space="preserve"> Part-Wise Down Select Go-To Supplier for Award</t>
  </si>
  <si>
    <t xml:space="preserve"> Identify the Go To Supplier for Award</t>
  </si>
  <si>
    <t xml:space="preserve"> Commodity Manager (CM) Presented and Received Transition Review Board (TRB) Approval to Award</t>
  </si>
  <si>
    <t>Project Award Letter Sent to Supplier by CM</t>
  </si>
  <si>
    <t>Receive LTC/VMI Amendment Signature</t>
  </si>
  <si>
    <t xml:space="preserve"> Initiate DATT Post Award Approval</t>
  </si>
  <si>
    <t xml:space="preserve"> Create QIR / POB Record for Supplier for all Sites</t>
  </si>
  <si>
    <t xml:space="preserve"> BTP - Create FAIR PO for PNs and release to Supplier</t>
  </si>
  <si>
    <t xml:space="preserve"> BTP - Create CIR and release 3 Production POs to Supplier</t>
  </si>
  <si>
    <t xml:space="preserve"> Create NRE POs and Release to Supplier (If Applicable)</t>
  </si>
  <si>
    <t xml:space="preserve"> CM Complete LTC Amendment</t>
  </si>
  <si>
    <t xml:space="preserve"> IMS Baselined by PM</t>
  </si>
  <si>
    <t xml:space="preserve"> Update Mutually Agreed Completion Date (MACD)</t>
  </si>
  <si>
    <t xml:space="preserve"> BTS - Design Review Expectations Agreement (DREA) Completed</t>
  </si>
  <si>
    <t xml:space="preserve"> BTS - Concept Design Review (ConDR) Completed</t>
  </si>
  <si>
    <t xml:space="preserve"> BTS - Preliminary Design Review (PDR) Completed</t>
  </si>
  <si>
    <t xml:space="preserve"> BTS - Critical Design Review (CDR) Completed</t>
  </si>
  <si>
    <t xml:space="preserve"> BTS - Add Supplier to SCS/ASL/AVL</t>
  </si>
  <si>
    <t xml:space="preserve"> BTS - First Article Inspection (FAI) Purchase Orders (POs) Placed as (SS2/Prove of Build (POB))</t>
  </si>
  <si>
    <t xml:space="preserve"> Capital Tooling Approval &amp; Tooling PO Issued</t>
  </si>
  <si>
    <t xml:space="preserve"> Received Final DATT Post Award Approval</t>
  </si>
  <si>
    <t xml:space="preserve"> Initial Production Cutover Plan (Adjust Prod POs for BTP) (Create Prod POs for BTS)</t>
  </si>
  <si>
    <t xml:space="preserve"> Tooling Fabrication/Tool Build Completed (If Applicable)</t>
  </si>
  <si>
    <t xml:space="preserve"> All Material Received at Supplier (Material Leadtime)</t>
  </si>
  <si>
    <t xml:space="preserve"> Supplier Trials (Discovery, Metallurgy, Dimensional)</t>
  </si>
  <si>
    <t xml:space="preserve"> Supplier Approved Processing Source List (APSL) Certification</t>
  </si>
  <si>
    <t xml:space="preserve"> Preliminary Fixed Process Approval</t>
  </si>
  <si>
    <t xml:space="preserve"> Build Complete (Production of FAIR or STICS lot) and Acceptance Test Procedure (ATP) Completed by Supplier</t>
  </si>
  <si>
    <t xml:space="preserve"> Conditional First Article Inspection Report (FAIR) Completed - FQE</t>
  </si>
  <si>
    <t xml:space="preserve"> Test Readiness Review (TRR) Completed</t>
  </si>
  <si>
    <t xml:space="preserve"> Substantiation (Machining/Testing if required)</t>
  </si>
  <si>
    <t xml:space="preserve"> Material Evaluation Completed</t>
  </si>
  <si>
    <t xml:space="preserve"> Functional Test Completed</t>
  </si>
  <si>
    <t xml:space="preserve"> BTS - Supplier Qual Complete &amp; Qualification Test Report (QTR) Submitted</t>
  </si>
  <si>
    <t xml:space="preserve"> BTS - HON Qual Completed &amp; Qualification Test Report (QTR) Submitted</t>
  </si>
  <si>
    <t xml:space="preserve"> Qualification Tests Reports (QTR) Approved by Eng and Send to FAA/DCMA/Customer (If Applicable)</t>
  </si>
  <si>
    <t xml:space="preserve"> Initiate Contract Review, Quota Arrangement and Pflag Setup with incumbent and go to CMs</t>
  </si>
  <si>
    <t xml:space="preserve"> Production Readiness Review (PRR) Completed</t>
  </si>
  <si>
    <t xml:space="preserve"> Federal Aviation Agency (FAA) Technical Standard Order (TSO/ETSO) or Defense Contract Management Agency (DCMA) Approval Complete</t>
  </si>
  <si>
    <t xml:space="preserve"> Customer QTR Approval Received</t>
  </si>
  <si>
    <t xml:space="preserve"> Final Cutover Plan Established</t>
  </si>
  <si>
    <t xml:space="preserve"> Elevate Supplier to Production Status (SS1) (If Applicable)</t>
  </si>
  <si>
    <t xml:space="preserve"> Final Fixed Process Approval Complete</t>
  </si>
  <si>
    <t xml:space="preserve"> Delta First Article Inspection Report (FAIR) Complete</t>
  </si>
  <si>
    <t xml:space="preserve"> Update Next Higher Assembly Drawings Complete</t>
  </si>
  <si>
    <t xml:space="preserve"> Update Service Bulletin, Aftermarket Documents Complete (If Applicable)</t>
  </si>
  <si>
    <t xml:space="preserve"> FAIR Parts Received at Main Receiving Site</t>
  </si>
  <si>
    <t xml:space="preserve"> Quota Arrangement and Preferred Flag Setup Complete</t>
  </si>
  <si>
    <t xml:space="preserve"> Part Complete Audit Completed</t>
  </si>
  <si>
    <t xml:space="preserve"> Integrated Master Schedule (IMS) Part Complete</t>
  </si>
  <si>
    <t>Default color coding</t>
  </si>
  <si>
    <t>Date (Manual input)</t>
  </si>
  <si>
    <t>Assumptions:</t>
  </si>
  <si>
    <t>1. Dates are calculated based on work weeks (Monday - Friday)
2. Holidays are not accounted</t>
  </si>
  <si>
    <t>Duration in days (manual input)</t>
  </si>
  <si>
    <t>Date Calculation</t>
  </si>
  <si>
    <t>ST 2.0 Phase</t>
  </si>
  <si>
    <t>Phase I</t>
  </si>
  <si>
    <t>Phase IIA</t>
  </si>
  <si>
    <t>Phase IIB</t>
  </si>
  <si>
    <t>Phase IIC</t>
  </si>
  <si>
    <t>Phase IIIA</t>
  </si>
  <si>
    <t>Phase IIIB</t>
  </si>
  <si>
    <t>Phase IV</t>
  </si>
  <si>
    <t>Not Applicable</t>
  </si>
  <si>
    <t>APU CB Gate</t>
  </si>
  <si>
    <t>CB Gate 0</t>
  </si>
  <si>
    <t>CB Gate 1</t>
  </si>
  <si>
    <t xml:space="preserve">CB Gate 2 </t>
  </si>
  <si>
    <t>CB Gate 3</t>
  </si>
  <si>
    <t>CB Gate 4</t>
  </si>
  <si>
    <t>Completed Task</t>
  </si>
  <si>
    <t>Accolade</t>
  </si>
  <si>
    <t>PRE-EXECUTION (Phase 2 &amp; 3)</t>
  </si>
  <si>
    <t>EXECUTION (Phase 4)</t>
  </si>
  <si>
    <t>Productivity Report Out Items</t>
  </si>
  <si>
    <t>Project Length Data Points (Work Days)</t>
  </si>
  <si>
    <t>Number of Cycles of Learning (manual input)</t>
  </si>
  <si>
    <t>Simplified IMS Required</t>
  </si>
  <si>
    <r>
      <rPr>
        <b/>
        <sz val="11"/>
        <color theme="1"/>
        <rFont val="Wingdings 3"/>
        <family val="1"/>
        <charset val="2"/>
      </rPr>
      <t></t>
    </r>
    <r>
      <rPr>
        <b/>
        <sz val="7.7"/>
        <color theme="1"/>
        <rFont val="Aptos Narrow"/>
        <family val="2"/>
      </rPr>
      <t xml:space="preserve"> </t>
    </r>
    <r>
      <rPr>
        <b/>
        <sz val="11"/>
        <color theme="1"/>
        <rFont val="Aptos Narrow"/>
        <family val="2"/>
        <scheme val="minor"/>
      </rPr>
      <t>Project Start</t>
    </r>
  </si>
  <si>
    <t>Customer Rqmnts Analysis 
(PSC, etc)</t>
  </si>
  <si>
    <t>EPA/ECE Complete</t>
  </si>
  <si>
    <t>TDR/ECE Complete</t>
  </si>
  <si>
    <t>BTS SOW Developed &amp; Approved</t>
  </si>
  <si>
    <t>RM Coverage Confirmed &amp; SubCon Complete</t>
  </si>
  <si>
    <t>Revised/ Release
PSC/ Drawings</t>
  </si>
  <si>
    <t>New Supplier Set Up</t>
  </si>
  <si>
    <t>Pre RFQ DATT
Approved</t>
  </si>
  <si>
    <t>Pre RFQ LC&amp;E
Approved</t>
  </si>
  <si>
    <t>Quote Received</t>
  </si>
  <si>
    <t>RFQ Release</t>
  </si>
  <si>
    <t xml:space="preserve">Down Select Suppliers &amp; PreAward DATT Approval </t>
  </si>
  <si>
    <t xml:space="preserve">Down Select Suppliers &amp; PreAward LC&amp;E Approval </t>
  </si>
  <si>
    <t>eAuction</t>
  </si>
  <si>
    <t>Capability &amp; Capacity Assessment Complete</t>
  </si>
  <si>
    <t>ECE Update Complete</t>
  </si>
  <si>
    <t>Award Eval Complete</t>
  </si>
  <si>
    <t>Capital Approved</t>
  </si>
  <si>
    <t>TRB Approval Date</t>
  </si>
  <si>
    <t>Go to Supplier Signed Award</t>
  </si>
  <si>
    <t>Project Kickoff</t>
  </si>
  <si>
    <t>DREA  Complete</t>
  </si>
  <si>
    <t>L1DR Complete</t>
  </si>
  <si>
    <t>ConDR Complete</t>
  </si>
  <si>
    <t>PDR Complete</t>
  </si>
  <si>
    <t>CDR Complete</t>
  </si>
  <si>
    <t>Internal HON Review (PTCD) Complete</t>
  </si>
  <si>
    <t>HON Approval of Supplier Drawings</t>
  </si>
  <si>
    <t>Approval of Qualification Test Plan (QTP)</t>
  </si>
  <si>
    <t>Add Supplier to SCS/ASL/AVL</t>
  </si>
  <si>
    <t>FAIR Order Placed</t>
  </si>
  <si>
    <t>FAIR Order Acknowledged</t>
  </si>
  <si>
    <t>Material Received at Supplier</t>
  </si>
  <si>
    <t>Capital Tooling PO Placed</t>
  </si>
  <si>
    <t>Tooling Completed</t>
  </si>
  <si>
    <t>Supplier Trials &amp; Substantiation
(Pre-Conditional FAIR)</t>
  </si>
  <si>
    <t>Supplier FAIR Lot Build Complete</t>
  </si>
  <si>
    <t>Dimensional Pre-Qualification</t>
  </si>
  <si>
    <t>Conditional FAIR Complete</t>
  </si>
  <si>
    <t>TRR</t>
  </si>
  <si>
    <t>Supplier Qualification (post-Conditional FAIR)</t>
  </si>
  <si>
    <t>Dimensional Qualification</t>
  </si>
  <si>
    <t xml:space="preserve">HON Qualification </t>
  </si>
  <si>
    <t>Supplier &amp; HON STR/QTR Approved by HON Eng</t>
  </si>
  <si>
    <t xml:space="preserve">Supplier Signed Contract </t>
  </si>
  <si>
    <t>Production Readiness Review (PRR)</t>
  </si>
  <si>
    <t>External Approvals: FAA Approval (TSO/ETSO) Complete</t>
  </si>
  <si>
    <t>External Approvals: Customer Approval Complete</t>
  </si>
  <si>
    <t>External Approvals: DCMA/ AMCON Approval</t>
  </si>
  <si>
    <t>SS1 Elevation</t>
  </si>
  <si>
    <t>Final FAIR</t>
  </si>
  <si>
    <t>Update Next Higher Assembly Drawings</t>
  </si>
  <si>
    <t>Update Service Bulletin, Aftermarket Documents</t>
  </si>
  <si>
    <t>IMS Part Complete Date (PCD)</t>
  </si>
  <si>
    <t>Production Cutover Date</t>
  </si>
  <si>
    <t>Target Complete Date (TCD)</t>
  </si>
  <si>
    <t>TCD Status</t>
  </si>
  <si>
    <t>Baseline Status</t>
  </si>
  <si>
    <t>Part Number</t>
  </si>
  <si>
    <t>Run Out Date</t>
  </si>
  <si>
    <t>Critical Part?</t>
  </si>
  <si>
    <t>Simplified IMS</t>
  </si>
  <si>
    <t>Notes</t>
  </si>
  <si>
    <t>Baseline Type</t>
  </si>
  <si>
    <t>Project Start IRB Approval Date</t>
  </si>
  <si>
    <t>Customer Rqmnts Analysis (PSC, etc) Baseline ECD</t>
  </si>
  <si>
    <t>Customer Rqmnts Analysis (PSC, etc) Current ECD (CECD)</t>
  </si>
  <si>
    <t>Customer Rqmnts Analysis 
(PSC, etc) Actual Completion Date (ACD)</t>
  </si>
  <si>
    <t>EPA/ECE Complete Baseline ECD</t>
  </si>
  <si>
    <t>EPA/ECE Complete Current ECD (CECD)</t>
  </si>
  <si>
    <t>EPA/ECE Complete Actual Completion Date (ACD)</t>
  </si>
  <si>
    <t>TDR/ECE Complete Baseline ECD</t>
  </si>
  <si>
    <t>TDR/ECE Complete Current ECD (CECD)</t>
  </si>
  <si>
    <t>TDR/ECE Complete Actual Completion Date (ACD)</t>
  </si>
  <si>
    <t>BTS SOW Developed &amp; Approved Baseline ECD</t>
  </si>
  <si>
    <t>BTS SOW Developed &amp; Approved Current ECD (CECD)</t>
  </si>
  <si>
    <t>BTS SOW Developed &amp; Approved Actual Completion Date (ACD)</t>
  </si>
  <si>
    <t>RM Coverage Confirmed &amp; SubCon Complete Baseline ECD</t>
  </si>
  <si>
    <t>RM Coverage Confirmed &amp; SubCon Complete Current ECD (CECD)</t>
  </si>
  <si>
    <t>RM Coverage Confirmed &amp; SubCon Complete Actual Completion Date (ACD)</t>
  </si>
  <si>
    <t>Revised/ Release PSC/ Drawings Baseline ECD</t>
  </si>
  <si>
    <t>Revised/ Release PSC/ Drawings Current ECD (CECD)</t>
  </si>
  <si>
    <t>Revised/ Release
PSC/ Drawings Actual Completion Date (ACD)</t>
  </si>
  <si>
    <t>New Supplier Set Up Baseline ECD</t>
  </si>
  <si>
    <t>New Supplier Set Up Current ECD (CECD)</t>
  </si>
  <si>
    <t>New Supplier Set Up Actual Completion Date (ACD)</t>
  </si>
  <si>
    <t>Pre RFQ DATT Approved Baseline ECD</t>
  </si>
  <si>
    <t>Pre RFQ DATT Approved Current ECD (CECD)</t>
  </si>
  <si>
    <t>Pre RFQ DATT
Approved Actual Completion Date (ACD)</t>
  </si>
  <si>
    <t>Quote Received Baseline ECD</t>
  </si>
  <si>
    <t>Quote Received Current ECD (CECD)</t>
  </si>
  <si>
    <t>Quote Received Actual Completion Date (ACD)</t>
  </si>
  <si>
    <t>Down Select Suppliers &amp; PreAward DATT Approval Baseline ECD</t>
  </si>
  <si>
    <t>Down Select Suppliers &amp; PreAward DATT Approval Current ECD (CECD)</t>
  </si>
  <si>
    <t>Down Select Suppliers &amp; PreAward DATT Approval Actual Completion Date (ACD)</t>
  </si>
  <si>
    <t>eAuction Baseline ECD</t>
  </si>
  <si>
    <t>eAuction Current ECD (CECD)</t>
  </si>
  <si>
    <t>eAuction Actual Completion Date (ACD)</t>
  </si>
  <si>
    <t>Capability &amp; Capacity Assessment Complete Baseline ECD</t>
  </si>
  <si>
    <t>Capability &amp; Capacity Assessment Complete Current ECD (CECD)</t>
  </si>
  <si>
    <t>Capability &amp; Capacity Assessment Complete Actual Completion Date (ACD)</t>
  </si>
  <si>
    <t>ECE Update Complete Baseline ECD</t>
  </si>
  <si>
    <t>ECE Update Complete Current ECD (CECD)</t>
  </si>
  <si>
    <t>ECE Update Complete Actual Completion Date (ACD)</t>
  </si>
  <si>
    <t>Award Eval Complete Baseline ECD</t>
  </si>
  <si>
    <t>Award Eval Complete Current ECD (CECD)</t>
  </si>
  <si>
    <t>Award Eval Complete Actual Completion Date (ACD)</t>
  </si>
  <si>
    <t>Capital Approved Baseline ECD</t>
  </si>
  <si>
    <t>Capital Approved Current ECD (CECD)</t>
  </si>
  <si>
    <t>Capital Approved Actual Completion Date (ACD)</t>
  </si>
  <si>
    <t>TRB Approval Date Baseline ECD</t>
  </si>
  <si>
    <t>TRB Approval Date Current ECD (CECD)</t>
  </si>
  <si>
    <t>TRB Approval Date Actual Completion Date (ACD)</t>
  </si>
  <si>
    <t>Go to Supplier Signed Award Baseline ECD</t>
  </si>
  <si>
    <t>Go to Supplier Signed Award Current ECD (CECD)</t>
  </si>
  <si>
    <t>Go to Supplier Signed Award Actual Completion Date (ACD)</t>
  </si>
  <si>
    <t>Project Kickoff Baseline ECD</t>
  </si>
  <si>
    <t>Project Kickoff Current ECD (CECD)</t>
  </si>
  <si>
    <t>Project Kickoff Actual Completion Date (ACD)</t>
  </si>
  <si>
    <t>DREA Complete Baseline ECD</t>
  </si>
  <si>
    <t>DREA Complete Current ECD (CECD)</t>
  </si>
  <si>
    <t>DREA Complete Actual Completion Date (ACD)</t>
  </si>
  <si>
    <t>L1DR Complete Baseline ECD</t>
  </si>
  <si>
    <t>L1DR Complete Current ECD (CECD)</t>
  </si>
  <si>
    <t>L1DR Complete Actual Completion Date (ACD)</t>
  </si>
  <si>
    <t>ConDR Complete Baseline ECD</t>
  </si>
  <si>
    <t>ConDR Complete Current ECD (CECD)</t>
  </si>
  <si>
    <t>ConDR Complete Actual Completion Date (ACD)</t>
  </si>
  <si>
    <t>PDR Complete Baseline ECD</t>
  </si>
  <si>
    <t>PDR Complete Current ECD (CECD)</t>
  </si>
  <si>
    <t>PDR Complete Actual Completion Date (ACD)</t>
  </si>
  <si>
    <t>CDR Complete Baseline ECD</t>
  </si>
  <si>
    <t>CDR Complete Actual Completion Date (ACD)</t>
  </si>
  <si>
    <t>Internal HON Review (PTCD) Complete Baseline ECD</t>
  </si>
  <si>
    <t>Internal HON Review (PTCD) Complete Actual Completion Date (ACD)</t>
  </si>
  <si>
    <t>HON Approval of Supplier Drawings Baseline ECD</t>
  </si>
  <si>
    <t>HON Approval of Supplier Drawings Current ECD (CECD)</t>
  </si>
  <si>
    <t>HON Approval of Supplier Drawings Actual Completion Date (ACD)</t>
  </si>
  <si>
    <t>Approval of Qualification Test Plan (QTP) Baseline ECD</t>
  </si>
  <si>
    <t>Approval of Qualification Test Plan (QTP) Current ECD (CECD)</t>
  </si>
  <si>
    <t>Approval of Qualification Test Plan (QTP) Actual Completion Date (ACD)</t>
  </si>
  <si>
    <t>Add Supplier to SCS/ASL/AVL Baseline ECD</t>
  </si>
  <si>
    <t>Add Supplier to SCS/ASL/AVL Current ECD (CECD)</t>
  </si>
  <si>
    <t>Add Supplier to SCS/ASL/AVL Actual Completion Date (ACD)</t>
  </si>
  <si>
    <t>FAIR Order Placed Baseline ECD</t>
  </si>
  <si>
    <t>FAIR Order Placed Current ECD (CECD)</t>
  </si>
  <si>
    <t>FAIR Order Placed Actual Completion Date (ACD)</t>
  </si>
  <si>
    <t>FAIR Order Acknowledged Baseline ECD</t>
  </si>
  <si>
    <t>FAIR Order Acknowledged Current ECD (CECD)</t>
  </si>
  <si>
    <t>FAIR Order Acknowledged Actual Completion Date (ACD)</t>
  </si>
  <si>
    <t>Execution Baseline Status</t>
  </si>
  <si>
    <t>Material Received at Supplier Baseline ECD</t>
  </si>
  <si>
    <t>Material Received at Supplier Current ECD (CECD)</t>
  </si>
  <si>
    <t>Material Received at Supplier Actual Completion Date (ACD)</t>
  </si>
  <si>
    <t>Capital Tooling PO Placed Baseline ECD</t>
  </si>
  <si>
    <t>Capital Tooling PO Placed Current ECD (CECD)</t>
  </si>
  <si>
    <t>Capital Tooling PO Placed Actual Completion Date (ACD)</t>
  </si>
  <si>
    <t>Tooling Completed Baseline ECD</t>
  </si>
  <si>
    <t>Tooling Completed Current ECD (CECD)</t>
  </si>
  <si>
    <t>Tooling Completed Actual Completion Date (ACD)</t>
  </si>
  <si>
    <t>Supplier Trials &amp; Substantiation (Pre-Conditional FAIR) Baseline ECD</t>
  </si>
  <si>
    <t>Supplier Trials &amp; Substantiation (Pre-Conditional FAIR) Current ECD (CECD)</t>
  </si>
  <si>
    <t>Supplier Trials &amp; Substantiation
(Pre-Conditional FAIR) Actual Completion Date (ACD)</t>
  </si>
  <si>
    <t>Supplier FAIR Lot Build Complete Baseline ECD</t>
  </si>
  <si>
    <t>Supplier FAIR Lot Build Complete Current ECD (CECD)</t>
  </si>
  <si>
    <t>Supplier FAIR Lot Build Complete Actual Completion Date (ACD)</t>
  </si>
  <si>
    <t>Number of Cycles of Learning for Dimensional Pre-Qualification</t>
  </si>
  <si>
    <t>Dimensional Pre-Qualification Baseline ECD</t>
  </si>
  <si>
    <t>Dimensional Pre-Qualification Current ECD (CECD)</t>
  </si>
  <si>
    <t>Dimensional Pre-Qualification Actual Completion Date (ACD)</t>
  </si>
  <si>
    <t>Conditional FAIR Complete Baseline ECD</t>
  </si>
  <si>
    <t>Conditional FAIR Complete Current ECD (CECD)</t>
  </si>
  <si>
    <t>Conditional FAIR Complete Actual Completion Date (ACD)</t>
  </si>
  <si>
    <t>TRR Baseline ECD</t>
  </si>
  <si>
    <t>TRR Current ECD (CECD)</t>
  </si>
  <si>
    <t>TRR Actual Completion Date (ACD)</t>
  </si>
  <si>
    <t>Number of Cycles of Learning for Supplier Qualification (post-Conditional FAIR)</t>
  </si>
  <si>
    <t>Supplier Qualification (post-Conditional FAIR) Baseline ECD</t>
  </si>
  <si>
    <t>Supplier Qualification (post-Conditional FAIR) Current ECD (CECD)</t>
  </si>
  <si>
    <t>Supplier Qualification (post-Conditional FAIR) Actual Completion Date (ACD)</t>
  </si>
  <si>
    <t>Number of Cycles of Learning for Dimensional Qualification</t>
  </si>
  <si>
    <t>Dimensional Qualification Baseline ECD</t>
  </si>
  <si>
    <t>Dimensional Qualification Current ECD (CECD)</t>
  </si>
  <si>
    <t>Dimensional Qualification Actual Completion Date (ACD)</t>
  </si>
  <si>
    <t>Number of Cycles of Learning for HON Qualification</t>
  </si>
  <si>
    <t>HON Qualification Baseline ECD</t>
  </si>
  <si>
    <t>HON Qualification Current ECD (CECD)</t>
  </si>
  <si>
    <t>HON Qualification Actual Completion Date (ACD)</t>
  </si>
  <si>
    <t>Supplier &amp; HON STR/QTR Approved by HON Eng Baseline ECD</t>
  </si>
  <si>
    <t>Supplier &amp; HON STR/QTR Approved by HON Eng Current ECD (CECD)</t>
  </si>
  <si>
    <t>Supplier &amp; HON STR/QTR Approved by HON Eng Actual Completion Date (ACD)</t>
  </si>
  <si>
    <t>Supplier Signed Contract Baseline ECD</t>
  </si>
  <si>
    <t>Supplier Signed Contract Current ECD (CECD)</t>
  </si>
  <si>
    <t>Supplier Signed Contract Actual Completion Date (ACD)</t>
  </si>
  <si>
    <t>Production Readiness Review (PRR) Baseline ECD</t>
  </si>
  <si>
    <t>Production Readiness Review (PRR) Current ECD (CECD)</t>
  </si>
  <si>
    <t>Production Readiness Review (PRR) Actual Completion Date (ACD)</t>
  </si>
  <si>
    <t>External Approvals: FAA Approval (TSO/ETSO) Complete Baseline ECD</t>
  </si>
  <si>
    <t>External Approvals: FAA Approval (TSO/ETSO) Complete Current ECD (CECD)</t>
  </si>
  <si>
    <t>External Approvals: FAA Approval (TSO/ETSO) Complete Actual Completion Date (ACD)</t>
  </si>
  <si>
    <t>External Approvals: Customer Approval Complete Baseline ECD</t>
  </si>
  <si>
    <t>External Approvals: Customer Approval Complete Current ECD (CECD)</t>
  </si>
  <si>
    <t>External Approvals: Customer Approval Complete Actual Completion Date (ACD)</t>
  </si>
  <si>
    <t>External Approvals: DCMA/ AMCON Approval Baseline ECD</t>
  </si>
  <si>
    <t>External Approvals: DCMA/ AMCON Approval Current ECD (CECD)</t>
  </si>
  <si>
    <t>External Approvals: DCMA/ AMCON Approval Actual Completion Date (ACD)</t>
  </si>
  <si>
    <t>SS1 Elevation Baseline ECD</t>
  </si>
  <si>
    <t>SS1 Elevation Current ECD (CECD)</t>
  </si>
  <si>
    <t>SS1 Elevation Actual Completion Date (ACD)</t>
  </si>
  <si>
    <t>Final FAIR Baseline ECD</t>
  </si>
  <si>
    <t>Final FAIR Current ECD (CECD)</t>
  </si>
  <si>
    <t>Final FAIR Actual Completion Date (ACD)</t>
  </si>
  <si>
    <t>Update Next Higher Assembly Drawings Baseline ECD</t>
  </si>
  <si>
    <t>Update Next Higher Assembly Drawings Current ECD (CECD)</t>
  </si>
  <si>
    <t>Update Next Higher Assembly Drawings Actual Completion Date (ACD)</t>
  </si>
  <si>
    <t>Update Service Bulletin, Aftermarket Documents Baseline ECD</t>
  </si>
  <si>
    <t>Update Service Bulletin, Aftermarket Documents Current ECD (CECD)</t>
  </si>
  <si>
    <t>Update Service Bulletin, Aftermarket Documents Actual Completion Date (ACD)</t>
  </si>
  <si>
    <t>IMS Part Complete Date (PCD) Baseline ECD</t>
  </si>
  <si>
    <t>IMS Part Complete Date (PCD) Current ECD (CECD)</t>
  </si>
  <si>
    <t>IMS Part Complete Date (PCD) Actual Completion Date (ACD)</t>
  </si>
  <si>
    <t>Production Cutover Date Baseline ECD</t>
  </si>
  <si>
    <t>Production Cutover Date Current ECD (CECD)</t>
  </si>
  <si>
    <t>Production Cutover Date Actual Completion Date (ACD)</t>
  </si>
  <si>
    <t>Target Complete Date (TCD) Baseline ECD</t>
  </si>
  <si>
    <t>Target Complete Date (TCD) Current ECD (CECD)</t>
  </si>
  <si>
    <t>Target Complete Date (TCD) Actual Completion Date (ACD)</t>
  </si>
  <si>
    <t>Baseline Status (Do not Update)</t>
  </si>
  <si>
    <t>Project Length Baseline Forecast</t>
  </si>
  <si>
    <t>Project Length Current Forecast</t>
  </si>
  <si>
    <t>Project Length Actual</t>
  </si>
  <si>
    <t>Project Length Area</t>
  </si>
  <si>
    <t>Durations in WD</t>
  </si>
  <si>
    <t>Total Project</t>
  </si>
  <si>
    <t>Template for Calculation</t>
  </si>
  <si>
    <t>BTP FAIR Only Part Number</t>
  </si>
  <si>
    <t>Execution Only</t>
  </si>
  <si>
    <t>BTP + Qual Part Number</t>
  </si>
  <si>
    <t>BTS Part Number</t>
  </si>
  <si>
    <t>BTP + Casting</t>
  </si>
  <si>
    <t>BTP + Forging</t>
  </si>
  <si>
    <t xml:space="preserve">ALL TEAMS HAVE SAME TEMPLATE LOCKED HERE </t>
  </si>
  <si>
    <t>Metric Driver</t>
  </si>
  <si>
    <t>Metric Driver - L1 Milestone</t>
  </si>
  <si>
    <t>Metric Driver - L2 Milestone</t>
  </si>
  <si>
    <r>
      <t xml:space="preserve">To generate your SIMS, enter the </t>
    </r>
    <r>
      <rPr>
        <b/>
        <sz val="12"/>
        <color rgb="FFFF0000"/>
        <rFont val="Aptos Narrow"/>
        <family val="2"/>
        <scheme val="minor"/>
      </rPr>
      <t xml:space="preserve">Accolade IDs </t>
    </r>
    <r>
      <rPr>
        <b/>
        <sz val="12"/>
        <rFont val="Aptos Narrow"/>
        <family val="2"/>
        <scheme val="minor"/>
      </rPr>
      <t>for each project type starting on row#27</t>
    </r>
    <r>
      <rPr>
        <b/>
        <sz val="12"/>
        <color theme="1"/>
        <rFont val="Aptos Narrow"/>
        <family val="2"/>
        <scheme val="minor"/>
      </rPr>
      <t>. Then click on generate SIMS:</t>
    </r>
  </si>
  <si>
    <t>Project Length Data Points</t>
  </si>
  <si>
    <t>4088463-2</t>
  </si>
  <si>
    <t>Execution schedule has been re-baselined w/ FAIR PO Ack ACD. Validate your durations before publishing</t>
  </si>
  <si>
    <t>Execution Baseline Locked</t>
  </si>
  <si>
    <t>965-1704-001</t>
  </si>
  <si>
    <t>965-1705-001</t>
  </si>
  <si>
    <t>Task</t>
  </si>
  <si>
    <t>Days</t>
  </si>
  <si>
    <t>Date</t>
  </si>
  <si>
    <t>Start</t>
  </si>
  <si>
    <t>Task 1</t>
  </si>
  <si>
    <t>Task 2</t>
  </si>
  <si>
    <t>Task 3</t>
  </si>
  <si>
    <t>Task 4</t>
  </si>
  <si>
    <t>Task 5</t>
  </si>
  <si>
    <t>Task 6</t>
  </si>
  <si>
    <t>Task 7</t>
  </si>
  <si>
    <t>Task 8</t>
  </si>
  <si>
    <t>Task 9</t>
  </si>
  <si>
    <t>Task 10</t>
  </si>
  <si>
    <t>Task 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</si>
</sst>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Aptos Narrow"/>
      <family val="2"/>
      <scheme val="minor"/>
    </font>
    <font>
      <sz val="11"/>
      <color theme="1"/>
      <name val="Aptos Narrow"/>
      <family val="2"/>
      <scheme val="minor"/>
    </font>
    <font>
      <b/>
      <sz val="11"/>
      <color theme="1"/>
      <name val="Aptos Narrow"/>
      <family val="2"/>
      <scheme val="minor"/>
    </font>
    <font>
      <b/>
      <sz val="12"/>
      <color theme="1"/>
      <name val="Aptos Narrow"/>
      <family val="2"/>
      <scheme val="minor"/>
    </font>
    <font>
      <b/>
      <sz val="11"/>
      <color rgb="FF000000"/>
      <name val="Calibri"/>
      <family val="2"/>
    </font>
    <font>
      <b/>
      <sz val="10"/>
      <color rgb="FF000000"/>
      <name val="Calibri"/>
      <family val="2"/>
    </font>
    <font>
      <b/>
      <sz val="10"/>
      <color theme="0"/>
      <name val="Calibri"/>
      <family val="2"/>
    </font>
    <font>
      <b/>
      <sz val="10"/>
      <color theme="1"/>
      <name val="Calibri"/>
      <family val="2"/>
    </font>
    <font>
      <b/>
      <sz val="10"/>
      <name val="Calibri"/>
      <family val="2"/>
    </font>
    <font>
      <sz val="9"/>
      <color theme="1"/>
      <name val="Aptos Narrow"/>
      <family val="2"/>
      <scheme val="minor"/>
    </font>
    <font>
      <sz val="11"/>
      <color rgb="FF000000"/>
      <name val="Calibri"/>
      <family val="2"/>
    </font>
    <font>
      <b/>
      <sz val="11"/>
      <color theme="0"/>
      <name val="Aptos Narrow"/>
      <family val="2"/>
      <scheme val="minor"/>
    </font>
    <font>
      <sz val="11"/>
      <color theme="0"/>
      <name val="Aptos Narrow"/>
      <family val="2"/>
      <scheme val="minor"/>
    </font>
    <font>
      <sz val="9"/>
      <color theme="0"/>
      <name val="Aptos Narrow"/>
      <family val="2"/>
      <scheme val="minor"/>
    </font>
    <font>
      <b/>
      <sz val="11"/>
      <color theme="0"/>
      <name val="Calibri"/>
      <family val="2"/>
    </font>
    <font>
      <b/>
      <sz val="12"/>
      <color rgb="FF000000"/>
      <name val="Calibri"/>
      <family val="2"/>
    </font>
    <font>
      <b/>
      <sz val="11"/>
      <color theme="1" tint="0.249977111117893"/>
      <name val="Aptos Narrow"/>
      <family val="2"/>
      <scheme val="minor"/>
    </font>
    <font>
      <b/>
      <sz val="11"/>
      <color theme="1"/>
      <name val="Aptos Narrow"/>
      <family val="1"/>
      <charset val="2"/>
      <scheme val="minor"/>
    </font>
    <font>
      <b/>
      <sz val="11"/>
      <color theme="1"/>
      <name val="Wingdings 3"/>
      <family val="1"/>
      <charset val="2"/>
    </font>
    <font>
      <b/>
      <sz val="7.7"/>
      <color theme="1"/>
      <name val="Aptos Narrow"/>
      <family val="2"/>
    </font>
    <font>
      <b/>
      <sz val="11"/>
      <color theme="1"/>
      <name val="Calibri"/>
      <family val="2"/>
    </font>
    <font>
      <u/>
      <sz val="11"/>
      <color theme="10"/>
      <name val="Aptos Narrow"/>
      <family val="2"/>
      <scheme val="minor"/>
    </font>
    <font>
      <sz val="11"/>
      <color rgb="FF3F3F76"/>
      <name val="Aptos Narrow"/>
      <family val="2"/>
      <scheme val="minor"/>
    </font>
    <font>
      <sz val="8"/>
      <color theme="1"/>
      <name val="Aptos Narrow"/>
      <family val="2"/>
      <scheme val="minor"/>
    </font>
    <font>
      <b/>
      <sz val="10"/>
      <color rgb="FFFF0000"/>
      <name val="Aptos Narrow"/>
      <family val="2"/>
      <scheme val="minor"/>
    </font>
    <font>
      <b/>
      <sz val="10"/>
      <color theme="1"/>
      <name val="Aptos Narrow"/>
      <family val="2"/>
      <scheme val="minor"/>
    </font>
    <font>
      <b/>
      <sz val="14"/>
      <color rgb="FF3F3F76"/>
      <name val="Aptos Narrow"/>
      <family val="2"/>
      <scheme val="minor"/>
    </font>
    <font>
      <b/>
      <sz val="10"/>
      <color theme="2" tint="-0.499984740745262"/>
      <name val="Calibri"/>
      <family val="2"/>
    </font>
    <font>
      <b/>
      <sz val="10"/>
      <color theme="2" tint="-0.499984740745262"/>
      <name val="Aptos Narrow"/>
      <family val="2"/>
      <scheme val="minor"/>
    </font>
    <font>
      <sz val="10"/>
      <color theme="1"/>
      <name val="Aptos Narrow"/>
      <family val="2"/>
      <scheme val="minor"/>
    </font>
    <font>
      <b/>
      <sz val="10"/>
      <color rgb="FF92D050"/>
      <name val="Aptos Narrow"/>
      <family val="2"/>
      <scheme val="minor"/>
    </font>
    <font>
      <b/>
      <sz val="12"/>
      <color rgb="FFFF0000"/>
      <name val="Aptos Narrow"/>
      <family val="2"/>
      <scheme val="minor"/>
    </font>
    <font>
      <b/>
      <sz val="12"/>
      <name val="Aptos Narrow"/>
      <family val="2"/>
      <scheme val="minor"/>
    </font>
    <font>
      <sz val="9"/>
      <name val="Aptos Narrow"/>
      <family val="2"/>
      <scheme val="minor"/>
    </font>
  </fonts>
  <fills count="34">
    <fill>
      <patternFill patternType="none"/>
    </fill>
    <fill>
      <patternFill patternType="gray125"/>
    </fill>
    <fill>
      <patternFill patternType="solid">
        <fgColor theme="0"/>
        <bgColor indexed="64"/>
      </patternFill>
    </fill>
    <fill>
      <patternFill patternType="solid">
        <fgColor theme="7"/>
        <bgColor indexed="64"/>
      </patternFill>
    </fill>
    <fill>
      <patternFill patternType="solid">
        <fgColor rgb="FF00B0F0"/>
        <bgColor indexed="64"/>
      </patternFill>
    </fill>
    <fill>
      <patternFill patternType="solid">
        <fgColor rgb="FFFFFF00"/>
        <bgColor theme="4"/>
      </patternFill>
    </fill>
    <fill>
      <patternFill patternType="solid">
        <fgColor rgb="FFFFFF00"/>
        <bgColor indexed="64"/>
      </patternFill>
    </fill>
    <fill>
      <patternFill patternType="solid">
        <fgColor theme="0"/>
        <bgColor theme="4"/>
      </patternFill>
    </fill>
    <fill>
      <patternFill patternType="solid">
        <fgColor rgb="FF92D050"/>
        <bgColor indexed="64"/>
      </patternFill>
    </fill>
    <fill>
      <patternFill patternType="solid">
        <fgColor theme="3" tint="0.749992370372631"/>
        <bgColor indexed="64"/>
      </patternFill>
    </fill>
    <fill>
      <patternFill patternType="solid">
        <fgColor theme="5" tint="0.79998168889431442"/>
        <bgColor indexed="64"/>
      </patternFill>
    </fill>
    <fill>
      <patternFill patternType="solid">
        <fgColor theme="1"/>
        <bgColor indexed="64"/>
      </patternFill>
    </fill>
    <fill>
      <patternFill patternType="solid">
        <fgColor theme="2"/>
        <bgColor indexed="64"/>
      </patternFill>
    </fill>
    <fill>
      <patternFill patternType="solid">
        <fgColor rgb="FFC00000"/>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0" tint="-0.34998626667073579"/>
        <bgColor theme="4"/>
      </patternFill>
    </fill>
    <fill>
      <patternFill patternType="solid">
        <fgColor theme="0" tint="-0.34998626667073579"/>
        <bgColor indexed="64"/>
      </patternFill>
    </fill>
    <fill>
      <patternFill patternType="solid">
        <fgColor theme="1" tint="0.249977111117893"/>
        <bgColor theme="4"/>
      </patternFill>
    </fill>
    <fill>
      <patternFill patternType="solid">
        <fgColor theme="0" tint="-4.9989318521683403E-2"/>
        <bgColor indexed="64"/>
      </patternFill>
    </fill>
    <fill>
      <patternFill patternType="solid">
        <fgColor rgb="FFFFC000"/>
        <bgColor indexed="64"/>
      </patternFill>
    </fill>
    <fill>
      <patternFill patternType="solid">
        <fgColor rgb="FFFFFFE5"/>
        <bgColor indexed="64"/>
      </patternFill>
    </fill>
    <fill>
      <patternFill patternType="solid">
        <fgColor rgb="FFF9D2BF"/>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3" tint="0.249977111117893"/>
        <bgColor indexed="64"/>
      </patternFill>
    </fill>
    <fill>
      <patternFill patternType="solid">
        <fgColor theme="3" tint="9.9978637043366805E-2"/>
        <bgColor indexed="64"/>
      </patternFill>
    </fill>
    <fill>
      <patternFill patternType="solid">
        <fgColor rgb="FFFF9393"/>
        <bgColor indexed="64"/>
      </patternFill>
    </fill>
    <fill>
      <patternFill patternType="solid">
        <fgColor rgb="FFFFCC99"/>
      </patternFill>
    </fill>
    <fill>
      <patternFill patternType="solid">
        <fgColor rgb="FF9D1D24"/>
        <bgColor indexed="64"/>
      </patternFill>
    </fill>
    <fill>
      <patternFill patternType="solid">
        <fgColor theme="4" tint="-0.249977111117893"/>
        <bgColor indexed="64"/>
      </patternFill>
    </fill>
    <fill>
      <patternFill patternType="solid">
        <fgColor rgb="FFFFC000"/>
        <bgColor theme="4"/>
      </patternFill>
    </fill>
    <fill>
      <patternFill patternType="solid">
        <fgColor theme="4" tint="-0.249977111117893"/>
        <bgColor theme="4"/>
      </patternFill>
    </fill>
    <fill>
      <patternFill patternType="solid">
        <fgColor theme="0" tint="-0.14999847407452621"/>
        <bgColor theme="0" tint="-0.14999847407452621"/>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medium">
        <color indexed="64"/>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1"/>
      </left>
      <right style="thin">
        <color theme="0"/>
      </right>
      <top style="thin">
        <color theme="1"/>
      </top>
      <bottom style="thin">
        <color theme="1"/>
      </bottom>
      <diagonal/>
    </border>
    <border>
      <left style="thin">
        <color theme="0"/>
      </left>
      <right style="thin">
        <color theme="0"/>
      </right>
      <top style="thin">
        <color theme="1"/>
      </top>
      <bottom style="thin">
        <color theme="1"/>
      </bottom>
      <diagonal/>
    </border>
    <border>
      <left style="thin">
        <color theme="0"/>
      </left>
      <right style="thin">
        <color theme="1"/>
      </right>
      <top style="thin">
        <color theme="1"/>
      </top>
      <bottom style="thin">
        <color theme="1"/>
      </bottom>
      <diagonal/>
    </border>
  </borders>
  <cellStyleXfs count="5">
    <xf numFmtId="0" fontId="0" fillId="0" borderId="0"/>
    <xf numFmtId="9" fontId="1" fillId="0" borderId="0" applyFont="0" applyFill="0" applyBorder="0" applyAlignment="0" applyProtection="0"/>
    <xf numFmtId="0" fontId="10" fillId="0" borderId="0" applyBorder="0"/>
    <xf numFmtId="0" fontId="21" fillId="0" borderId="0" applyNumberFormat="0" applyFill="0" applyBorder="0" applyAlignment="0" applyProtection="0"/>
    <xf numFmtId="0" fontId="22" fillId="28" borderId="16" applyNumberFormat="0" applyAlignment="0" applyProtection="0"/>
  </cellStyleXfs>
  <cellXfs count="205">
    <xf numFmtId="0" fontId="0" fillId="0" borderId="0" xfId="0"/>
    <xf numFmtId="0" fontId="0" fillId="2" borderId="0" xfId="0" applyFill="1"/>
    <xf numFmtId="0" fontId="4" fillId="2" borderId="0" xfId="0" applyFont="1" applyFill="1" applyAlignment="1">
      <alignment horizontal="center"/>
    </xf>
    <xf numFmtId="0" fontId="0" fillId="0" borderId="0" xfId="0" applyAlignment="1">
      <alignment horizontal="center" vertical="center"/>
    </xf>
    <xf numFmtId="0" fontId="7" fillId="5" borderId="1" xfId="0" applyFont="1" applyFill="1" applyBorder="1" applyAlignment="1">
      <alignment horizontal="center" vertical="center" wrapText="1"/>
    </xf>
    <xf numFmtId="0" fontId="8" fillId="6" borderId="1" xfId="0" applyFont="1" applyFill="1" applyBorder="1" applyAlignment="1">
      <alignment horizontal="center" vertical="center"/>
    </xf>
    <xf numFmtId="9" fontId="0" fillId="0" borderId="0" xfId="1" applyFont="1"/>
    <xf numFmtId="0" fontId="10" fillId="0" borderId="0" xfId="2"/>
    <xf numFmtId="0" fontId="10" fillId="3" borderId="0" xfId="2" applyFill="1"/>
    <xf numFmtId="14" fontId="0" fillId="0" borderId="0" xfId="0" applyNumberFormat="1"/>
    <xf numFmtId="14" fontId="5" fillId="0" borderId="1" xfId="0" applyNumberFormat="1" applyFont="1" applyBorder="1" applyAlignment="1">
      <alignment horizontal="center" vertical="center"/>
    </xf>
    <xf numFmtId="14" fontId="8" fillId="0" borderId="1" xfId="0" applyNumberFormat="1" applyFont="1" applyBorder="1" applyAlignment="1">
      <alignment horizontal="center" vertical="center"/>
    </xf>
    <xf numFmtId="14" fontId="8" fillId="0" borderId="3" xfId="0" applyNumberFormat="1" applyFont="1" applyBorder="1" applyAlignment="1">
      <alignment horizontal="center" vertical="center"/>
    </xf>
    <xf numFmtId="14" fontId="5" fillId="10" borderId="1" xfId="0" applyNumberFormat="1" applyFont="1" applyFill="1" applyBorder="1" applyAlignment="1">
      <alignment horizontal="center" vertical="center"/>
    </xf>
    <xf numFmtId="0" fontId="4" fillId="12" borderId="0" xfId="2" applyFont="1" applyFill="1" applyAlignment="1">
      <alignment horizontal="center"/>
    </xf>
    <xf numFmtId="0" fontId="4" fillId="12" borderId="0" xfId="2" applyFont="1" applyFill="1" applyAlignment="1">
      <alignment horizontal="center" wrapText="1"/>
    </xf>
    <xf numFmtId="0" fontId="0" fillId="0" borderId="0" xfId="0" applyAlignment="1">
      <alignment horizontal="left" vertical="top"/>
    </xf>
    <xf numFmtId="0" fontId="0" fillId="2" borderId="0" xfId="0" applyFill="1" applyAlignment="1">
      <alignment vertical="center"/>
    </xf>
    <xf numFmtId="0" fontId="3" fillId="2" borderId="0" xfId="0" applyFont="1" applyFill="1" applyAlignment="1">
      <alignment vertical="center"/>
    </xf>
    <xf numFmtId="0" fontId="2" fillId="2" borderId="0" xfId="0" applyFont="1" applyFill="1"/>
    <xf numFmtId="0" fontId="2" fillId="2" borderId="0" xfId="0" applyFont="1" applyFill="1" applyAlignment="1">
      <alignment horizontal="right"/>
    </xf>
    <xf numFmtId="0" fontId="0" fillId="2" borderId="0" xfId="0" applyFill="1" applyAlignment="1">
      <alignment horizontal="left"/>
    </xf>
    <xf numFmtId="0" fontId="2" fillId="2" borderId="0" xfId="0" applyFont="1" applyFill="1" applyAlignment="1">
      <alignment horizontal="left"/>
    </xf>
    <xf numFmtId="0" fontId="0" fillId="0" borderId="1" xfId="0" applyBorder="1"/>
    <xf numFmtId="0" fontId="0" fillId="0" borderId="2" xfId="0" applyBorder="1"/>
    <xf numFmtId="0" fontId="2" fillId="0" borderId="1" xfId="0" applyFont="1" applyBorder="1"/>
    <xf numFmtId="0" fontId="2" fillId="0" borderId="1" xfId="0" applyFont="1" applyBorder="1" applyAlignment="1">
      <alignment vertical="center"/>
    </xf>
    <xf numFmtId="0" fontId="7" fillId="16" borderId="1" xfId="0" applyFont="1" applyFill="1" applyBorder="1" applyAlignment="1">
      <alignment horizontal="center" vertical="center" wrapText="1"/>
    </xf>
    <xf numFmtId="14" fontId="5" fillId="17" borderId="1" xfId="0" applyNumberFormat="1" applyFont="1" applyFill="1" applyBorder="1" applyAlignment="1">
      <alignment horizontal="center" vertical="center"/>
    </xf>
    <xf numFmtId="9" fontId="5" fillId="17" borderId="1" xfId="1" applyFont="1" applyFill="1" applyBorder="1" applyAlignment="1">
      <alignment horizontal="center" vertical="center"/>
    </xf>
    <xf numFmtId="0" fontId="9" fillId="0" borderId="0" xfId="0" applyFont="1" applyAlignment="1">
      <alignment horizontal="center" vertical="center"/>
    </xf>
    <xf numFmtId="0" fontId="8" fillId="17" borderId="1" xfId="0" applyFont="1" applyFill="1" applyBorder="1" applyAlignment="1">
      <alignment horizontal="center" vertical="center"/>
    </xf>
    <xf numFmtId="0" fontId="14" fillId="14" borderId="0" xfId="0" applyFont="1" applyFill="1"/>
    <xf numFmtId="0" fontId="6" fillId="18" borderId="1" xfId="0" applyFont="1" applyFill="1" applyBorder="1" applyAlignment="1">
      <alignment horizontal="center" vertical="center" wrapText="1"/>
    </xf>
    <xf numFmtId="0" fontId="2" fillId="15" borderId="1" xfId="0" applyFont="1" applyFill="1" applyBorder="1" applyAlignment="1">
      <alignment horizontal="center" vertical="center" wrapText="1"/>
    </xf>
    <xf numFmtId="14" fontId="6" fillId="18" borderId="1" xfId="0" applyNumberFormat="1" applyFont="1" applyFill="1" applyBorder="1" applyAlignment="1">
      <alignment horizontal="center" vertical="center" wrapText="1"/>
    </xf>
    <xf numFmtId="0" fontId="4" fillId="0" borderId="0" xfId="0" applyFont="1" applyAlignment="1">
      <alignment horizontal="center"/>
    </xf>
    <xf numFmtId="0" fontId="17" fillId="20" borderId="0" xfId="0" applyFont="1" applyFill="1" applyAlignment="1">
      <alignment horizontal="center" vertical="center" wrapText="1"/>
    </xf>
    <xf numFmtId="0" fontId="20" fillId="20" borderId="0" xfId="0" applyFont="1" applyFill="1"/>
    <xf numFmtId="0" fontId="2" fillId="2" borderId="0" xfId="0" applyFont="1" applyFill="1" applyAlignment="1">
      <alignment horizontal="left" vertical="top"/>
    </xf>
    <xf numFmtId="0" fontId="0" fillId="2" borderId="14" xfId="0" applyFill="1" applyBorder="1"/>
    <xf numFmtId="0" fontId="4" fillId="2" borderId="14" xfId="0" applyFont="1" applyFill="1" applyBorder="1" applyAlignment="1">
      <alignment horizontal="center"/>
    </xf>
    <xf numFmtId="14" fontId="5" fillId="0" borderId="3" xfId="0" applyNumberFormat="1" applyFont="1" applyBorder="1" applyAlignment="1">
      <alignment horizontal="center" vertical="center"/>
    </xf>
    <xf numFmtId="0" fontId="12" fillId="0" borderId="17" xfId="0" applyFont="1" applyBorder="1"/>
    <xf numFmtId="0" fontId="12" fillId="0" borderId="5" xfId="0" applyFont="1" applyBorder="1"/>
    <xf numFmtId="14" fontId="8" fillId="17" borderId="1" xfId="0" applyNumberFormat="1" applyFont="1" applyFill="1" applyBorder="1" applyAlignment="1">
      <alignment horizontal="center" vertical="center"/>
    </xf>
    <xf numFmtId="14" fontId="7" fillId="16" borderId="1" xfId="0" applyNumberFormat="1" applyFont="1" applyFill="1" applyBorder="1" applyAlignment="1">
      <alignment horizontal="center" vertical="center" wrapText="1"/>
    </xf>
    <xf numFmtId="14" fontId="5" fillId="17" borderId="1" xfId="1" applyNumberFormat="1" applyFont="1" applyFill="1" applyBorder="1" applyAlignment="1">
      <alignment horizontal="center" vertical="center"/>
    </xf>
    <xf numFmtId="0" fontId="16" fillId="0" borderId="0" xfId="0" applyFont="1" applyAlignment="1">
      <alignment horizontal="left" vertical="top"/>
    </xf>
    <xf numFmtId="0" fontId="23" fillId="0" borderId="15" xfId="0" applyFont="1" applyBorder="1" applyAlignment="1">
      <alignment vertical="top" wrapText="1"/>
    </xf>
    <xf numFmtId="0" fontId="4" fillId="23" borderId="0" xfId="0" applyFont="1" applyFill="1" applyAlignment="1">
      <alignment horizontal="center"/>
    </xf>
    <xf numFmtId="14" fontId="5" fillId="8" borderId="1" xfId="0" applyNumberFormat="1" applyFont="1" applyFill="1" applyBorder="1" applyAlignment="1">
      <alignment horizontal="center" vertical="center"/>
    </xf>
    <xf numFmtId="0" fontId="11" fillId="13" borderId="0" xfId="0" applyFont="1" applyFill="1" applyAlignment="1">
      <alignment horizontal="center" vertical="center"/>
    </xf>
    <xf numFmtId="0" fontId="2" fillId="20" borderId="1" xfId="0" applyFont="1" applyFill="1" applyBorder="1" applyAlignment="1">
      <alignment horizontal="center" vertical="center" wrapText="1"/>
    </xf>
    <xf numFmtId="1" fontId="7" fillId="7" borderId="1" xfId="0" applyNumberFormat="1" applyFont="1" applyFill="1" applyBorder="1" applyAlignment="1">
      <alignment horizontal="center" vertical="center" wrapText="1"/>
    </xf>
    <xf numFmtId="0" fontId="25" fillId="0" borderId="1" xfId="0" applyFont="1" applyBorder="1"/>
    <xf numFmtId="14" fontId="5" fillId="22" borderId="1" xfId="0" applyNumberFormat="1" applyFont="1" applyFill="1" applyBorder="1" applyAlignment="1">
      <alignment horizontal="center" vertical="center"/>
    </xf>
    <xf numFmtId="1" fontId="27" fillId="2" borderId="1" xfId="0" applyNumberFormat="1" applyFont="1" applyFill="1" applyBorder="1" applyAlignment="1">
      <alignment horizontal="center"/>
    </xf>
    <xf numFmtId="0" fontId="28" fillId="0" borderId="1" xfId="0" applyFont="1" applyBorder="1"/>
    <xf numFmtId="14" fontId="5" fillId="22" borderId="3" xfId="0" applyNumberFormat="1" applyFont="1" applyFill="1" applyBorder="1" applyAlignment="1">
      <alignment horizontal="center" vertical="center"/>
    </xf>
    <xf numFmtId="14" fontId="5" fillId="17" borderId="3" xfId="0" applyNumberFormat="1" applyFont="1" applyFill="1" applyBorder="1" applyAlignment="1">
      <alignment horizontal="center" vertical="center"/>
    </xf>
    <xf numFmtId="1" fontId="5" fillId="17" borderId="1" xfId="0" applyNumberFormat="1" applyFont="1" applyFill="1" applyBorder="1" applyAlignment="1">
      <alignment horizontal="center" vertical="center"/>
    </xf>
    <xf numFmtId="0" fontId="10" fillId="0" borderId="0" xfId="2" applyAlignment="1">
      <alignment horizontal="left"/>
    </xf>
    <xf numFmtId="0" fontId="4" fillId="0" borderId="0" xfId="2" applyFont="1" applyAlignment="1">
      <alignment horizontal="center"/>
    </xf>
    <xf numFmtId="0" fontId="20" fillId="0" borderId="0" xfId="2" applyFont="1" applyAlignment="1">
      <alignment horizontal="center"/>
    </xf>
    <xf numFmtId="14" fontId="0" fillId="22" borderId="1" xfId="0" applyNumberFormat="1" applyFill="1" applyBorder="1"/>
    <xf numFmtId="0" fontId="2" fillId="20" borderId="1" xfId="0" applyFont="1" applyFill="1" applyBorder="1" applyAlignment="1">
      <alignment vertical="center"/>
    </xf>
    <xf numFmtId="0" fontId="0" fillId="0" borderId="1" xfId="0" applyBorder="1" applyAlignment="1">
      <alignment wrapText="1"/>
    </xf>
    <xf numFmtId="0" fontId="11" fillId="13" borderId="1" xfId="0" applyFont="1" applyFill="1" applyBorder="1" applyAlignment="1">
      <alignment vertical="center"/>
    </xf>
    <xf numFmtId="0" fontId="11" fillId="29" borderId="1" xfId="0" applyFont="1" applyFill="1" applyBorder="1" applyAlignment="1">
      <alignment vertical="center"/>
    </xf>
    <xf numFmtId="0" fontId="6" fillId="30" borderId="1" xfId="0" applyFont="1" applyFill="1" applyBorder="1" applyAlignment="1">
      <alignment vertical="center" wrapText="1"/>
    </xf>
    <xf numFmtId="0" fontId="29" fillId="0" borderId="0" xfId="0" quotePrefix="1" applyFont="1" applyAlignment="1">
      <alignment horizontal="left" vertical="top" wrapText="1"/>
    </xf>
    <xf numFmtId="0" fontId="25" fillId="0" borderId="0" xfId="0" applyFont="1" applyAlignment="1">
      <alignment horizontal="left" vertical="top"/>
    </xf>
    <xf numFmtId="0" fontId="25" fillId="0" borderId="0" xfId="0" quotePrefix="1" applyFont="1" applyAlignment="1">
      <alignment horizontal="left" vertical="top" wrapText="1"/>
    </xf>
    <xf numFmtId="0" fontId="29" fillId="0" borderId="0" xfId="0" quotePrefix="1" applyFont="1" applyAlignment="1">
      <alignment horizontal="left" vertical="top"/>
    </xf>
    <xf numFmtId="14" fontId="6" fillId="13" borderId="1" xfId="0" applyNumberFormat="1" applyFont="1" applyFill="1" applyBorder="1" applyAlignment="1">
      <alignment horizontal="center" vertical="center" wrapText="1"/>
    </xf>
    <xf numFmtId="0" fontId="9" fillId="20" borderId="10" xfId="0" applyFont="1" applyFill="1" applyBorder="1" applyAlignment="1">
      <alignment horizontal="center" vertical="center"/>
    </xf>
    <xf numFmtId="0" fontId="5" fillId="0" borderId="1" xfId="0" applyFont="1" applyBorder="1" applyAlignment="1">
      <alignment horizontal="center" vertical="center"/>
    </xf>
    <xf numFmtId="0" fontId="7" fillId="31" borderId="1" xfId="0" applyFont="1" applyFill="1" applyBorder="1" applyAlignment="1">
      <alignment horizontal="center" vertical="center" wrapText="1"/>
    </xf>
    <xf numFmtId="0" fontId="12" fillId="0" borderId="0" xfId="0" applyFont="1" applyAlignment="1">
      <alignment horizontal="center"/>
    </xf>
    <xf numFmtId="0" fontId="3" fillId="2" borderId="0" xfId="0" applyFont="1" applyFill="1" applyAlignment="1">
      <alignment horizontal="right" vertical="center"/>
    </xf>
    <xf numFmtId="0" fontId="2" fillId="0" borderId="14" xfId="0" applyFont="1" applyBorder="1" applyAlignment="1">
      <alignment horizontal="right" vertical="top" wrapText="1"/>
    </xf>
    <xf numFmtId="0" fontId="2" fillId="12" borderId="1" xfId="0" applyFont="1" applyFill="1" applyBorder="1"/>
    <xf numFmtId="0" fontId="2" fillId="0" borderId="0" xfId="0" applyFont="1" applyAlignment="1">
      <alignment horizontal="right"/>
    </xf>
    <xf numFmtId="0" fontId="23" fillId="0" borderId="0" xfId="0" applyFont="1" applyAlignment="1">
      <alignment vertical="top" wrapText="1"/>
    </xf>
    <xf numFmtId="0" fontId="2" fillId="0" borderId="18" xfId="0" applyFont="1" applyBorder="1"/>
    <xf numFmtId="0" fontId="24" fillId="0" borderId="0" xfId="0" applyFont="1" applyAlignment="1">
      <alignment vertical="center" wrapText="1"/>
    </xf>
    <xf numFmtId="0" fontId="25" fillId="0" borderId="0" xfId="0" applyFont="1" applyAlignment="1">
      <alignment horizontal="center" wrapText="1"/>
    </xf>
    <xf numFmtId="0" fontId="26" fillId="0" borderId="0" xfId="4" applyFont="1" applyFill="1" applyBorder="1" applyAlignment="1">
      <alignment horizontal="center" vertical="center"/>
    </xf>
    <xf numFmtId="0" fontId="6" fillId="32" borderId="1" xfId="0" applyFont="1" applyFill="1" applyBorder="1" applyAlignment="1">
      <alignment horizontal="center" vertical="center" wrapText="1"/>
    </xf>
    <xf numFmtId="14" fontId="7" fillId="16" borderId="3" xfId="0" applyNumberFormat="1" applyFont="1" applyFill="1" applyBorder="1" applyAlignment="1">
      <alignment horizontal="center" vertical="center" wrapText="1"/>
    </xf>
    <xf numFmtId="0" fontId="24" fillId="0" borderId="0" xfId="0" applyFont="1" applyAlignment="1">
      <alignment horizontal="right" vertical="center" wrapText="1"/>
    </xf>
    <xf numFmtId="0" fontId="0" fillId="30" borderId="1" xfId="0" applyFill="1" applyBorder="1"/>
    <xf numFmtId="0" fontId="21" fillId="0" borderId="0" xfId="3" applyFill="1" applyAlignment="1">
      <alignment horizontal="left" vertical="top"/>
    </xf>
    <xf numFmtId="14" fontId="0" fillId="2" borderId="0" xfId="0" applyNumberFormat="1" applyFill="1" applyAlignment="1">
      <alignment vertical="center"/>
    </xf>
    <xf numFmtId="14" fontId="0" fillId="0" borderId="2" xfId="0" applyNumberFormat="1" applyBorder="1"/>
    <xf numFmtId="0" fontId="4" fillId="21" borderId="0" xfId="0" applyFont="1" applyFill="1" applyAlignment="1">
      <alignment horizontal="center" wrapText="1"/>
    </xf>
    <xf numFmtId="0" fontId="2" fillId="0" borderId="0" xfId="0" applyFont="1"/>
    <xf numFmtId="0" fontId="14" fillId="13" borderId="0" xfId="0" applyFont="1" applyFill="1"/>
    <xf numFmtId="0" fontId="11" fillId="11" borderId="20" xfId="0" applyFont="1" applyFill="1" applyBorder="1" applyAlignment="1">
      <alignment horizontal="center" wrapText="1"/>
    </xf>
    <xf numFmtId="0" fontId="11" fillId="11" borderId="21" xfId="0" applyFont="1" applyFill="1" applyBorder="1" applyAlignment="1">
      <alignment horizontal="center" wrapText="1"/>
    </xf>
    <xf numFmtId="0" fontId="11" fillId="11" borderId="22" xfId="0" applyFont="1" applyFill="1" applyBorder="1" applyAlignment="1">
      <alignment horizontal="center" wrapText="1"/>
    </xf>
    <xf numFmtId="0" fontId="22" fillId="28" borderId="16" xfId="4"/>
    <xf numFmtId="1" fontId="22" fillId="28" borderId="16" xfId="4" applyNumberFormat="1"/>
    <xf numFmtId="1" fontId="0" fillId="0" borderId="0" xfId="0" applyNumberFormat="1"/>
    <xf numFmtId="0" fontId="14" fillId="13" borderId="0" xfId="0" applyFont="1" applyFill="1" applyAlignment="1">
      <alignment horizontal="left"/>
    </xf>
    <xf numFmtId="14" fontId="6" fillId="26" borderId="0" xfId="0" applyNumberFormat="1" applyFont="1" applyFill="1" applyAlignment="1">
      <alignment horizontal="left" vertical="center"/>
    </xf>
    <xf numFmtId="14" fontId="7" fillId="15" borderId="6" xfId="0" applyNumberFormat="1" applyFont="1" applyFill="1" applyBorder="1" applyAlignment="1">
      <alignment horizontal="left" vertical="center"/>
    </xf>
    <xf numFmtId="14" fontId="7" fillId="15" borderId="8" xfId="0" applyNumberFormat="1" applyFont="1" applyFill="1" applyBorder="1" applyAlignment="1">
      <alignment horizontal="left" vertical="center"/>
    </xf>
    <xf numFmtId="0" fontId="7" fillId="16" borderId="1" xfId="0" applyFont="1" applyFill="1" applyBorder="1" applyAlignment="1">
      <alignment horizontal="left" vertical="center" wrapText="1"/>
    </xf>
    <xf numFmtId="0" fontId="5" fillId="0" borderId="1" xfId="0" applyFont="1" applyBorder="1" applyAlignment="1">
      <alignment horizontal="left" vertical="center"/>
    </xf>
    <xf numFmtId="0" fontId="12" fillId="0" borderId="0" xfId="0" applyFont="1" applyAlignment="1">
      <alignment horizontal="left"/>
    </xf>
    <xf numFmtId="0" fontId="0" fillId="0" borderId="0" xfId="0" applyAlignment="1">
      <alignment horizontal="left"/>
    </xf>
    <xf numFmtId="0" fontId="9" fillId="33" borderId="1" xfId="0" applyFont="1" applyFill="1" applyBorder="1" applyAlignment="1">
      <alignment horizontal="center" vertical="center"/>
    </xf>
    <xf numFmtId="0" fontId="33" fillId="33" borderId="1" xfId="0" applyFont="1" applyFill="1" applyBorder="1" applyAlignment="1">
      <alignment horizontal="center" vertical="center"/>
    </xf>
    <xf numFmtId="0" fontId="3" fillId="2" borderId="0" xfId="0" applyFont="1" applyFill="1" applyAlignment="1">
      <alignment horizontal="right" vertical="center"/>
    </xf>
    <xf numFmtId="0" fontId="16" fillId="0" borderId="0" xfId="0" applyFont="1" applyAlignment="1">
      <alignment horizontal="left" vertical="top" wrapText="1"/>
    </xf>
    <xf numFmtId="0" fontId="16" fillId="0" borderId="0" xfId="0" applyFont="1" applyAlignment="1">
      <alignment horizontal="left" vertical="top"/>
    </xf>
    <xf numFmtId="0" fontId="4" fillId="21" borderId="0" xfId="0" applyFont="1" applyFill="1" applyAlignment="1">
      <alignment horizontal="center" wrapText="1"/>
    </xf>
    <xf numFmtId="0" fontId="4" fillId="10" borderId="0" xfId="0" applyFont="1" applyFill="1" applyAlignment="1">
      <alignment horizontal="center"/>
    </xf>
    <xf numFmtId="0" fontId="4" fillId="22" borderId="0" xfId="0" applyFont="1" applyFill="1" applyAlignment="1">
      <alignment horizontal="center"/>
    </xf>
    <xf numFmtId="0" fontId="4" fillId="23" borderId="0" xfId="0" applyFont="1" applyFill="1" applyAlignment="1">
      <alignment horizontal="center"/>
    </xf>
    <xf numFmtId="0" fontId="20" fillId="27" borderId="0" xfId="0" applyFont="1" applyFill="1" applyAlignment="1">
      <alignment horizontal="center"/>
    </xf>
    <xf numFmtId="0" fontId="5" fillId="24" borderId="0" xfId="0" applyFont="1" applyFill="1" applyAlignment="1">
      <alignment horizontal="center" vertical="center"/>
    </xf>
    <xf numFmtId="0" fontId="5" fillId="9" borderId="9" xfId="0" applyFont="1" applyFill="1" applyBorder="1" applyAlignment="1">
      <alignment horizontal="center" vertical="center"/>
    </xf>
    <xf numFmtId="0" fontId="6" fillId="25" borderId="9" xfId="0" applyFont="1" applyFill="1" applyBorder="1" applyAlignment="1">
      <alignment horizontal="center" vertical="center"/>
    </xf>
    <xf numFmtId="14" fontId="6" fillId="26" borderId="9" xfId="0" applyNumberFormat="1" applyFont="1" applyFill="1" applyBorder="1" applyAlignment="1">
      <alignment horizontal="center" vertical="center"/>
    </xf>
    <xf numFmtId="0" fontId="15" fillId="19" borderId="4" xfId="0" applyFont="1" applyFill="1" applyBorder="1" applyAlignment="1">
      <alignment horizontal="center" vertical="center"/>
    </xf>
    <xf numFmtId="0" fontId="15" fillId="19" borderId="5" xfId="0" applyFont="1" applyFill="1" applyBorder="1" applyAlignment="1">
      <alignment horizontal="center" vertical="center"/>
    </xf>
    <xf numFmtId="0" fontId="15" fillId="19" borderId="7" xfId="0" applyFont="1" applyFill="1" applyBorder="1" applyAlignment="1">
      <alignment horizontal="center" vertical="center"/>
    </xf>
    <xf numFmtId="0" fontId="15" fillId="19" borderId="9" xfId="0" applyFont="1" applyFill="1" applyBorder="1" applyAlignment="1">
      <alignment horizontal="center" vertical="center"/>
    </xf>
    <xf numFmtId="0" fontId="5" fillId="10" borderId="4" xfId="0" applyFont="1" applyFill="1" applyBorder="1" applyAlignment="1">
      <alignment horizontal="center" vertical="center"/>
    </xf>
    <xf numFmtId="0" fontId="5" fillId="10" borderId="5" xfId="0" applyFont="1" applyFill="1" applyBorder="1" applyAlignment="1">
      <alignment horizontal="center" vertical="center"/>
    </xf>
    <xf numFmtId="0" fontId="5" fillId="10" borderId="6" xfId="0" applyFont="1" applyFill="1" applyBorder="1" applyAlignment="1">
      <alignment horizontal="center" vertical="center"/>
    </xf>
    <xf numFmtId="0" fontId="5" fillId="10" borderId="7" xfId="0" applyFont="1" applyFill="1" applyBorder="1" applyAlignment="1">
      <alignment horizontal="center" vertical="center"/>
    </xf>
    <xf numFmtId="0" fontId="5" fillId="10" borderId="9" xfId="0" applyFont="1" applyFill="1" applyBorder="1" applyAlignment="1">
      <alignment horizontal="center" vertical="center"/>
    </xf>
    <xf numFmtId="0" fontId="5" fillId="10" borderId="8" xfId="0" applyFont="1" applyFill="1" applyBorder="1" applyAlignment="1">
      <alignment horizontal="center" vertical="center"/>
    </xf>
    <xf numFmtId="14" fontId="7" fillId="15" borderId="4" xfId="0" applyNumberFormat="1" applyFont="1" applyFill="1" applyBorder="1" applyAlignment="1">
      <alignment horizontal="center" vertical="center"/>
    </xf>
    <xf numFmtId="14" fontId="7" fillId="15" borderId="5" xfId="0" applyNumberFormat="1" applyFont="1" applyFill="1" applyBorder="1" applyAlignment="1">
      <alignment horizontal="center" vertical="center"/>
    </xf>
    <xf numFmtId="14" fontId="7" fillId="15" borderId="6" xfId="0" applyNumberFormat="1" applyFont="1" applyFill="1" applyBorder="1" applyAlignment="1">
      <alignment horizontal="center" vertical="center"/>
    </xf>
    <xf numFmtId="14" fontId="7" fillId="15" borderId="7" xfId="0" applyNumberFormat="1" applyFont="1" applyFill="1" applyBorder="1" applyAlignment="1">
      <alignment horizontal="center" vertical="center"/>
    </xf>
    <xf numFmtId="14" fontId="7" fillId="15" borderId="9" xfId="0" applyNumberFormat="1" applyFont="1" applyFill="1" applyBorder="1" applyAlignment="1">
      <alignment horizontal="center" vertical="center"/>
    </xf>
    <xf numFmtId="14" fontId="7" fillId="15" borderId="8" xfId="0" applyNumberFormat="1" applyFont="1" applyFill="1" applyBorder="1" applyAlignment="1">
      <alignment horizontal="center" vertical="center"/>
    </xf>
    <xf numFmtId="14" fontId="6" fillId="13" borderId="1" xfId="0" applyNumberFormat="1" applyFont="1" applyFill="1" applyBorder="1" applyAlignment="1">
      <alignment horizontal="center" vertical="center"/>
    </xf>
    <xf numFmtId="0" fontId="11" fillId="13" borderId="0" xfId="0" applyFont="1" applyFill="1" applyAlignment="1">
      <alignment horizontal="center" vertical="center"/>
    </xf>
    <xf numFmtId="0" fontId="6" fillId="14" borderId="1" xfId="0" applyFont="1" applyFill="1" applyBorder="1" applyAlignment="1">
      <alignment horizontal="center" vertical="center" wrapText="1"/>
    </xf>
    <xf numFmtId="0" fontId="6" fillId="13" borderId="1" xfId="0" applyFont="1" applyFill="1" applyBorder="1" applyAlignment="1">
      <alignment horizontal="center" vertical="center" wrapText="1"/>
    </xf>
    <xf numFmtId="0" fontId="6" fillId="13" borderId="2" xfId="0" applyFont="1" applyFill="1" applyBorder="1" applyAlignment="1">
      <alignment horizontal="center" vertical="center" wrapText="1"/>
    </xf>
    <xf numFmtId="0" fontId="6" fillId="14" borderId="2" xfId="0" applyFont="1" applyFill="1" applyBorder="1" applyAlignment="1">
      <alignment horizontal="center" vertical="center" wrapText="1"/>
    </xf>
    <xf numFmtId="0" fontId="6" fillId="29" borderId="1" xfId="0" applyFont="1" applyFill="1" applyBorder="1" applyAlignment="1">
      <alignment horizontal="center" vertical="center" wrapText="1"/>
    </xf>
    <xf numFmtId="0" fontId="6" fillId="29" borderId="2" xfId="0" applyFont="1" applyFill="1" applyBorder="1" applyAlignment="1">
      <alignment horizontal="center" vertical="center" wrapText="1"/>
    </xf>
    <xf numFmtId="9" fontId="6" fillId="14" borderId="1" xfId="1" applyFont="1" applyFill="1" applyBorder="1" applyAlignment="1">
      <alignment horizontal="center" vertical="center" wrapText="1"/>
    </xf>
    <xf numFmtId="0" fontId="7" fillId="20" borderId="1" xfId="0" applyFont="1" applyFill="1" applyBorder="1" applyAlignment="1">
      <alignment horizontal="center" vertical="center" wrapText="1"/>
    </xf>
    <xf numFmtId="0" fontId="7" fillId="20" borderId="2" xfId="0" applyFont="1" applyFill="1" applyBorder="1" applyAlignment="1">
      <alignment horizontal="center" vertical="center" wrapText="1"/>
    </xf>
    <xf numFmtId="0" fontId="7" fillId="20" borderId="18" xfId="0" applyFont="1" applyFill="1" applyBorder="1" applyAlignment="1">
      <alignment horizontal="center" vertical="center" wrapText="1"/>
    </xf>
    <xf numFmtId="0" fontId="7" fillId="20" borderId="19" xfId="0" applyFont="1" applyFill="1" applyBorder="1" applyAlignment="1">
      <alignment horizontal="center" vertical="center" wrapText="1"/>
    </xf>
    <xf numFmtId="0" fontId="6" fillId="14" borderId="1" xfId="0" applyFont="1" applyFill="1" applyBorder="1" applyAlignment="1">
      <alignment horizontal="center" vertical="center"/>
    </xf>
    <xf numFmtId="0" fontId="6" fillId="14" borderId="0" xfId="0" applyFont="1" applyFill="1" applyAlignment="1">
      <alignment horizontal="center" vertical="center" wrapText="1"/>
    </xf>
    <xf numFmtId="0" fontId="6" fillId="29" borderId="0" xfId="0" applyFont="1" applyFill="1" applyAlignment="1">
      <alignment horizontal="center" vertical="center"/>
    </xf>
    <xf numFmtId="0" fontId="6" fillId="30" borderId="2" xfId="0" applyFont="1" applyFill="1" applyBorder="1" applyAlignment="1">
      <alignment horizontal="center" vertical="center"/>
    </xf>
    <xf numFmtId="0" fontId="6" fillId="30" borderId="18" xfId="0" applyFont="1" applyFill="1" applyBorder="1" applyAlignment="1">
      <alignment horizontal="center" vertical="center"/>
    </xf>
    <xf numFmtId="0" fontId="6" fillId="30" borderId="19" xfId="0" applyFont="1" applyFill="1" applyBorder="1" applyAlignment="1">
      <alignment horizontal="center" vertical="center"/>
    </xf>
    <xf numFmtId="0" fontId="6" fillId="30" borderId="2" xfId="0" applyFont="1" applyFill="1" applyBorder="1" applyAlignment="1">
      <alignment horizontal="center" vertical="center" wrapText="1"/>
    </xf>
    <xf numFmtId="0" fontId="6" fillId="30" borderId="18" xfId="0" applyFont="1" applyFill="1" applyBorder="1" applyAlignment="1">
      <alignment horizontal="center" vertical="center" wrapText="1"/>
    </xf>
    <xf numFmtId="0" fontId="6" fillId="30" borderId="19" xfId="0" applyFont="1" applyFill="1" applyBorder="1" applyAlignment="1">
      <alignment horizontal="center" vertical="center" wrapText="1"/>
    </xf>
    <xf numFmtId="0" fontId="6" fillId="29" borderId="18" xfId="0" applyFont="1" applyFill="1" applyBorder="1" applyAlignment="1">
      <alignment horizontal="center" vertical="center" wrapText="1"/>
    </xf>
    <xf numFmtId="14" fontId="6" fillId="13" borderId="1" xfId="0" applyNumberFormat="1" applyFont="1" applyFill="1" applyBorder="1" applyAlignment="1">
      <alignment horizontal="center" vertical="center" wrapText="1"/>
    </xf>
    <xf numFmtId="0" fontId="6" fillId="13" borderId="0" xfId="0" applyFont="1" applyFill="1" applyAlignment="1">
      <alignment horizontal="center" vertical="center" wrapText="1"/>
    </xf>
    <xf numFmtId="0" fontId="6" fillId="14" borderId="18" xfId="0" applyFont="1" applyFill="1" applyBorder="1" applyAlignment="1">
      <alignment horizontal="center" vertical="center" wrapText="1"/>
    </xf>
    <xf numFmtId="0" fontId="10" fillId="0" borderId="0" xfId="2" applyAlignment="1">
      <alignment horizontal="left"/>
    </xf>
    <xf numFmtId="0" fontId="10" fillId="4" borderId="0" xfId="2" applyFill="1" applyAlignment="1">
      <alignment horizontal="left"/>
    </xf>
    <xf numFmtId="0" fontId="11" fillId="13" borderId="0" xfId="0" applyFont="1" applyFill="1" applyAlignment="1">
      <alignment horizontal="center"/>
    </xf>
    <xf numFmtId="0" fontId="11" fillId="11" borderId="0" xfId="0" applyFont="1" applyFill="1" applyAlignment="1">
      <alignment horizontal="center"/>
    </xf>
    <xf numFmtId="0" fontId="2" fillId="15" borderId="0" xfId="0" applyFont="1" applyFill="1" applyAlignment="1">
      <alignment horizontal="center"/>
    </xf>
    <xf numFmtId="0" fontId="29" fillId="0" borderId="0" xfId="0" quotePrefix="1" applyFont="1" applyAlignment="1">
      <alignment horizontal="left" vertical="top" wrapText="1"/>
    </xf>
    <xf numFmtId="0" fontId="9" fillId="0" borderId="0" xfId="0" applyFont="1" applyAlignment="1">
      <alignment horizontal="left" vertical="center" wrapText="1"/>
    </xf>
    <xf numFmtId="0" fontId="0" fillId="0" borderId="1" xfId="0" applyBorder="1" applyAlignment="1">
      <alignment horizontal="left" wrapText="1"/>
    </xf>
    <xf numFmtId="0" fontId="0" fillId="0" borderId="2" xfId="0" applyBorder="1" applyAlignment="1">
      <alignment horizontal="left" wrapText="1"/>
    </xf>
    <xf numFmtId="0" fontId="0" fillId="0" borderId="18" xfId="0" applyBorder="1" applyAlignment="1">
      <alignment horizontal="left"/>
    </xf>
    <xf numFmtId="0" fontId="0" fillId="0" borderId="19" xfId="0" applyBorder="1" applyAlignment="1">
      <alignment horizontal="left"/>
    </xf>
    <xf numFmtId="0" fontId="0" fillId="0" borderId="18" xfId="0" applyBorder="1" applyAlignment="1">
      <alignment horizontal="left" wrapText="1"/>
    </xf>
    <xf numFmtId="0" fontId="0" fillId="0" borderId="19" xfId="0" applyBorder="1" applyAlignment="1">
      <alignment horizontal="left" wrapText="1"/>
    </xf>
    <xf numFmtId="0" fontId="2" fillId="0" borderId="18" xfId="0" applyFont="1" applyBorder="1" applyAlignment="1">
      <alignment horizontal="left"/>
    </xf>
    <xf numFmtId="0" fontId="2" fillId="0" borderId="19" xfId="0" applyFont="1" applyBorder="1" applyAlignment="1">
      <alignment horizontal="left"/>
    </xf>
    <xf numFmtId="0" fontId="2" fillId="0" borderId="9" xfId="0" applyFont="1" applyBorder="1"/>
    <xf numFmtId="0" fontId="12" fillId="13" borderId="11" xfId="0" applyFont="1" applyFill="1" applyBorder="1" applyAlignment="1">
      <alignment horizontal="center"/>
    </xf>
    <xf numFmtId="0" fontId="12" fillId="13" borderId="12" xfId="0" applyFont="1" applyFill="1" applyBorder="1" applyAlignment="1">
      <alignment horizontal="center"/>
    </xf>
    <xf numFmtId="0" fontId="12" fillId="13" borderId="13" xfId="0" applyFont="1" applyFill="1" applyBorder="1" applyAlignment="1">
      <alignment horizontal="center"/>
    </xf>
    <xf numFmtId="0" fontId="12" fillId="29" borderId="11" xfId="0" applyFont="1" applyFill="1" applyBorder="1" applyAlignment="1">
      <alignment horizontal="center"/>
    </xf>
    <xf numFmtId="0" fontId="12" fillId="29" borderId="12" xfId="0" applyFont="1" applyFill="1" applyBorder="1" applyAlignment="1">
      <alignment horizontal="center"/>
    </xf>
    <xf numFmtId="0" fontId="12" fillId="29" borderId="13" xfId="0" applyFont="1" applyFill="1" applyBorder="1" applyAlignment="1">
      <alignment horizontal="center"/>
    </xf>
    <xf numFmtId="0" fontId="13" fillId="29" borderId="11" xfId="0" applyFont="1" applyFill="1" applyBorder="1" applyAlignment="1">
      <alignment horizontal="center" vertical="center"/>
    </xf>
    <xf numFmtId="0" fontId="13" fillId="29" borderId="12" xfId="0" applyFont="1" applyFill="1" applyBorder="1" applyAlignment="1">
      <alignment horizontal="center" vertical="center"/>
    </xf>
    <xf numFmtId="0" fontId="13" fillId="29" borderId="13" xfId="0" applyFont="1" applyFill="1" applyBorder="1" applyAlignment="1">
      <alignment horizontal="center" vertical="center"/>
    </xf>
    <xf numFmtId="0" fontId="13" fillId="30" borderId="11" xfId="0" applyFont="1" applyFill="1" applyBorder="1" applyAlignment="1">
      <alignment horizontal="center" vertical="center"/>
    </xf>
    <xf numFmtId="0" fontId="13" fillId="30" borderId="12" xfId="0" applyFont="1" applyFill="1" applyBorder="1" applyAlignment="1">
      <alignment horizontal="center" vertical="center"/>
    </xf>
    <xf numFmtId="0" fontId="13" fillId="30" borderId="13" xfId="0" applyFont="1" applyFill="1" applyBorder="1" applyAlignment="1">
      <alignment horizontal="center" vertical="center"/>
    </xf>
    <xf numFmtId="0" fontId="13" fillId="13" borderId="11" xfId="0" applyFont="1" applyFill="1" applyBorder="1" applyAlignment="1">
      <alignment horizontal="center" vertical="center"/>
    </xf>
    <xf numFmtId="0" fontId="13" fillId="13" borderId="12" xfId="0" applyFont="1" applyFill="1" applyBorder="1" applyAlignment="1">
      <alignment horizontal="center" vertical="center"/>
    </xf>
    <xf numFmtId="0" fontId="13" fillId="13" borderId="13" xfId="0" applyFont="1" applyFill="1" applyBorder="1" applyAlignment="1">
      <alignment horizontal="center" vertical="center"/>
    </xf>
    <xf numFmtId="0" fontId="12" fillId="0" borderId="0" xfId="0" applyFont="1" applyAlignment="1">
      <alignment horizontal="center"/>
    </xf>
    <xf numFmtId="0" fontId="3" fillId="0" borderId="0" xfId="0" applyFont="1" applyAlignment="1">
      <alignment horizontal="center" wrapText="1"/>
    </xf>
    <xf numFmtId="0" fontId="9" fillId="20" borderId="11" xfId="0" applyFont="1" applyFill="1" applyBorder="1" applyAlignment="1">
      <alignment horizontal="center" vertical="center"/>
    </xf>
    <xf numFmtId="0" fontId="9" fillId="20" borderId="12" xfId="0" applyFont="1" applyFill="1" applyBorder="1" applyAlignment="1">
      <alignment horizontal="center" vertical="center"/>
    </xf>
    <xf numFmtId="0" fontId="9" fillId="20" borderId="13" xfId="0" applyFont="1" applyFill="1" applyBorder="1" applyAlignment="1">
      <alignment horizontal="center" vertical="center"/>
    </xf>
  </cellXfs>
  <cellStyles count="5">
    <cellStyle name="Hyperlink" xfId="3" builtinId="8"/>
    <cellStyle name="Input" xfId="4" builtinId="20"/>
    <cellStyle name="Normal" xfId="0" builtinId="0"/>
    <cellStyle name="Normal 4" xfId="2" xr:uid="{E73325FF-EC07-47DC-A53B-E8EEFDB4B0F1}"/>
    <cellStyle name="Percent" xfId="1" builtinId="5"/>
  </cellStyles>
  <dxfs count="1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theme="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CC"/>
        </patternFill>
      </fill>
      <border>
        <left style="thin">
          <color auto="1"/>
        </left>
        <right style="thin">
          <color auto="1"/>
        </right>
        <vertical/>
        <horizontal/>
      </border>
    </dxf>
    <dxf>
      <fill>
        <patternFill>
          <bgColor rgb="FFE8E8E8"/>
        </patternFill>
      </fill>
      <border>
        <left style="thin">
          <color auto="1"/>
        </left>
        <right style="thin">
          <color auto="1"/>
        </right>
        <vertical/>
        <horizontal/>
      </border>
    </dxf>
    <dxf>
      <fill>
        <patternFill>
          <bgColor rgb="FFFFFFCC"/>
        </patternFill>
      </fill>
    </dxf>
    <dxf>
      <fill>
        <patternFill>
          <bgColor rgb="FFFFFFCC"/>
        </patternFill>
      </fill>
    </dxf>
    <dxf>
      <font>
        <color rgb="FFFF000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s>
  <tableStyles count="0" defaultTableStyle="TableStyleMedium2" defaultPivotStyle="PivotStyleLight16"/>
  <colors>
    <mruColors>
      <color rgb="FFFF00FF"/>
      <color rgb="FFE8E8E8"/>
      <color rgb="FFFFFFCC"/>
      <color rgb="FF9D1D24"/>
      <color rgb="FFF9D2BF"/>
      <color rgb="FFFFFFE5"/>
      <color rgb="FFFF9393"/>
      <color rgb="FFFF9F9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5</xdr:col>
      <xdr:colOff>159329</xdr:colOff>
      <xdr:row>25</xdr:row>
      <xdr:rowOff>36615</xdr:rowOff>
    </xdr:from>
    <xdr:to>
      <xdr:col>6</xdr:col>
      <xdr:colOff>562099</xdr:colOff>
      <xdr:row>26</xdr:row>
      <xdr:rowOff>19794</xdr:rowOff>
    </xdr:to>
    <xdr:sp macro="[0]!SIMSTemplate" textlink="">
      <xdr:nvSpPr>
        <xdr:cNvPr id="2" name="Rectangle: Rounded Corners 1">
          <a:extLst>
            <a:ext uri="{FF2B5EF4-FFF2-40B4-BE49-F238E27FC236}">
              <a16:creationId xmlns:a16="http://schemas.microsoft.com/office/drawing/2014/main" id="{646C7AA7-06F0-46A5-ACCF-D1F87A81ABDB}"/>
            </a:ext>
          </a:extLst>
        </xdr:cNvPr>
        <xdr:cNvSpPr/>
      </xdr:nvSpPr>
      <xdr:spPr>
        <a:xfrm>
          <a:off x="5286500" y="6295901"/>
          <a:ext cx="1981199" cy="527464"/>
        </a:xfrm>
        <a:prstGeom prst="roundRect">
          <a:avLst/>
        </a:prstGeom>
        <a:solidFill>
          <a:srgbClr val="FF0000"/>
        </a:solidFill>
        <a:ln w="57150">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800" b="1">
              <a:latin typeface="Arial" panose="020B0604020202020204" pitchFamily="34" charset="0"/>
              <a:cs typeface="Arial" panose="020B0604020202020204" pitchFamily="34" charset="0"/>
            </a:rPr>
            <a:t>Generate SIMS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54429</xdr:colOff>
      <xdr:row>1</xdr:row>
      <xdr:rowOff>108858</xdr:rowOff>
    </xdr:from>
    <xdr:to>
      <xdr:col>6</xdr:col>
      <xdr:colOff>457200</xdr:colOff>
      <xdr:row>4</xdr:row>
      <xdr:rowOff>59379</xdr:rowOff>
    </xdr:to>
    <xdr:sp macro="[0]!BaselineLockPublish" textlink="">
      <xdr:nvSpPr>
        <xdr:cNvPr id="3" name="Rectangle: Rounded Corners 2">
          <a:extLst>
            <a:ext uri="{FF2B5EF4-FFF2-40B4-BE49-F238E27FC236}">
              <a16:creationId xmlns:a16="http://schemas.microsoft.com/office/drawing/2014/main" id="{32ADCC5A-35BC-47EB-99C1-4CC71AC7F86C}"/>
            </a:ext>
          </a:extLst>
        </xdr:cNvPr>
        <xdr:cNvSpPr/>
      </xdr:nvSpPr>
      <xdr:spPr>
        <a:xfrm>
          <a:off x="5116286" y="304801"/>
          <a:ext cx="1981200" cy="527464"/>
        </a:xfrm>
        <a:prstGeom prst="roundRect">
          <a:avLst/>
        </a:prstGeom>
        <a:solidFill>
          <a:srgbClr val="92D050"/>
        </a:solidFill>
        <a:ln w="57150">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2000" b="1">
              <a:latin typeface="Arial" panose="020B0604020202020204" pitchFamily="34" charset="0"/>
              <a:cs typeface="Arial" panose="020B0604020202020204" pitchFamily="34" charset="0"/>
            </a:rPr>
            <a:t>PUBLISH</a:t>
          </a:r>
          <a:r>
            <a:rPr lang="en-US" sz="2000" b="1" baseline="0">
              <a:latin typeface="Arial" panose="020B0604020202020204" pitchFamily="34" charset="0"/>
              <a:cs typeface="Arial" panose="020B0604020202020204" pitchFamily="34" charset="0"/>
            </a:rPr>
            <a:t> IMS</a:t>
          </a:r>
          <a:endParaRPr lang="en-US" sz="2000" b="1">
            <a:latin typeface="Arial" panose="020B0604020202020204" pitchFamily="34" charset="0"/>
            <a:cs typeface="Arial" panose="020B0604020202020204" pitchFamily="34" charset="0"/>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Pack, Andrew" id="{3603CF81-8633-46F4-8983-E095A6FBD4DE}" userId="S::Andrew.Pack@Honeywell.com::f9b6d3c0-1ef7-475d-ab4b-caa8252cdbbf" providerId="AD"/>
  <person displayName="Vale, Walter (SR-Power Systems)" id="{30B90AFB-D700-4715-946E-3F0F82132F1E}" userId="S::Walter.Vale@Honeywell.com::5cef301e-eeb0-4200-983e-490348eb990c" providerId="AD"/>
  <person displayName="Klever, Kalli (She/Her/Hers)" id="{6E96C62B-2CFC-4858-9CAB-69D73E17F80B}" userId="S::Kalli.Klever@Honeywell.com::97454d6b-c6fb-4f73-9cc5-2a4fa871b21a" providerId="AD"/>
  <person displayName="Coronado, Melisa" id="{F87AE234-DCBA-44D9-A462-9F25E5804E12}" userId="S::Melisa.Coronado@Honeywell.com::61e51e5f-c237-431c-9e77-8a4d0239a653" providerId="AD"/>
  <person displayName="Mieles Alvarez, Cristina (Engines VS)" id="{719FBC98-FAF5-4D03-8931-64C7056595CF}" userId="S::Cristina.MielesAlvarez@Honeywell.com::2f158fbc-6d97-45bf-a523-231a473d35c2" providerId="AD"/>
  <person displayName="Coronado, Melisa" id="{0457346D-A300-4453-8073-F615F47C0A72}" userId="S::Melisa.Coronado@HoneywellAerospace.com::c9a0988f-8f11-4945-9b5a-9a273766520f"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I4" dT="2025-03-03T14:28:13.21" personId="{719FBC98-FAF5-4D03-8931-64C7056595CF}" id="{08BC158A-969E-4D67-839D-FF33265E984F}">
    <text>Only Applicable for Power Systems</text>
  </threadedComment>
  <threadedComment ref="J7" dT="2025-12-11T20:19:12.91" personId="{F87AE234-DCBA-44D9-A462-9F25E5804E12}" id="{E52FB5DD-51A0-4D57-B63A-F9D92FCF6C5C}">
    <text>PSC = Procurement Spec</text>
  </threadedComment>
  <threadedComment ref="P7" dT="2025-10-01T13:56:22.83" personId="{3603CF81-8633-46F4-8983-E095A6FBD4DE}" id="{0FC57DC6-17D1-4E3E-B52D-8C4440F48F92}">
    <text>BTP FAIR Only will not require a TDR, but to efficiently provide a link to PFEP tab not blanking this out, but leaving as grey</text>
  </threadedComment>
  <threadedComment ref="Y7" dT="2025-09-29T14:07:39.83" personId="{3603CF81-8633-46F4-8983-E095A6FBD4DE}" id="{A0FFCB2B-7DEF-40C0-9909-8D1D80EE7C83}">
    <text>Often up front drawing changes will be found during EPA/TDR, later dwg changes will need to be built into the supplier build time</text>
  </threadedComment>
  <threadedComment ref="AB7" dT="2026-01-22T21:17:03.54" personId="{F87AE234-DCBA-44D9-A462-9F25E5804E12}" id="{91E1CCED-81A8-4506-B259-8AEBC43445FE}">
    <text>Applicable for Repositions or Transitions with suppliers that are new to HON and need to be set up in multiple systems: SAP, Net-Inspect, HASP, etc.
For this scenario, the suggested duration is of 20 workdays</text>
  </threadedComment>
  <threadedComment ref="AN7" dT="2025-09-29T14:06:57.49" personId="{3603CF81-8633-46F4-8983-E095A6FBD4DE}" id="{5836E495-177A-4B77-94F9-F0E91E49CE3A}">
    <text>Largely unused anymore, can set as 0 duration</text>
  </threadedComment>
  <threadedComment ref="AQ7" dT="2025-09-29T14:06:27.26" personId="{3603CF81-8633-46F4-8983-E095A6FBD4DE}" id="{A2889480-F7FE-4B34-9B21-D8D24F326420}">
    <text>Formal onsite review with full checklist completed by SDE, the one pager in the TRB file does not count. Check with SDE to determine if one has been completed recently that is still valid</text>
  </threadedComment>
  <threadedComment ref="AT7" dT="2025-09-29T14:05:33.82" personId="{3603CF81-8633-46F4-8983-E095A6FBD4DE}" id="{C2F0857A-BC02-4A1B-B073-D529FB241A2D}">
    <text>Once you have validation plan from EPA/TDR this can be completed even before formal EPA/TDR approval in ERS or TeamCenter</text>
  </threadedComment>
  <threadedComment ref="AT7" dT="2025-12-11T20:33:29.64" personId="{F87AE234-DCBA-44D9-A462-9F25E5804E12}" id="{7C377351-75F1-4E8B-BD2B-712790652B45}" parentId="{C2F0857A-BC02-4A1B-B073-D529FB241A2D}">
    <text>ECE = Engineering Cost Estimate</text>
  </threadedComment>
  <threadedComment ref="AZ7" dT="2025-09-29T14:04:42.07" personId="{3603CF81-8633-46F4-8983-E095A6FBD4DE}" id="{A16F8D56-6F5C-4F8E-AA0A-FD5D9EB1665E}">
    <text>Most projects will not have this, if N/A then 0 for duration</text>
  </threadedComment>
  <threadedComment ref="BI7" dT="2025-09-29T14:04:20.73" personId="{3603CF81-8633-46F4-8983-E095A6FBD4DE}" id="{21E66285-8263-4788-9556-F2DECE98E869}">
    <text>Initial meetings with internal team and/or go-to supplier</text>
  </threadedComment>
  <threadedComment ref="BL7" dT="2026-02-13T23:14:17.74" personId="{0457346D-A300-4453-8073-F615F47C0A72}" id="{CCDAF93E-687F-4B88-AEA7-7D35A6175C67}">
    <text>Design Review Engineering Approval</text>
  </threadedComment>
  <threadedComment ref="BO7" dT="2024-08-30T23:05:10.03" personId="{6E96C62B-2CFC-4858-9CAB-69D73E17F80B}" id="{F7B9C23B-4F78-4195-8323-289C59E3B1FF}">
    <text>Level 1 Design Review (DR)</text>
  </threadedComment>
  <threadedComment ref="BR7" dT="2024-08-30T23:05:10.03" personId="{6E96C62B-2CFC-4858-9CAB-69D73E17F80B}" id="{FF2B224C-40C5-4EAC-8420-46F49DF3E3BB}">
    <text>Technical Concept Review</text>
  </threadedComment>
  <threadedComment ref="BU7" dT="2024-08-30T23:10:36.70" personId="{6E96C62B-2CFC-4858-9CAB-69D73E17F80B}" id="{A1A22307-2509-4EE9-B5AB-DE109CD116A9}">
    <text>Preliminary Design Review (PDR)</text>
  </threadedComment>
  <threadedComment ref="BX7" dT="2024-08-30T23:10:49.21" personId="{6E96C62B-2CFC-4858-9CAB-69D73E17F80B}" id="{AA1753E6-8A4B-4CE8-8D6A-CF6B3B221B35}">
    <text>Critical Design Review (CDR)</text>
  </threadedComment>
  <threadedComment ref="CA7" dT="2024-02-17T15:07:26.59" personId="{30B90AFB-D700-4715-946E-3F0F82132F1E}" id="{670E1313-D1FF-4E56-B630-9D6C89DE3B96}">
    <text>Includes time to close all CDR actions for BTS parts</text>
  </threadedComment>
  <threadedComment ref="CG7" dT="2024-08-30T23:50:08.88" personId="{6E96C62B-2CFC-4858-9CAB-69D73E17F80B}" id="{73263EC4-6F5A-48A3-8550-1513F40E6B66}">
    <text>Approval date is the combination of HON &amp; Customer, if applicable</text>
  </threadedComment>
  <threadedComment ref="CG7" dT="2024-08-30T23:51:21.74" personId="{6E96C62B-2CFC-4858-9CAB-69D73E17F80B}" id="{43B60839-2A2F-4B75-AFBD-2144F8D5F510}" parentId="{73263EC4-6F5A-48A3-8550-1513F40E6B66}">
    <text>HON Approval: 15 WD
HON + Cust Approval: 60WD</text>
  </threadedComment>
  <threadedComment ref="CP7" dT="2026-01-14T00:13:25.07" personId="{F87AE234-DCBA-44D9-A462-9F25E5804E12}" id="{8E554F45-B388-4AEB-8B40-BF00E768870A}">
    <text>The baseline for Execution milestones will be set up once there is an Actual Completion Date for the FAIR PO Acknowledgment by the supplier</text>
  </threadedComment>
  <threadedComment ref="CT7" dT="2024-02-17T15:09:08.82" personId="{30B90AFB-D700-4715-946E-3F0F82132F1E}" id="{3D4F271B-0118-4D98-9BFD-F9DDD2F44661}">
    <text>Baseline assumes 6 months for material lead-time.  Adjust as needed...</text>
  </threadedComment>
  <threadedComment ref="CW7" dT="2025-09-29T14:02:21.53" personId="{3603CF81-8633-46F4-8983-E095A6FBD4DE}" id="{E9CC74F1-79B2-4822-B53F-72EB84341249}">
    <text>Most projects will not have this, if N/A then 0 for duration</text>
  </threadedComment>
  <threadedComment ref="CZ7" dT="2024-02-17T15:09:08.82" personId="{30B90AFB-D700-4715-946E-3F0F82132F1E}" id="{B41373CF-F784-432A-BB9D-C1E13F5D239B}">
    <text>Baseline assumes 6 months for material lead-time.  Adjust as needed...</text>
  </threadedComment>
  <threadedComment ref="DC7" dT="2024-08-30T23:41:14.49" personId="{6E96C62B-2CFC-4858-9CAB-69D73E17F80B}" id="{8658C90C-3745-4532-A4C1-DFDA147CB2F1}">
    <text>A inchstone plan for this should be created by the PE, adjust the duration to align to the inchstone.  One initial plan is set, cell must be locked by VS IRB/TRB Focal</text>
  </threadedComment>
  <threadedComment ref="DC7" dT="2024-08-30T23:41:41.75" personId="{6E96C62B-2CFC-4858-9CAB-69D73E17F80B}" id="{0C9FBB4B-33E3-4161-B883-1D0655E9A888}" parentId="{8658C90C-3745-4532-A4C1-DFDA147CB2F1}">
    <text>Common items: STICs, Proof &amp; Burst, Fire Test, Fixed Process, Metallurgy, etc.</text>
  </threadedComment>
  <threadedComment ref="DC7" dT="2024-08-30T23:42:22.65" personId="{6E96C62B-2CFC-4858-9CAB-69D73E17F80B}" id="{F7ED4437-17AC-4FC8-85C5-0EC2DEADBC5B}" parentId="{8658C90C-3745-4532-A4C1-DFDA147CB2F1}">
    <text>If N/A - adjust duration to "0"</text>
  </threadedComment>
  <threadedComment ref="DF7" dT="2024-08-30T23:46:42.46" personId="{6E96C62B-2CFC-4858-9CAB-69D73E17F80B}" id="{D2C72F31-62D7-4F21-930F-1103B5193EA9}">
    <text>At baseline adjust duration for schedule and then have cell locked by VS IRB/TRB focal</text>
  </threadedComment>
  <threadedComment ref="DP7" dT="2021-08-03T19:17:36.40" personId="{30B90AFB-D700-4715-946E-3F0F82132F1E}" id="{3BC82244-D1CE-43D8-9AD9-5839D30EA82B}">
    <text>3.3.4.4	Test Readiness Review (TRR)
The Supplier shall plan/coordinate a TRR for each part or group of parts subject to test.  The TRR shall be attended by Honeywell and shall demonstrate that all necessary test hardware, tooling and procedures are available and approved in advance of the testing to be performed. The TRR shall be conducted at least 1 week prior to the start of substantiation testing.</text>
  </threadedComment>
  <threadedComment ref="DS7" dT="2024-08-30T23:41:14.49" personId="{6E96C62B-2CFC-4858-9CAB-69D73E17F80B}" id="{65B6615F-DEA1-4E32-B4A3-3E45EF21615B}">
    <text>A inchstone plan for this should be created by the PE, adjust the duration to align to the inchstone.  One initial plan is set, cell must be locked by VS IRB/TRB Focal</text>
  </threadedComment>
  <threadedComment ref="DS7" dT="2024-08-30T23:41:41.75" personId="{6E96C62B-2CFC-4858-9CAB-69D73E17F80B}" id="{004B17F6-3C12-4FD6-9903-600B03441B97}" parentId="{65B6615F-DEA1-4E32-B4A3-3E45EF21615B}">
    <text>Common items: STICs, Proof &amp; Burst, Fire Test, Fixed Process, Metallurgy, etc.</text>
  </threadedComment>
  <threadedComment ref="DS7" dT="2024-08-30T23:42:22.65" personId="{6E96C62B-2CFC-4858-9CAB-69D73E17F80B}" id="{67DCE81E-B0B7-45C9-BC8D-D35854736C6D}" parentId="{65B6615F-DEA1-4E32-B4A3-3E45EF21615B}">
    <text>If N/A - adjust duration to "0"</text>
  </threadedComment>
  <threadedComment ref="EA7" dT="2024-08-31T00:01:45.87" personId="{6E96C62B-2CFC-4858-9CAB-69D73E17F80B}" id="{6A38574B-E458-4FB3-82F7-683CFE6BE099}">
    <text>A inchstone plan for this should be created by the PE, adjust the duration to align to the inchstone.  One initial plan is set, cell must be locked by VS IRB/TRB Focal</text>
  </threadedComment>
  <threadedComment ref="EA7" dT="2024-08-31T00:02:15.25" personId="{6E96C62B-2CFC-4858-9CAB-69D73E17F80B}" id="{41B79F6C-F2FB-4BE8-B601-8FFF465F00B5}" parentId="{6A38574B-E458-4FB3-82F7-683CFE6BE099}">
    <text>Common items: Machining trials, engine test</text>
  </threadedComment>
  <threadedComment ref="EE7" dT="2024-08-31T00:08:03.67" personId="{6E96C62B-2CFC-4858-9CAB-69D73E17F80B}" id="{771A4593-9052-4961-8D7E-B753A98C576A}">
    <text>For new PNs customer approval can come after SS1 elevation, however for same PN customer approval is needed prior to SS1 elevation.</text>
  </threadedComment>
  <threadedComment ref="EE7" dT="2025-09-29T14:01:06.44" personId="{3603CF81-8633-46F4-8983-E095A6FBD4DE}" id="{9D697D20-D3CF-4320-BBE0-B2A9F85033DD}" parentId="{771A4593-9052-4961-8D7E-B753A98C576A}">
    <text>This is all of the post test reports being completed, examples: engine test report, gear report, STR, FTR, etc. Anything that is needed for the SS1 ECN.</text>
  </threadedComment>
  <threadedComment ref="EE7" dT="2025-10-01T14:09:24.21" personId="{3603CF81-8633-46F4-8983-E095A6FBD4DE}" id="{5F391991-9586-4F07-868C-FEA2C917DF5A}" parentId="{771A4593-9052-4961-8D7E-B753A98C576A}">
    <text>FAIR Only parts are greyed out since N/A, leaving a date in here to support PFEP link</text>
  </threadedComment>
  <threadedComment ref="EN7" dT="2024-09-03T23:54:07.33" personId="{6E96C62B-2CFC-4858-9CAB-69D73E17F80B}" id="{E0410239-E63C-4102-B2B4-9D078268B850}">
    <text>If N/A change duration to 0</text>
  </threadedComment>
  <threadedComment ref="EQ7" dT="2024-09-03T23:54:07.33" personId="{6E96C62B-2CFC-4858-9CAB-69D73E17F80B}" id="{51FCA388-CA91-43F8-B6B9-586774A84E1A}">
    <text>If N/A change duration to 0</text>
  </threadedComment>
  <threadedComment ref="ET7" dT="2024-09-03T23:54:07.33" personId="{6E96C62B-2CFC-4858-9CAB-69D73E17F80B}" id="{ECAF61EE-7041-4B4F-A868-10D3EF070DC4}">
    <text>If N/A change duration to 0</text>
  </threadedComment>
  <threadedComment ref="FC7" dT="2023-02-13T16:15:11.97" personId="{30B90AFB-D700-4715-946E-3F0F82132F1E}" id="{A6A5D544-D923-427A-A376-59A999BFBDE2}">
    <text>4 to 5 weeks after SS1 Elevation.</text>
  </threadedComment>
  <threadedComment ref="FI7" dT="2025-09-29T13:59:17.28" personId="{3603CF81-8633-46F4-8983-E095A6FBD4DE}" id="{BAFCC0C7-5872-4DA2-858B-D8F3EA0E2E4E}">
    <text>When all actions completed including final audit pass</text>
  </threadedComment>
  <threadedComment ref="FL7" dT="2024-10-31T20:35:42.05" personId="{719FBC98-FAF5-4D03-8931-64C7056595CF}" id="{9C5433C9-2195-444D-AF1C-1FB2CF7BB802}">
    <text>Production Cutover Date should match your 1st Production Delivery Date.</text>
  </threadedComment>
  <threadedComment ref="FO7" dT="2025-09-29T13:58:40.50" personId="{3603CF81-8633-46F4-8983-E095A6FBD4DE}" id="{042611B2-FFBA-4E8F-9946-248F6B9B8165}">
    <text>Use formula ONLY to determine TCD date, after TRB approval replace the formula with a hard coded date, otherwise as your schedule moves this will move with it and you mass pass your TCD without even realizing it</text>
  </threadedComment>
  <threadedComment ref="A8" dT="2025-10-01T13:40:37.73" personId="{3603CF81-8633-46F4-8983-E095A6FBD4DE}" id="{21C6C478-2F06-410E-AE6C-7610DB8527A0}">
    <text>Only use 2nd line of each pair for Project name, helps with filters</text>
  </threadedComment>
  <threadedComment ref="B8" dT="2025-10-01T13:40:09.48" personId="{3603CF81-8633-46F4-8983-E095A6FBD4DE}" id="{D01D9706-9BF2-4112-8754-A78B011C0A74}">
    <text>Only use 2nd line of each pair for AID, helps with filters</text>
  </threadedComment>
  <threadedComment ref="C8" dT="2025-10-01T13:39:50.60" personId="{3603CF81-8633-46F4-8983-E095A6FBD4DE}" id="{2C848EBF-A0A3-436F-A5BC-2A57C120894A}">
    <text>Only use 2nd line of each pair for PN, helps with filters</text>
  </threadedComment>
  <threadedComment ref="E8" dT="2026-01-09T17:49:13.36" personId="{F87AE234-DCBA-44D9-A462-9F25E5804E12}" id="{944DA72B-9826-47E7-86C2-FA15F8CC21CE}">
    <text xml:space="preserve">*Red: Run Out Date occurs prior to or within 3 months of First Production Lot (FPL) Ready date- Risk on delivery gap between Incumbent/New Source
*Yellow: Run Out Date occurs 4-6 months after FPL Ready date-  Risk on delivery gap between Incumbent/New Source
*Green: Run Out Date occurs 7-23 months after FPL Ready date – No Risk on delivery gap between Incumbent/New Source
*Covered: 24 months+ before demand needs supported. – No Risk on delivery gap between Incumbent/New Source
</text>
  </threadedComment>
  <threadedComment ref="F8" dT="2025-10-01T13:39:22.30" personId="{3603CF81-8633-46F4-8983-E095A6FBD4DE}" id="{43E56FF7-CEEB-4EA0-889A-B8DC4990A2B9}">
    <text>Select the Pair of lines to use based on what type of project you have, likely will know this up front but 100% after EPA/TDR</text>
  </threadedComment>
  <threadedComment ref="H8" dT="2026-01-05T19:20:02.78" personId="{F87AE234-DCBA-44D9-A462-9F25E5804E12}" id="{DD206D59-72EF-49E8-A62D-FD721E544CD4}">
    <text>The Baseline will change to Execution once there is an Actual Completion Date for the FAIR Order Acknowledged</text>
  </threadedComment>
  <threadedComment ref="EK8" dT="2022-07-20T19:15:49.00" personId="{30B90AFB-D700-4715-946E-3F0F82132F1E}" id="{E2FA127D-6371-4205-BDD1-783367837589}">
    <text>AG-5924 MRR/MRA is not applicable for suppliers per AG-5924 paragraph 3. Applicability -  The MRA is only applicable to products manufactured at Honeywell locations.</text>
  </threadedComment>
  <threadedComment ref="EN8" dT="2022-05-17T16:52:27.19" personId="{30B90AFB-D700-4715-946E-3F0F82132F1E}" id="{6ABCC524-3B25-4C74-8718-8D7735E7197F}">
    <text>Eventually, it all goes into service. This is achieved through certification by a Civil (Airworthiness) Aviation Authority
FAA
EASA (Europe)
ANAC (Brazil)
CAAC (China)
Transport Canada</text>
  </threadedComment>
  <threadedComment ref="EN8" dT="2022-10-05T16:22:28.06" personId="{30B90AFB-D700-4715-946E-3F0F82132F1E}" id="{C1571C1F-B7F9-4681-947C-4C9BD939E5B1}" parentId="{6ABCC524-3B25-4C74-8718-8D7735E7197F}">
    <text>What does certification mean?
At some point all goods need to be certified and this is granted to the Applicant by the Airworthiness Authority’s Aircraft Cert Office (ACO)
A Technical Standard Order (TSO) Authorization or equivalent (FAA issues TSO, EASA issues an ETSO) 
These goods are represented to have a self standing function and can be installed in multiple aircraft
Very common in General Aviation and Business Jet Markets
Less common in the Air Transport Markets but every aircraft has Line Replaceable Units (LRUs) that hold a TSO
Air Transport goods are typically certified by the Airframer of the Aircraft as the Applicant to Airworthiness Authorities
All certification artifacts are generated by Honeywell and becomes part of the Airframer’s Aircraft Certification Package to Cert Authorities
When a good is first proposed to be installed on an aircraft that is already certified, a Supplemental Type Certificate (STC) is required</text>
  </threadedComment>
  <threadedComment ref="EQ8" dT="2023-03-01T21:42:51.55" personId="{30B90AFB-D700-4715-946E-3F0F82132F1E}" id="{B4205A6A-CA8C-4F1B-B620-F279DDC972E6}">
    <text>For new PNs customer approval can come after SS1 elevation, however for same PN customer approval is needed prior to SS1 elevation.</text>
  </threadedComment>
  <threadedComment ref="EZ8" dT="2022-07-20T19:15:49.00" personId="{30B90AFB-D700-4715-946E-3F0F82132F1E}" id="{B0B48EB2-1E79-4E96-9467-F9DF4E16AAE0}">
    <text>AG-5924 MRR/MRA is not applicable for suppliers per AG-5924 paragraph 3. Applicability -  The MRA is only applicable to products manufactured at Honeywell locations.</text>
  </threadedComment>
</ThreadedComments>
</file>

<file path=xl/threadedComments/threadedComment2.xml><?xml version="1.0" encoding="utf-8"?>
<ThreadedComments xmlns="http://schemas.microsoft.com/office/spreadsheetml/2018/threadedcomments" xmlns:x="http://schemas.openxmlformats.org/spreadsheetml/2006/main">
  <threadedComment ref="I4" dT="2025-03-03T14:28:13.21" personId="{719FBC98-FAF5-4D03-8931-64C7056595CF}" id="{BE2375AC-1FAF-44E1-9EC4-C93788DC684C}">
    <text>Only Applicable for Power Systems</text>
  </threadedComment>
  <threadedComment ref="J7" dT="2025-12-11T20:19:12.91" personId="{F87AE234-DCBA-44D9-A462-9F25E5804E12}" id="{66875AA3-88D8-4D84-BF53-5839F1A26708}">
    <text>PSC = Procurement Spec</text>
  </threadedComment>
  <threadedComment ref="P7" dT="2025-10-01T13:56:22.83" personId="{3603CF81-8633-46F4-8983-E095A6FBD4DE}" id="{7C683C32-962F-4806-A1AB-6E6964B34523}">
    <text>BTP FAIR Only will not require a TDR, but to efficiently provide a link to PFEP tab not blanking this out, but leaving as grey</text>
  </threadedComment>
  <threadedComment ref="Y7" dT="2025-09-29T14:07:39.83" personId="{3603CF81-8633-46F4-8983-E095A6FBD4DE}" id="{5653E446-D393-40C1-A794-4800335652B4}">
    <text>Often up front drawing changes will be found during EPA/TDR, later dwg changes will need to be built into the supplier build time</text>
  </threadedComment>
  <threadedComment ref="AB7" dT="2026-01-22T21:17:03.54" personId="{F87AE234-DCBA-44D9-A462-9F25E5804E12}" id="{5AF57A17-74DC-4747-BE7A-3ECB75BAA857}">
    <text>Applicable for Repositions or Transitions with suppliers that are new to HON and need to be set up in multiple systems: SAP, Net-Inspect, HASP, etc.
For this scenario, the suggested duration is of 20 workdays</text>
  </threadedComment>
  <threadedComment ref="AN7" dT="2025-09-29T14:06:57.49" personId="{3603CF81-8633-46F4-8983-E095A6FBD4DE}" id="{37CF6CAF-52BB-4529-8422-966BD1CCE868}">
    <text>Largely unused anymore, can set as 0 duration</text>
  </threadedComment>
  <threadedComment ref="AQ7" dT="2025-09-29T14:06:27.26" personId="{3603CF81-8633-46F4-8983-E095A6FBD4DE}" id="{824A813A-6CF6-48FE-A258-EEDC94DB712A}">
    <text>Formal onsite review with full checklist completed by SDE, the one pager in the TRB file does not count. Check with SDE to determine if one has been completed recently that is still valid</text>
  </threadedComment>
  <threadedComment ref="AT7" dT="2025-09-29T14:05:33.82" personId="{3603CF81-8633-46F4-8983-E095A6FBD4DE}" id="{4D0D99E7-0094-428B-B4F4-7B322D6B90F4}">
    <text>Once you have validation plan from EPA/TDR this can be completed even before formal EPA/TDR approval in ERS or TeamCenter</text>
  </threadedComment>
  <threadedComment ref="AT7" dT="2025-12-11T20:33:29.64" personId="{F87AE234-DCBA-44D9-A462-9F25E5804E12}" id="{D36D7EE2-73DA-4214-AD29-75A35DF35012}" parentId="{4D0D99E7-0094-428B-B4F4-7B322D6B90F4}">
    <text>ECE = Engineering Cost Estimate</text>
  </threadedComment>
  <threadedComment ref="AZ7" dT="2025-09-29T14:04:42.07" personId="{3603CF81-8633-46F4-8983-E095A6FBD4DE}" id="{2C4E589F-A397-4587-9013-84365E829417}">
    <text>Most projects will not have this, if N/A then 0 for duration</text>
  </threadedComment>
  <threadedComment ref="BI7" dT="2025-09-29T14:04:20.73" personId="{3603CF81-8633-46F4-8983-E095A6FBD4DE}" id="{D97378B8-583E-448E-86BE-F41E0762D426}">
    <text>Initial meetings with internal team and/or go-to supplier</text>
  </threadedComment>
  <threadedComment ref="BO7" dT="2024-08-30T23:05:10.03" personId="{6E96C62B-2CFC-4858-9CAB-69D73E17F80B}" id="{14D2AC08-373C-4BC2-AC0D-85F8A0D6A8AA}">
    <text>Level 1 Design Review (DR)</text>
  </threadedComment>
  <threadedComment ref="BR7" dT="2024-08-30T23:05:10.03" personId="{6E96C62B-2CFC-4858-9CAB-69D73E17F80B}" id="{A3C47215-1FE3-4A49-8B37-F428270BEE7B}">
    <text>Technical Concept Review</text>
  </threadedComment>
  <threadedComment ref="BU7" dT="2024-08-30T23:10:36.70" personId="{6E96C62B-2CFC-4858-9CAB-69D73E17F80B}" id="{2345DA65-6CF7-49C3-A58C-1E7B3DE155A9}">
    <text>Preliminary Design Review (PDR)</text>
  </threadedComment>
  <threadedComment ref="BX7" dT="2024-08-30T23:10:49.21" personId="{6E96C62B-2CFC-4858-9CAB-69D73E17F80B}" id="{D8214D93-D1B2-45B3-B845-B36EB771B5E9}">
    <text>Critical Design Review (CDR)</text>
  </threadedComment>
  <threadedComment ref="CA7" dT="2024-02-17T15:07:26.59" personId="{30B90AFB-D700-4715-946E-3F0F82132F1E}" id="{F80009F5-45DC-4AD7-91C7-8A71CD4B93B1}">
    <text>Includes time to close all CDR actions for BTS parts</text>
  </threadedComment>
  <threadedComment ref="CG7" dT="2024-08-30T23:50:08.88" personId="{6E96C62B-2CFC-4858-9CAB-69D73E17F80B}" id="{A5F5E895-759C-4BEE-B19F-4DC31DEBE3DB}">
    <text>Approval date is the combination of HON &amp; Customer, if applicable</text>
  </threadedComment>
  <threadedComment ref="CG7" dT="2024-08-30T23:51:21.74" personId="{6E96C62B-2CFC-4858-9CAB-69D73E17F80B}" id="{26DF4F96-7264-4563-A4EC-2549BBB422E3}" parentId="{A5F5E895-759C-4BEE-B19F-4DC31DEBE3DB}">
    <text>HON Approval: 15 WD
HON + Cust Approval: 60WD</text>
  </threadedComment>
  <threadedComment ref="CP7" dT="2026-01-14T00:13:25.07" personId="{F87AE234-DCBA-44D9-A462-9F25E5804E12}" id="{01E7CAAD-4D42-4568-8253-AE173FA9BE5B}">
    <text>The baseline for Execution milestones will be set up once there is an Actual Completion Date for the FAIR PO Acknowledgment by the supplier</text>
  </threadedComment>
  <threadedComment ref="CT7" dT="2024-02-17T15:09:08.82" personId="{30B90AFB-D700-4715-946E-3F0F82132F1E}" id="{D08A23F8-16DA-4C83-93FE-8492D92356C8}">
    <text>Baseline assumes 6 months for material lead-time.  Adjust as needed...</text>
  </threadedComment>
  <threadedComment ref="CW7" dT="2025-09-29T14:02:21.53" personId="{3603CF81-8633-46F4-8983-E095A6FBD4DE}" id="{E7537BC0-5699-48AD-9736-584B1942D35D}">
    <text>Most projects will not have this, if N/A then 0 for duration</text>
  </threadedComment>
  <threadedComment ref="CZ7" dT="2024-02-17T15:09:08.82" personId="{30B90AFB-D700-4715-946E-3F0F82132F1E}" id="{31848541-5900-4B87-89CD-C8EF7B691CDC}">
    <text>Baseline assumes 6 months for material lead-time.  Adjust as needed...</text>
  </threadedComment>
  <threadedComment ref="DC7" dT="2024-08-30T23:41:14.49" personId="{6E96C62B-2CFC-4858-9CAB-69D73E17F80B}" id="{031108AA-8D04-4990-BBCF-DD2098939F33}">
    <text>A inchstone plan for this should be created by the PE, adjust the duration to align to the inchstone.  One initial plan is set, cell must be locked by VS IRB/TRB Focal</text>
  </threadedComment>
  <threadedComment ref="DC7" dT="2024-08-30T23:41:41.75" personId="{6E96C62B-2CFC-4858-9CAB-69D73E17F80B}" id="{DFE49811-DF0B-4BB8-BC8F-09EC15C37153}" parentId="{031108AA-8D04-4990-BBCF-DD2098939F33}">
    <text>Common items: STICs, Proof &amp; Burst, Fire Test, Fixed Process, Metallurgy, etc.</text>
  </threadedComment>
  <threadedComment ref="DC7" dT="2024-08-30T23:42:22.65" personId="{6E96C62B-2CFC-4858-9CAB-69D73E17F80B}" id="{AFFE4C02-A2DD-484F-B189-F657DC5A10C0}" parentId="{031108AA-8D04-4990-BBCF-DD2098939F33}">
    <text>If N/A - adjust duration to "0"</text>
  </threadedComment>
  <threadedComment ref="DF7" dT="2024-08-30T23:46:42.46" personId="{6E96C62B-2CFC-4858-9CAB-69D73E17F80B}" id="{A17DACD4-9174-4F7B-BF3B-3B8DB1AA6D75}">
    <text>At baseline adjust duration for schedule and then have cell locked by VS IRB/TRB focal</text>
  </threadedComment>
  <threadedComment ref="DP7" dT="2021-08-03T19:17:36.40" personId="{30B90AFB-D700-4715-946E-3F0F82132F1E}" id="{B70C87FD-4CEE-4A8D-8E61-009C17EC9285}">
    <text>3.3.4.4	Test Readiness Review (TRR)
The Supplier shall plan/coordinate a TRR for each part or group of parts subject to test.  The TRR shall be attended by Honeywell and shall demonstrate that all necessary test hardware, tooling and procedures are available and approved in advance of the testing to be performed. The TRR shall be conducted at least 1 week prior to the start of substantiation testing.</text>
  </threadedComment>
  <threadedComment ref="DS7" dT="2024-08-30T23:41:14.49" personId="{6E96C62B-2CFC-4858-9CAB-69D73E17F80B}" id="{DC7FE293-C0CC-4BF1-A7C2-3363470F8714}">
    <text>A inchstone plan for this should be created by the PE, adjust the duration to align to the inchstone.  One initial plan is set, cell must be locked by VS IRB/TRB Focal</text>
  </threadedComment>
  <threadedComment ref="DS7" dT="2024-08-30T23:41:41.75" personId="{6E96C62B-2CFC-4858-9CAB-69D73E17F80B}" id="{E120446C-B229-44C1-80EE-573D46C01087}" parentId="{DC7FE293-C0CC-4BF1-A7C2-3363470F8714}">
    <text>Common items: STICs, Proof &amp; Burst, Fire Test, Fixed Process, Metallurgy, etc.</text>
  </threadedComment>
  <threadedComment ref="DS7" dT="2024-08-30T23:42:22.65" personId="{6E96C62B-2CFC-4858-9CAB-69D73E17F80B}" id="{FF00242D-9D86-4185-82FB-9D2D23DCF432}" parentId="{DC7FE293-C0CC-4BF1-A7C2-3363470F8714}">
    <text>If N/A - adjust duration to "0"</text>
  </threadedComment>
  <threadedComment ref="EA7" dT="2024-08-31T00:01:45.87" personId="{6E96C62B-2CFC-4858-9CAB-69D73E17F80B}" id="{8CDAC6A0-56FE-46A3-AB76-6DD10A2BD26C}">
    <text>A inchstone plan for this should be created by the PE, adjust the duration to align to the inchstone.  One initial plan is set, cell must be locked by VS IRB/TRB Focal</text>
  </threadedComment>
  <threadedComment ref="EA7" dT="2024-08-31T00:02:15.25" personId="{6E96C62B-2CFC-4858-9CAB-69D73E17F80B}" id="{676D4E40-1CAB-46B4-9FE7-589DD1E84FB9}" parentId="{8CDAC6A0-56FE-46A3-AB76-6DD10A2BD26C}">
    <text>Common items: Machining trials, engine test</text>
  </threadedComment>
  <threadedComment ref="EE7" dT="2024-08-31T00:08:03.67" personId="{6E96C62B-2CFC-4858-9CAB-69D73E17F80B}" id="{FEE21791-EC55-4C04-BD78-64F3CC5D57BA}">
    <text>For new PNs customer approval can come after SS1 elevation, however for same PN customer approval is needed prior to SS1 elevation.</text>
  </threadedComment>
  <threadedComment ref="EE7" dT="2025-09-29T14:01:06.44" personId="{3603CF81-8633-46F4-8983-E095A6FBD4DE}" id="{739878B5-D7A5-42A0-AEAD-051A53FB94A9}" parentId="{FEE21791-EC55-4C04-BD78-64F3CC5D57BA}">
    <text>This is all of the post test reports being completed, examples: engine test report, gear report, STR, FTR, etc. Anything that is needed for the SS1 ECN.</text>
  </threadedComment>
  <threadedComment ref="EE7" dT="2025-10-01T14:09:24.21" personId="{3603CF81-8633-46F4-8983-E095A6FBD4DE}" id="{E6A400F7-A720-4270-92A7-B96C1841D667}" parentId="{FEE21791-EC55-4C04-BD78-64F3CC5D57BA}">
    <text>FAIR Only parts are greyed out since N/A, leaving a date in here to support PFEP link</text>
  </threadedComment>
  <threadedComment ref="EN7" dT="2024-09-03T23:54:07.33" personId="{6E96C62B-2CFC-4858-9CAB-69D73E17F80B}" id="{9AD321C6-E1D9-4FDF-9937-701F038A0377}">
    <text>If N/A change duration to 0</text>
  </threadedComment>
  <threadedComment ref="EQ7" dT="2024-09-03T23:54:07.33" personId="{6E96C62B-2CFC-4858-9CAB-69D73E17F80B}" id="{29032A7E-71C5-4C1F-9F24-B6B9A77EF185}">
    <text>If N/A change duration to 0</text>
  </threadedComment>
  <threadedComment ref="ET7" dT="2024-09-03T23:54:07.33" personId="{6E96C62B-2CFC-4858-9CAB-69D73E17F80B}" id="{A4708FEF-8C18-4144-B3C6-748E0A041265}">
    <text>If N/A change duration to 0</text>
  </threadedComment>
  <threadedComment ref="FC7" dT="2023-02-13T16:15:11.97" personId="{30B90AFB-D700-4715-946E-3F0F82132F1E}" id="{1A7F99C2-82A0-45F7-9A2C-D5A86A99C631}">
    <text>4 to 5 weeks after SS1 Elevation.</text>
  </threadedComment>
  <threadedComment ref="FI7" dT="2025-09-29T13:59:17.28" personId="{3603CF81-8633-46F4-8983-E095A6FBD4DE}" id="{52124900-563F-4B55-8AF7-A30CB795B34B}">
    <text>When all actions completed including final audit pass</text>
  </threadedComment>
  <threadedComment ref="FL7" dT="2024-10-31T20:35:42.05" personId="{719FBC98-FAF5-4D03-8931-64C7056595CF}" id="{9B0E2A01-42FA-4319-8198-8CDC54B5D1A1}">
    <text>Production Cutover Date should match your 1st Production Delivery Date.</text>
  </threadedComment>
  <threadedComment ref="FO7" dT="2025-09-29T13:58:40.50" personId="{3603CF81-8633-46F4-8983-E095A6FBD4DE}" id="{5BD3A202-51E5-4C14-8991-8AFD7E94E761}">
    <text>Use formula ONLY to determine TCD date, after TRB approval replace the formula with a hard coded date, otherwise as your schedule moves this will move with it and you mass pass your TCD without even realizing it</text>
  </threadedComment>
  <threadedComment ref="A8" dT="2025-10-01T13:40:37.73" personId="{3603CF81-8633-46F4-8983-E095A6FBD4DE}" id="{293A5B57-37A4-4D7A-BE86-C5C05B9BC6AE}">
    <text>Only use 2nd line of each pair for Project name, helps with filters</text>
  </threadedComment>
  <threadedComment ref="B8" dT="2025-10-01T13:40:09.48" personId="{3603CF81-8633-46F4-8983-E095A6FBD4DE}" id="{F847554A-54F2-45F2-B61F-704798CE2FB0}">
    <text>Only use 2nd line of each pair for AID, helps with filters</text>
  </threadedComment>
  <threadedComment ref="C8" dT="2025-10-01T13:39:50.60" personId="{3603CF81-8633-46F4-8983-E095A6FBD4DE}" id="{7EB810F2-8894-4EB0-97BB-1A6ECE894423}">
    <text>Only use 2nd line of each pair for PN, helps with filters</text>
  </threadedComment>
  <threadedComment ref="E8" dT="2026-01-09T17:49:13.36" personId="{F87AE234-DCBA-44D9-A462-9F25E5804E12}" id="{881D75AE-2AD0-419D-8BFF-F7956CFB8117}">
    <text xml:space="preserve">*Red: Run Out Date occurs prior to or within 3 months of First Production Lot (FPL) Ready date- Risk on delivery gap between Incumbent/New Source
*Yellow: Run Out Date occurs 4-6 months after FPL Ready date-  Risk on delivery gap between Incumbent/New Source
*Green: Run Out Date occurs 7-23 months after FPL Ready date – No Risk on delivery gap between Incumbent/New Source
*Covered: 24 months+ before demand needs supported. – No Risk on delivery gap between Incumbent/New Source
</text>
  </threadedComment>
  <threadedComment ref="F8" dT="2025-10-01T13:39:22.30" personId="{3603CF81-8633-46F4-8983-E095A6FBD4DE}" id="{726E5D60-889F-4B30-974F-188BC48C3E1B}">
    <text>Select the Pair of lines to use based on what type of project you have, likely will know this up front but 100% after EPA/TDR</text>
  </threadedComment>
  <threadedComment ref="H8" dT="2026-01-05T19:20:02.78" personId="{F87AE234-DCBA-44D9-A462-9F25E5804E12}" id="{95C3C469-5D1C-4FD2-918F-12C6DEA588F2}">
    <text>The Baseline will change to Execution once there is an Actual Completion Date for the FAIR Order Acknowledged</text>
  </threadedComment>
  <threadedComment ref="EK8" dT="2022-07-20T19:15:49.00" personId="{30B90AFB-D700-4715-946E-3F0F82132F1E}" id="{22E25760-5825-4B1F-AB5F-F312CBAE0AB4}">
    <text>AG-5924 MRR/MRA is not applicable for suppliers per AG-5924 paragraph 3. Applicability -  The MRA is only applicable to products manufactured at Honeywell locations.</text>
  </threadedComment>
  <threadedComment ref="EN8" dT="2022-05-17T16:52:27.19" personId="{30B90AFB-D700-4715-946E-3F0F82132F1E}" id="{4982CBF0-3EB0-40A8-BCE8-F06A0802EB1C}">
    <text>Eventually, it all goes into service. This is achieved through certification by a Civil (Airworthiness) Aviation Authority
FAA
EASA (Europe)
ANAC (Brazil)
CAAC (China)
Transport Canada</text>
  </threadedComment>
  <threadedComment ref="EN8" dT="2022-10-05T16:22:28.06" personId="{30B90AFB-D700-4715-946E-3F0F82132F1E}" id="{513EFEC9-6C44-4262-A627-CF5AA1CA2AB1}" parentId="{4982CBF0-3EB0-40A8-BCE8-F06A0802EB1C}">
    <text>What does certification mean?
At some point all goods need to be certified and this is granted to the Applicant by the Airworthiness Authority’s Aircraft Cert Office (ACO)
A Technical Standard Order (TSO) Authorization or equivalent (FAA issues TSO, EASA issues an ETSO) 
These goods are represented to have a self standing function and can be installed in multiple aircraft
Very common in General Aviation and Business Jet Markets
Less common in the Air Transport Markets but every aircraft has Line Replaceable Units (LRUs) that hold a TSO
Air Transport goods are typically certified by the Airframer of the Aircraft as the Applicant to Airworthiness Authorities
All certification artifacts are generated by Honeywell and becomes part of the Airframer’s Aircraft Certification Package to Cert Authorities
When a good is first proposed to be installed on an aircraft that is already certified, a Supplemental Type Certificate (STC) is required</text>
  </threadedComment>
  <threadedComment ref="EQ8" dT="2023-03-01T21:42:51.55" personId="{30B90AFB-D700-4715-946E-3F0F82132F1E}" id="{FB1F36B9-04E3-491C-AB3C-07EFB1DCA83E}">
    <text>For new PNs customer approval can come after SS1 elevation, however for same PN customer approval is needed prior to SS1 elevation.</text>
  </threadedComment>
  <threadedComment ref="EZ8" dT="2022-07-20T19:15:49.00" personId="{30B90AFB-D700-4715-946E-3F0F82132F1E}" id="{D31E8C5D-06AB-466B-AE26-8E6E4E49F062}">
    <text>AG-5924 MRR/MRA is not applicable for suppliers per AG-5924 paragraph 3. Applicability -  The MRA is only applicable to products manufactured at Honeywell locations.</text>
  </threadedComment>
</ThreadedComments>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Simplified%20IMS%20%26%20Inchstone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C8D8E-E5E2-4882-9088-647078EC0BDF}">
  <sheetPr codeName="Sheet1">
    <tabColor rgb="FFFFFF00"/>
  </sheetPr>
  <dimension ref="A1:G148"/>
  <sheetViews>
    <sheetView showGridLines="0" workbookViewId="0">
      <selection activeCell="A8" sqref="A8:F8"/>
    </sheetView>
  </sheetViews>
  <sheetFormatPr defaultRowHeight="14.5" outlineLevelRow="1" x14ac:dyDescent="0.35"/>
  <cols>
    <col min="1" max="1" width="26.453125" customWidth="1"/>
    <col min="2" max="2" width="50.81640625" customWidth="1"/>
    <col min="3" max="5" width="10.26953125" customWidth="1"/>
    <col min="6" max="6" width="11.26953125" customWidth="1"/>
  </cols>
  <sheetData>
    <row r="1" spans="1:6" x14ac:dyDescent="0.35">
      <c r="A1" s="171" t="s">
        <v>0</v>
      </c>
      <c r="B1" s="171"/>
      <c r="C1" s="171"/>
      <c r="D1" s="171"/>
      <c r="E1" s="171"/>
      <c r="F1" s="171"/>
    </row>
    <row r="2" spans="1:6" x14ac:dyDescent="0.35">
      <c r="D2" s="175" t="s">
        <v>1</v>
      </c>
      <c r="E2" s="175"/>
      <c r="F2" s="175"/>
    </row>
    <row r="3" spans="1:6" ht="14.5" customHeight="1" x14ac:dyDescent="0.35">
      <c r="A3" s="81" t="s">
        <v>2</v>
      </c>
      <c r="B3" s="82" t="s">
        <v>3</v>
      </c>
      <c r="D3" s="175"/>
      <c r="E3" s="175"/>
      <c r="F3" s="175"/>
    </row>
    <row r="4" spans="1:6" x14ac:dyDescent="0.35">
      <c r="A4" s="83" t="str" cm="1">
        <f t="array" ref="A4">_xlfn.IFS($B$3="","",$B$3="Supplier Name","Supplier Name",$B$3="Project Name","Project Name",$B$3="Project Manager","")</f>
        <v>Project Name</v>
      </c>
      <c r="B4" s="85" t="s">
        <v>4</v>
      </c>
      <c r="C4" s="84"/>
      <c r="D4" s="175"/>
      <c r="E4" s="175"/>
      <c r="F4" s="175"/>
    </row>
    <row r="5" spans="1:6" x14ac:dyDescent="0.35">
      <c r="A5" s="81" t="s">
        <v>5</v>
      </c>
      <c r="B5" s="82" t="s">
        <v>6</v>
      </c>
      <c r="C5" s="49"/>
      <c r="D5" s="175"/>
      <c r="E5" s="175"/>
      <c r="F5" s="175"/>
    </row>
    <row r="6" spans="1:6" ht="29" x14ac:dyDescent="0.35">
      <c r="A6" s="81" t="s">
        <v>7</v>
      </c>
      <c r="B6" s="82" t="s">
        <v>8</v>
      </c>
      <c r="C6" s="49"/>
      <c r="D6" s="175"/>
      <c r="E6" s="175"/>
      <c r="F6" s="175"/>
    </row>
    <row r="8" spans="1:6" x14ac:dyDescent="0.35">
      <c r="A8" s="173" t="s">
        <v>9</v>
      </c>
      <c r="B8" s="173"/>
      <c r="C8" s="173"/>
      <c r="D8" s="173"/>
      <c r="E8" s="173"/>
      <c r="F8" s="173"/>
    </row>
    <row r="9" spans="1:6" ht="75.650000000000006" customHeight="1" x14ac:dyDescent="0.35">
      <c r="A9" s="174" t="s">
        <v>10</v>
      </c>
      <c r="B9" s="174"/>
      <c r="C9" s="174"/>
      <c r="D9" s="174"/>
      <c r="E9" s="174"/>
      <c r="F9" s="174"/>
    </row>
    <row r="10" spans="1:6" ht="52.9" customHeight="1" x14ac:dyDescent="0.35">
      <c r="A10" s="174"/>
      <c r="B10" s="174"/>
      <c r="C10" s="174"/>
      <c r="D10" s="174"/>
      <c r="E10" s="174"/>
      <c r="F10" s="174"/>
    </row>
    <row r="11" spans="1:6" ht="22.9" customHeight="1" x14ac:dyDescent="0.35">
      <c r="A11" s="174"/>
      <c r="B11" s="174"/>
      <c r="C11" s="174"/>
      <c r="D11" s="174"/>
      <c r="E11" s="174"/>
      <c r="F11" s="174"/>
    </row>
    <row r="12" spans="1:6" ht="67.150000000000006" customHeight="1" x14ac:dyDescent="0.35">
      <c r="A12" s="174"/>
      <c r="B12" s="174"/>
      <c r="C12" s="174"/>
      <c r="D12" s="174"/>
      <c r="E12" s="174"/>
      <c r="F12" s="174"/>
    </row>
    <row r="13" spans="1:6" x14ac:dyDescent="0.35">
      <c r="A13" s="73" t="s">
        <v>11</v>
      </c>
      <c r="B13" s="71"/>
      <c r="C13" s="71"/>
      <c r="D13" s="71"/>
      <c r="E13" s="71"/>
      <c r="F13" s="71"/>
    </row>
    <row r="14" spans="1:6" x14ac:dyDescent="0.35">
      <c r="A14" s="74" t="s">
        <v>12</v>
      </c>
      <c r="B14" s="71"/>
      <c r="C14" s="71"/>
      <c r="D14" s="71"/>
      <c r="E14" s="71"/>
      <c r="F14" s="71"/>
    </row>
    <row r="15" spans="1:6" x14ac:dyDescent="0.35">
      <c r="A15" s="72" t="s">
        <v>13</v>
      </c>
      <c r="B15" s="16"/>
      <c r="C15" s="16"/>
      <c r="D15" s="16"/>
      <c r="E15" s="16"/>
      <c r="F15" s="16"/>
    </row>
    <row r="16" spans="1:6" x14ac:dyDescent="0.35">
      <c r="A16" s="93" t="s">
        <v>14</v>
      </c>
      <c r="B16" s="16"/>
      <c r="C16" s="16"/>
      <c r="D16" s="16"/>
      <c r="E16" s="16"/>
      <c r="F16" s="16"/>
    </row>
    <row r="18" spans="1:6" x14ac:dyDescent="0.35">
      <c r="A18" s="172" t="s">
        <v>15</v>
      </c>
      <c r="B18" s="172"/>
      <c r="C18" s="172"/>
      <c r="D18" s="172"/>
      <c r="E18" s="172"/>
      <c r="F18" s="172"/>
    </row>
    <row r="19" spans="1:6" x14ac:dyDescent="0.35">
      <c r="A19" s="97" t="s">
        <v>16</v>
      </c>
      <c r="B19" s="97" t="s">
        <v>17</v>
      </c>
      <c r="C19" s="184" t="s">
        <v>18</v>
      </c>
      <c r="D19" s="184"/>
      <c r="E19" s="184"/>
      <c r="F19" s="97"/>
    </row>
    <row r="20" spans="1:6" ht="42" customHeight="1" outlineLevel="1" x14ac:dyDescent="0.35">
      <c r="A20" s="66" t="s">
        <v>19</v>
      </c>
      <c r="B20" s="67" t="s">
        <v>20</v>
      </c>
      <c r="C20" s="177" t="s">
        <v>21</v>
      </c>
      <c r="D20" s="182"/>
      <c r="E20" s="183"/>
    </row>
    <row r="21" spans="1:6" ht="72.5" outlineLevel="1" x14ac:dyDescent="0.35">
      <c r="A21" s="68" t="s">
        <v>22</v>
      </c>
      <c r="B21" s="67" t="s">
        <v>23</v>
      </c>
      <c r="C21" s="176" t="s">
        <v>24</v>
      </c>
      <c r="D21" s="176"/>
      <c r="E21" s="176"/>
    </row>
    <row r="22" spans="1:6" ht="101.5" outlineLevel="1" x14ac:dyDescent="0.35">
      <c r="A22" s="69" t="s">
        <v>25</v>
      </c>
      <c r="B22" s="67" t="s">
        <v>26</v>
      </c>
      <c r="C22" s="177" t="s">
        <v>27</v>
      </c>
      <c r="D22" s="178"/>
      <c r="E22" s="179"/>
    </row>
    <row r="23" spans="1:6" ht="57.65" customHeight="1" outlineLevel="1" x14ac:dyDescent="0.35">
      <c r="A23" s="70" t="s">
        <v>28</v>
      </c>
      <c r="B23" s="67" t="s">
        <v>29</v>
      </c>
      <c r="C23" s="177" t="s">
        <v>30</v>
      </c>
      <c r="D23" s="180"/>
      <c r="E23" s="181"/>
    </row>
    <row r="25" spans="1:6" x14ac:dyDescent="0.35">
      <c r="A25" s="172" t="s">
        <v>31</v>
      </c>
      <c r="B25" s="172"/>
      <c r="C25" s="172"/>
      <c r="D25" s="172"/>
      <c r="E25" s="172"/>
      <c r="F25" s="172"/>
    </row>
    <row r="26" spans="1:6" hidden="1" outlineLevel="1" x14ac:dyDescent="0.35">
      <c r="A26" s="14" t="s">
        <v>32</v>
      </c>
      <c r="B26" s="14" t="s">
        <v>33</v>
      </c>
    </row>
    <row r="27" spans="1:6" hidden="1" outlineLevel="1" x14ac:dyDescent="0.35">
      <c r="A27" s="63" t="s">
        <v>34</v>
      </c>
      <c r="B27" s="62" t="s">
        <v>35</v>
      </c>
    </row>
    <row r="28" spans="1:6" hidden="1" outlineLevel="1" x14ac:dyDescent="0.35">
      <c r="A28" s="63" t="s">
        <v>36</v>
      </c>
      <c r="B28" s="62" t="s">
        <v>37</v>
      </c>
    </row>
    <row r="29" spans="1:6" hidden="1" outlineLevel="1" x14ac:dyDescent="0.35">
      <c r="A29" s="63" t="s">
        <v>38</v>
      </c>
      <c r="B29" s="62" t="s">
        <v>39</v>
      </c>
    </row>
    <row r="30" spans="1:6" hidden="1" outlineLevel="1" x14ac:dyDescent="0.35">
      <c r="A30" s="63" t="s">
        <v>40</v>
      </c>
      <c r="B30" s="62" t="s">
        <v>41</v>
      </c>
    </row>
    <row r="31" spans="1:6" hidden="1" outlineLevel="1" x14ac:dyDescent="0.35">
      <c r="A31" s="63" t="s">
        <v>42</v>
      </c>
      <c r="B31" s="62" t="s">
        <v>43</v>
      </c>
    </row>
    <row r="32" spans="1:6" hidden="1" outlineLevel="1" x14ac:dyDescent="0.35">
      <c r="A32" s="63" t="s">
        <v>44</v>
      </c>
      <c r="B32" s="62" t="s">
        <v>45</v>
      </c>
    </row>
    <row r="33" spans="1:2" hidden="1" outlineLevel="1" x14ac:dyDescent="0.35">
      <c r="A33" s="63" t="s">
        <v>46</v>
      </c>
      <c r="B33" s="62" t="s">
        <v>47</v>
      </c>
    </row>
    <row r="34" spans="1:2" hidden="1" outlineLevel="1" x14ac:dyDescent="0.35">
      <c r="A34" s="63" t="s">
        <v>48</v>
      </c>
      <c r="B34" s="62" t="s">
        <v>49</v>
      </c>
    </row>
    <row r="35" spans="1:2" hidden="1" outlineLevel="1" x14ac:dyDescent="0.35">
      <c r="A35" s="63" t="s">
        <v>50</v>
      </c>
      <c r="B35" s="62" t="s">
        <v>51</v>
      </c>
    </row>
    <row r="36" spans="1:2" hidden="1" outlineLevel="1" x14ac:dyDescent="0.35">
      <c r="A36" s="63" t="s">
        <v>52</v>
      </c>
      <c r="B36" s="62" t="s">
        <v>53</v>
      </c>
    </row>
    <row r="37" spans="1:2" hidden="1" outlineLevel="1" x14ac:dyDescent="0.35">
      <c r="A37" s="63" t="s">
        <v>54</v>
      </c>
      <c r="B37" s="62" t="s">
        <v>55</v>
      </c>
    </row>
    <row r="38" spans="1:2" hidden="1" outlineLevel="1" x14ac:dyDescent="0.35">
      <c r="A38" s="63" t="s">
        <v>56</v>
      </c>
      <c r="B38" s="62" t="s">
        <v>57</v>
      </c>
    </row>
    <row r="39" spans="1:2" hidden="1" outlineLevel="1" x14ac:dyDescent="0.35">
      <c r="A39" s="63" t="s">
        <v>58</v>
      </c>
      <c r="B39" s="62" t="s">
        <v>57</v>
      </c>
    </row>
    <row r="40" spans="1:2" hidden="1" outlineLevel="1" x14ac:dyDescent="0.35">
      <c r="A40" s="63" t="s">
        <v>59</v>
      </c>
      <c r="B40" s="62" t="s">
        <v>60</v>
      </c>
    </row>
    <row r="41" spans="1:2" hidden="1" outlineLevel="1" x14ac:dyDescent="0.35">
      <c r="A41" s="63" t="s">
        <v>61</v>
      </c>
      <c r="B41" s="62" t="s">
        <v>62</v>
      </c>
    </row>
    <row r="42" spans="1:2" hidden="1" outlineLevel="1" x14ac:dyDescent="0.35">
      <c r="A42" s="63" t="s">
        <v>63</v>
      </c>
      <c r="B42" s="62" t="s">
        <v>64</v>
      </c>
    </row>
    <row r="43" spans="1:2" hidden="1" outlineLevel="1" x14ac:dyDescent="0.35">
      <c r="A43" s="63" t="s">
        <v>65</v>
      </c>
      <c r="B43" s="62" t="s">
        <v>66</v>
      </c>
    </row>
    <row r="44" spans="1:2" hidden="1" outlineLevel="1" x14ac:dyDescent="0.35">
      <c r="A44" s="63" t="s">
        <v>67</v>
      </c>
      <c r="B44" s="62" t="s">
        <v>68</v>
      </c>
    </row>
    <row r="45" spans="1:2" hidden="1" outlineLevel="1" x14ac:dyDescent="0.35">
      <c r="A45" s="63" t="s">
        <v>69</v>
      </c>
      <c r="B45" s="62" t="s">
        <v>70</v>
      </c>
    </row>
    <row r="46" spans="1:2" hidden="1" outlineLevel="1" x14ac:dyDescent="0.35">
      <c r="A46" s="63" t="s">
        <v>71</v>
      </c>
      <c r="B46" s="62" t="s">
        <v>72</v>
      </c>
    </row>
    <row r="47" spans="1:2" hidden="1" outlineLevel="1" x14ac:dyDescent="0.35">
      <c r="A47" s="63" t="s">
        <v>73</v>
      </c>
      <c r="B47" s="62" t="s">
        <v>74</v>
      </c>
    </row>
    <row r="48" spans="1:2" hidden="1" outlineLevel="1" x14ac:dyDescent="0.35">
      <c r="A48" s="63" t="s">
        <v>75</v>
      </c>
      <c r="B48" s="62" t="s">
        <v>76</v>
      </c>
    </row>
    <row r="49" spans="1:2" hidden="1" outlineLevel="1" x14ac:dyDescent="0.35">
      <c r="A49" s="63" t="s">
        <v>77</v>
      </c>
      <c r="B49" s="62" t="s">
        <v>78</v>
      </c>
    </row>
    <row r="50" spans="1:2" hidden="1" outlineLevel="1" x14ac:dyDescent="0.35">
      <c r="A50" s="63" t="s">
        <v>79</v>
      </c>
      <c r="B50" s="62" t="s">
        <v>80</v>
      </c>
    </row>
    <row r="51" spans="1:2" hidden="1" outlineLevel="1" x14ac:dyDescent="0.35">
      <c r="A51" s="63" t="s">
        <v>81</v>
      </c>
      <c r="B51" s="62" t="s">
        <v>82</v>
      </c>
    </row>
    <row r="52" spans="1:2" hidden="1" outlineLevel="1" x14ac:dyDescent="0.35">
      <c r="A52" s="63" t="s">
        <v>83</v>
      </c>
      <c r="B52" s="62" t="s">
        <v>84</v>
      </c>
    </row>
    <row r="53" spans="1:2" hidden="1" outlineLevel="1" x14ac:dyDescent="0.35">
      <c r="A53" s="63" t="s">
        <v>85</v>
      </c>
      <c r="B53" s="62" t="s">
        <v>86</v>
      </c>
    </row>
    <row r="54" spans="1:2" hidden="1" outlineLevel="1" x14ac:dyDescent="0.35">
      <c r="A54" s="63" t="s">
        <v>87</v>
      </c>
      <c r="B54" s="62" t="s">
        <v>88</v>
      </c>
    </row>
    <row r="55" spans="1:2" hidden="1" outlineLevel="1" x14ac:dyDescent="0.35">
      <c r="A55" s="64" t="s">
        <v>89</v>
      </c>
      <c r="B55" s="62" t="s">
        <v>90</v>
      </c>
    </row>
    <row r="56" spans="1:2" hidden="1" outlineLevel="1" x14ac:dyDescent="0.35">
      <c r="A56" s="63" t="s">
        <v>91</v>
      </c>
      <c r="B56" s="62" t="s">
        <v>92</v>
      </c>
    </row>
    <row r="57" spans="1:2" hidden="1" outlineLevel="1" x14ac:dyDescent="0.35">
      <c r="A57" s="63" t="s">
        <v>93</v>
      </c>
      <c r="B57" s="62" t="s">
        <v>94</v>
      </c>
    </row>
    <row r="58" spans="1:2" hidden="1" outlineLevel="1" x14ac:dyDescent="0.35">
      <c r="A58" s="63" t="s">
        <v>95</v>
      </c>
      <c r="B58" s="62" t="s">
        <v>96</v>
      </c>
    </row>
    <row r="59" spans="1:2" hidden="1" outlineLevel="1" x14ac:dyDescent="0.35">
      <c r="A59" s="63" t="s">
        <v>97</v>
      </c>
      <c r="B59" s="62" t="s">
        <v>98</v>
      </c>
    </row>
    <row r="60" spans="1:2" hidden="1" outlineLevel="1" x14ac:dyDescent="0.35">
      <c r="A60" s="63" t="s">
        <v>99</v>
      </c>
      <c r="B60" s="62" t="s">
        <v>100</v>
      </c>
    </row>
    <row r="61" spans="1:2" hidden="1" outlineLevel="1" x14ac:dyDescent="0.35">
      <c r="A61" s="63" t="s">
        <v>101</v>
      </c>
      <c r="B61" s="62" t="s">
        <v>102</v>
      </c>
    </row>
    <row r="62" spans="1:2" hidden="1" outlineLevel="1" x14ac:dyDescent="0.35">
      <c r="A62" s="63" t="s">
        <v>103</v>
      </c>
      <c r="B62" s="62" t="s">
        <v>104</v>
      </c>
    </row>
    <row r="63" spans="1:2" hidden="1" outlineLevel="1" x14ac:dyDescent="0.35">
      <c r="A63" s="63" t="s">
        <v>105</v>
      </c>
      <c r="B63" s="62" t="s">
        <v>106</v>
      </c>
    </row>
    <row r="64" spans="1:2" hidden="1" outlineLevel="1" x14ac:dyDescent="0.35">
      <c r="A64" s="63" t="s">
        <v>107</v>
      </c>
      <c r="B64" s="62" t="s">
        <v>108</v>
      </c>
    </row>
    <row r="65" spans="1:7" hidden="1" outlineLevel="1" x14ac:dyDescent="0.35">
      <c r="A65" s="63" t="s">
        <v>109</v>
      </c>
      <c r="B65" s="62" t="s">
        <v>110</v>
      </c>
    </row>
    <row r="66" spans="1:7" hidden="1" outlineLevel="1" x14ac:dyDescent="0.35">
      <c r="A66" s="63" t="s">
        <v>111</v>
      </c>
      <c r="B66" s="62" t="s">
        <v>112</v>
      </c>
    </row>
    <row r="67" spans="1:7" hidden="1" outlineLevel="1" x14ac:dyDescent="0.35">
      <c r="A67" s="63" t="s">
        <v>113</v>
      </c>
      <c r="B67" s="62" t="s">
        <v>114</v>
      </c>
    </row>
    <row r="68" spans="1:7" hidden="1" outlineLevel="1" x14ac:dyDescent="0.35">
      <c r="A68" s="63" t="s">
        <v>115</v>
      </c>
      <c r="B68" s="62" t="s">
        <v>116</v>
      </c>
    </row>
    <row r="69" spans="1:7" hidden="1" outlineLevel="1" x14ac:dyDescent="0.35">
      <c r="A69" s="63" t="s">
        <v>117</v>
      </c>
      <c r="B69" s="62" t="s">
        <v>118</v>
      </c>
    </row>
    <row r="70" spans="1:7" hidden="1" outlineLevel="1" x14ac:dyDescent="0.35">
      <c r="A70" s="63" t="s">
        <v>119</v>
      </c>
      <c r="B70" s="62" t="s">
        <v>120</v>
      </c>
    </row>
    <row r="71" spans="1:7" hidden="1" outlineLevel="1" x14ac:dyDescent="0.35">
      <c r="A71" s="63" t="s">
        <v>121</v>
      </c>
      <c r="B71" s="62" t="s">
        <v>122</v>
      </c>
    </row>
    <row r="72" spans="1:7" hidden="1" outlineLevel="1" x14ac:dyDescent="0.35">
      <c r="A72" s="63"/>
      <c r="B72" s="63"/>
    </row>
    <row r="73" spans="1:7" collapsed="1" x14ac:dyDescent="0.35"/>
    <row r="75" spans="1:7" x14ac:dyDescent="0.35">
      <c r="A75" s="172" t="s">
        <v>123</v>
      </c>
      <c r="B75" s="172"/>
      <c r="C75" s="172"/>
      <c r="D75" s="172"/>
      <c r="E75" s="172"/>
      <c r="F75" s="172"/>
    </row>
    <row r="76" spans="1:7" ht="43.5" hidden="1" outlineLevel="1" x14ac:dyDescent="0.35">
      <c r="A76" s="14" t="s">
        <v>124</v>
      </c>
      <c r="B76" s="14"/>
      <c r="C76" s="15" t="s">
        <v>125</v>
      </c>
      <c r="D76" s="15" t="s">
        <v>126</v>
      </c>
      <c r="E76" s="15" t="s">
        <v>127</v>
      </c>
      <c r="F76" s="15" t="s">
        <v>128</v>
      </c>
      <c r="G76" s="15" t="s">
        <v>129</v>
      </c>
    </row>
    <row r="77" spans="1:7" hidden="1" outlineLevel="1" x14ac:dyDescent="0.35">
      <c r="A77" s="169" t="s">
        <v>130</v>
      </c>
      <c r="B77" s="169"/>
      <c r="C77" s="7">
        <v>1</v>
      </c>
      <c r="D77" s="7">
        <v>1</v>
      </c>
      <c r="E77" s="7">
        <v>1</v>
      </c>
      <c r="F77" s="7">
        <v>1</v>
      </c>
      <c r="G77" s="7">
        <v>1</v>
      </c>
    </row>
    <row r="78" spans="1:7" hidden="1" outlineLevel="1" x14ac:dyDescent="0.35">
      <c r="A78" s="169" t="s">
        <v>131</v>
      </c>
      <c r="B78" s="169"/>
      <c r="C78" s="7">
        <v>1</v>
      </c>
      <c r="D78" s="7">
        <v>1</v>
      </c>
      <c r="E78" s="7">
        <v>1</v>
      </c>
      <c r="F78" s="7">
        <v>1</v>
      </c>
      <c r="G78" s="7">
        <v>1</v>
      </c>
    </row>
    <row r="79" spans="1:7" hidden="1" outlineLevel="1" x14ac:dyDescent="0.35">
      <c r="A79" s="169" t="s">
        <v>132</v>
      </c>
      <c r="B79" s="169"/>
      <c r="C79" s="7">
        <v>15</v>
      </c>
      <c r="D79" s="7">
        <v>15</v>
      </c>
      <c r="E79" s="7">
        <v>15</v>
      </c>
      <c r="F79" s="7">
        <v>15</v>
      </c>
      <c r="G79" s="7">
        <v>15</v>
      </c>
    </row>
    <row r="80" spans="1:7" hidden="1" outlineLevel="1" x14ac:dyDescent="0.35">
      <c r="A80" s="169" t="s">
        <v>133</v>
      </c>
      <c r="B80" s="169"/>
      <c r="C80" s="7">
        <v>25</v>
      </c>
      <c r="D80" s="7">
        <v>25</v>
      </c>
      <c r="E80" s="7">
        <v>0</v>
      </c>
      <c r="F80" s="7">
        <v>25</v>
      </c>
      <c r="G80" s="7">
        <v>25</v>
      </c>
    </row>
    <row r="81" spans="1:7" hidden="1" outlineLevel="1" x14ac:dyDescent="0.35">
      <c r="A81" s="169" t="s">
        <v>134</v>
      </c>
      <c r="B81" s="169"/>
      <c r="C81" s="8">
        <v>0</v>
      </c>
      <c r="D81" s="8">
        <v>0</v>
      </c>
      <c r="E81" s="7">
        <v>30</v>
      </c>
      <c r="F81" s="8">
        <v>0</v>
      </c>
      <c r="G81" s="8">
        <v>0</v>
      </c>
    </row>
    <row r="82" spans="1:7" hidden="1" outlineLevel="1" x14ac:dyDescent="0.35">
      <c r="A82" s="169" t="s">
        <v>135</v>
      </c>
      <c r="B82" s="169"/>
      <c r="C82" s="7">
        <v>3</v>
      </c>
      <c r="D82" s="7">
        <v>3</v>
      </c>
      <c r="E82" s="7">
        <v>3</v>
      </c>
      <c r="F82" s="7">
        <v>3</v>
      </c>
      <c r="G82" s="7">
        <v>3</v>
      </c>
    </row>
    <row r="83" spans="1:7" hidden="1" outlineLevel="1" x14ac:dyDescent="0.35">
      <c r="A83" s="169" t="s">
        <v>136</v>
      </c>
      <c r="B83" s="169"/>
      <c r="C83" s="7">
        <v>120</v>
      </c>
      <c r="D83" s="7">
        <v>120</v>
      </c>
      <c r="E83" s="8">
        <v>0</v>
      </c>
      <c r="F83" s="7">
        <v>120</v>
      </c>
      <c r="G83" s="8">
        <v>0</v>
      </c>
    </row>
    <row r="84" spans="1:7" hidden="1" outlineLevel="1" x14ac:dyDescent="0.35">
      <c r="A84" s="169" t="s">
        <v>137</v>
      </c>
      <c r="B84" s="169"/>
      <c r="C84" s="7">
        <v>60</v>
      </c>
      <c r="D84" s="7">
        <v>60</v>
      </c>
      <c r="E84" s="7">
        <v>60</v>
      </c>
      <c r="F84" s="7">
        <v>60</v>
      </c>
      <c r="G84" s="7">
        <v>60</v>
      </c>
    </row>
    <row r="85" spans="1:7" hidden="1" outlineLevel="1" x14ac:dyDescent="0.35">
      <c r="A85" s="169" t="s">
        <v>138</v>
      </c>
      <c r="B85" s="169"/>
      <c r="C85" s="7">
        <v>10</v>
      </c>
      <c r="D85" s="7">
        <v>10</v>
      </c>
      <c r="E85" s="7">
        <v>10</v>
      </c>
      <c r="F85" s="7">
        <v>10</v>
      </c>
      <c r="G85" s="7">
        <v>10</v>
      </c>
    </row>
    <row r="86" spans="1:7" hidden="1" outlineLevel="1" x14ac:dyDescent="0.35">
      <c r="A86" s="169" t="s">
        <v>139</v>
      </c>
      <c r="B86" s="169"/>
      <c r="C86" s="7">
        <v>5</v>
      </c>
      <c r="D86" s="7">
        <v>5</v>
      </c>
      <c r="E86" s="7">
        <v>5</v>
      </c>
      <c r="F86" s="7">
        <v>5</v>
      </c>
      <c r="G86" s="7">
        <v>5</v>
      </c>
    </row>
    <row r="87" spans="1:7" hidden="1" outlineLevel="1" x14ac:dyDescent="0.35">
      <c r="A87" s="169" t="s">
        <v>140</v>
      </c>
      <c r="B87" s="169"/>
      <c r="C87" s="7">
        <v>10</v>
      </c>
      <c r="D87" s="7">
        <v>10</v>
      </c>
      <c r="E87" s="8">
        <v>0</v>
      </c>
      <c r="F87" s="7">
        <v>10</v>
      </c>
      <c r="G87" s="7">
        <v>10</v>
      </c>
    </row>
    <row r="88" spans="1:7" hidden="1" outlineLevel="1" x14ac:dyDescent="0.35">
      <c r="A88" s="169" t="s">
        <v>141</v>
      </c>
      <c r="B88" s="169"/>
      <c r="C88" s="7">
        <v>5</v>
      </c>
      <c r="D88" s="7">
        <v>5</v>
      </c>
      <c r="E88" s="8">
        <v>0</v>
      </c>
      <c r="F88" s="7">
        <v>5</v>
      </c>
      <c r="G88" s="7">
        <v>5</v>
      </c>
    </row>
    <row r="89" spans="1:7" hidden="1" outlineLevel="1" x14ac:dyDescent="0.35">
      <c r="A89" s="169" t="s">
        <v>142</v>
      </c>
      <c r="B89" s="169"/>
      <c r="C89" s="7">
        <v>5</v>
      </c>
      <c r="D89" s="7">
        <v>5</v>
      </c>
      <c r="E89" s="7">
        <v>5</v>
      </c>
      <c r="F89" s="7">
        <v>5</v>
      </c>
      <c r="G89" s="7">
        <v>5</v>
      </c>
    </row>
    <row r="90" spans="1:7" hidden="1" outlineLevel="1" x14ac:dyDescent="0.35">
      <c r="A90" s="169" t="s">
        <v>143</v>
      </c>
      <c r="B90" s="169"/>
      <c r="C90" s="7">
        <v>10</v>
      </c>
      <c r="D90" s="7">
        <v>10</v>
      </c>
      <c r="E90" s="7">
        <v>10</v>
      </c>
      <c r="F90" s="7">
        <v>10</v>
      </c>
      <c r="G90" s="7">
        <v>10</v>
      </c>
    </row>
    <row r="91" spans="1:7" hidden="1" outlineLevel="1" x14ac:dyDescent="0.35">
      <c r="A91" s="169" t="s">
        <v>144</v>
      </c>
      <c r="B91" s="169"/>
      <c r="C91" s="7">
        <v>10</v>
      </c>
      <c r="D91" s="7">
        <v>10</v>
      </c>
      <c r="E91" s="7">
        <v>10</v>
      </c>
      <c r="F91" s="7">
        <v>10</v>
      </c>
      <c r="G91" s="7">
        <v>10</v>
      </c>
    </row>
    <row r="92" spans="1:7" hidden="1" outlineLevel="1" x14ac:dyDescent="0.35">
      <c r="A92" s="169" t="s">
        <v>145</v>
      </c>
      <c r="B92" s="169"/>
      <c r="C92" s="7">
        <v>0</v>
      </c>
      <c r="D92" s="7">
        <v>0</v>
      </c>
      <c r="E92" s="7">
        <v>30</v>
      </c>
      <c r="F92" s="7">
        <v>0</v>
      </c>
      <c r="G92" s="7">
        <v>0</v>
      </c>
    </row>
    <row r="93" spans="1:7" hidden="1" outlineLevel="1" x14ac:dyDescent="0.35">
      <c r="A93" s="169" t="s">
        <v>146</v>
      </c>
      <c r="B93" s="169"/>
      <c r="C93" s="7">
        <v>5</v>
      </c>
      <c r="D93" s="7">
        <v>5</v>
      </c>
      <c r="E93" s="7">
        <v>5</v>
      </c>
      <c r="F93" s="7">
        <v>5</v>
      </c>
      <c r="G93" s="7">
        <v>5</v>
      </c>
    </row>
    <row r="94" spans="1:7" hidden="1" outlineLevel="1" x14ac:dyDescent="0.35">
      <c r="A94" s="169" t="s">
        <v>147</v>
      </c>
      <c r="B94" s="169"/>
      <c r="C94" s="7">
        <v>20</v>
      </c>
      <c r="D94" s="7">
        <v>20</v>
      </c>
      <c r="E94" s="7">
        <v>20</v>
      </c>
      <c r="F94" s="7">
        <v>20</v>
      </c>
      <c r="G94" s="7">
        <v>20</v>
      </c>
    </row>
    <row r="95" spans="1:7" hidden="1" outlineLevel="1" x14ac:dyDescent="0.35">
      <c r="A95" s="169" t="s">
        <v>148</v>
      </c>
      <c r="B95" s="169"/>
      <c r="C95" s="7">
        <v>0</v>
      </c>
      <c r="D95" s="7">
        <v>0</v>
      </c>
      <c r="E95" s="7">
        <v>0</v>
      </c>
      <c r="F95" s="7">
        <v>0</v>
      </c>
      <c r="G95" s="7">
        <v>0</v>
      </c>
    </row>
    <row r="96" spans="1:7" hidden="1" outlineLevel="1" x14ac:dyDescent="0.35">
      <c r="A96" s="169" t="s">
        <v>149</v>
      </c>
      <c r="B96" s="169"/>
      <c r="C96" s="7">
        <v>5</v>
      </c>
      <c r="D96" s="7">
        <v>5</v>
      </c>
      <c r="E96" s="7">
        <v>5</v>
      </c>
      <c r="F96" s="7">
        <v>5</v>
      </c>
      <c r="G96" s="7">
        <v>5</v>
      </c>
    </row>
    <row r="97" spans="1:7" hidden="1" outlineLevel="1" x14ac:dyDescent="0.35">
      <c r="A97" s="170" t="s">
        <v>150</v>
      </c>
      <c r="B97" s="170"/>
      <c r="C97" s="7">
        <v>10</v>
      </c>
      <c r="D97" s="7">
        <v>10</v>
      </c>
      <c r="E97" s="7">
        <v>20</v>
      </c>
      <c r="F97" s="7">
        <v>10</v>
      </c>
      <c r="G97" s="7">
        <v>10</v>
      </c>
    </row>
    <row r="98" spans="1:7" hidden="1" outlineLevel="1" x14ac:dyDescent="0.35">
      <c r="A98" s="169" t="s">
        <v>151</v>
      </c>
      <c r="B98" s="169"/>
      <c r="C98" s="7">
        <v>5</v>
      </c>
      <c r="D98" s="7">
        <v>5</v>
      </c>
      <c r="E98" s="7">
        <v>5</v>
      </c>
      <c r="F98" s="7">
        <v>5</v>
      </c>
      <c r="G98" s="7">
        <v>5</v>
      </c>
    </row>
    <row r="99" spans="1:7" hidden="1" outlineLevel="1" x14ac:dyDescent="0.35">
      <c r="A99" s="169" t="s">
        <v>152</v>
      </c>
      <c r="B99" s="169"/>
      <c r="C99" s="7">
        <v>5</v>
      </c>
      <c r="D99" s="7">
        <v>5</v>
      </c>
      <c r="E99" s="7">
        <v>5</v>
      </c>
      <c r="F99" s="7">
        <v>5</v>
      </c>
      <c r="G99" s="7">
        <v>5</v>
      </c>
    </row>
    <row r="100" spans="1:7" hidden="1" outlineLevel="1" x14ac:dyDescent="0.35">
      <c r="A100" s="169" t="s">
        <v>153</v>
      </c>
      <c r="B100" s="169"/>
      <c r="C100" s="7">
        <v>10</v>
      </c>
      <c r="D100" s="7">
        <v>10</v>
      </c>
      <c r="E100" s="7">
        <v>10</v>
      </c>
      <c r="F100" s="7">
        <v>10</v>
      </c>
      <c r="G100" s="7">
        <v>10</v>
      </c>
    </row>
    <row r="101" spans="1:7" hidden="1" outlineLevel="1" x14ac:dyDescent="0.35">
      <c r="A101" s="169" t="s">
        <v>154</v>
      </c>
      <c r="B101" s="169"/>
      <c r="C101" s="7">
        <v>5</v>
      </c>
      <c r="D101" s="7">
        <v>5</v>
      </c>
      <c r="E101" s="7">
        <v>5</v>
      </c>
      <c r="F101" s="7">
        <v>5</v>
      </c>
      <c r="G101" s="7">
        <v>5</v>
      </c>
    </row>
    <row r="102" spans="1:7" hidden="1" outlineLevel="1" x14ac:dyDescent="0.35">
      <c r="A102" s="169" t="s">
        <v>155</v>
      </c>
      <c r="B102" s="169"/>
      <c r="C102" s="7">
        <v>90</v>
      </c>
      <c r="D102" s="7">
        <v>90</v>
      </c>
      <c r="E102" s="7">
        <v>90</v>
      </c>
      <c r="F102" s="7">
        <v>90</v>
      </c>
      <c r="G102" s="7">
        <v>90</v>
      </c>
    </row>
    <row r="103" spans="1:7" hidden="1" outlineLevel="1" x14ac:dyDescent="0.35">
      <c r="A103" s="169" t="s">
        <v>156</v>
      </c>
      <c r="B103" s="169"/>
      <c r="C103" s="7">
        <v>3</v>
      </c>
      <c r="D103" s="7">
        <v>3</v>
      </c>
      <c r="E103" s="7">
        <v>3</v>
      </c>
      <c r="F103" s="7">
        <v>3</v>
      </c>
      <c r="G103" s="7">
        <v>3</v>
      </c>
    </row>
    <row r="104" spans="1:7" hidden="1" outlineLevel="1" x14ac:dyDescent="0.35">
      <c r="A104" s="169" t="s">
        <v>157</v>
      </c>
      <c r="B104" s="169"/>
      <c r="C104" s="7">
        <v>5</v>
      </c>
      <c r="D104" s="7">
        <v>5</v>
      </c>
      <c r="E104" s="7">
        <v>5</v>
      </c>
      <c r="F104" s="7">
        <v>5</v>
      </c>
      <c r="G104" s="7">
        <v>5</v>
      </c>
    </row>
    <row r="105" spans="1:7" hidden="1" outlineLevel="1" x14ac:dyDescent="0.35">
      <c r="A105" s="169" t="s">
        <v>158</v>
      </c>
      <c r="B105" s="169"/>
      <c r="C105" s="7">
        <v>5</v>
      </c>
      <c r="D105" s="7">
        <v>5</v>
      </c>
      <c r="E105" s="7">
        <v>0</v>
      </c>
      <c r="F105" s="7">
        <v>5</v>
      </c>
      <c r="G105" s="7">
        <v>5</v>
      </c>
    </row>
    <row r="106" spans="1:7" hidden="1" outlineLevel="1" x14ac:dyDescent="0.35">
      <c r="A106" s="169" t="s">
        <v>159</v>
      </c>
      <c r="B106" s="169"/>
      <c r="C106" s="7">
        <v>5</v>
      </c>
      <c r="D106" s="7">
        <v>5</v>
      </c>
      <c r="E106" s="7">
        <v>0</v>
      </c>
      <c r="F106" s="7">
        <v>5</v>
      </c>
      <c r="G106" s="7">
        <v>5</v>
      </c>
    </row>
    <row r="107" spans="1:7" hidden="1" outlineLevel="1" x14ac:dyDescent="0.35">
      <c r="A107" s="169" t="s">
        <v>160</v>
      </c>
      <c r="B107" s="169"/>
      <c r="C107" s="7">
        <v>3</v>
      </c>
      <c r="D107" s="7">
        <v>3</v>
      </c>
      <c r="E107" s="7">
        <v>3</v>
      </c>
      <c r="F107" s="7">
        <v>3</v>
      </c>
      <c r="G107" s="7">
        <v>3</v>
      </c>
    </row>
    <row r="108" spans="1:7" hidden="1" outlineLevel="1" x14ac:dyDescent="0.35">
      <c r="A108" s="170" t="s">
        <v>161</v>
      </c>
      <c r="B108" s="170"/>
      <c r="C108" s="7">
        <v>40</v>
      </c>
      <c r="D108" s="7">
        <v>40</v>
      </c>
      <c r="E108" s="7">
        <v>40</v>
      </c>
      <c r="F108" s="7">
        <v>40</v>
      </c>
      <c r="G108" s="7">
        <v>40</v>
      </c>
    </row>
    <row r="109" spans="1:7" hidden="1" outlineLevel="1" x14ac:dyDescent="0.35">
      <c r="A109" s="169" t="s">
        <v>162</v>
      </c>
      <c r="B109" s="169"/>
      <c r="C109" s="7">
        <v>3</v>
      </c>
      <c r="D109" s="7">
        <v>3</v>
      </c>
      <c r="E109" s="7">
        <v>3</v>
      </c>
      <c r="F109" s="7">
        <v>3</v>
      </c>
      <c r="G109" s="7">
        <v>3</v>
      </c>
    </row>
    <row r="110" spans="1:7" hidden="1" outlineLevel="1" x14ac:dyDescent="0.35">
      <c r="A110" s="169" t="s">
        <v>163</v>
      </c>
      <c r="B110" s="169"/>
      <c r="C110" s="7">
        <v>3</v>
      </c>
      <c r="D110" s="7">
        <v>3</v>
      </c>
      <c r="E110" s="7">
        <v>3</v>
      </c>
      <c r="F110" s="7">
        <v>3</v>
      </c>
      <c r="G110" s="7">
        <v>3</v>
      </c>
    </row>
    <row r="111" spans="1:7" hidden="1" outlineLevel="1" x14ac:dyDescent="0.35">
      <c r="A111" s="169" t="s">
        <v>164</v>
      </c>
      <c r="B111" s="169"/>
      <c r="C111" s="7">
        <v>0</v>
      </c>
      <c r="D111" s="7">
        <v>0</v>
      </c>
      <c r="E111" s="7">
        <v>20</v>
      </c>
      <c r="F111" s="7">
        <v>0</v>
      </c>
      <c r="G111" s="7">
        <v>0</v>
      </c>
    </row>
    <row r="112" spans="1:7" hidden="1" outlineLevel="1" x14ac:dyDescent="0.35">
      <c r="A112" s="169" t="s">
        <v>165</v>
      </c>
      <c r="B112" s="169"/>
      <c r="C112" s="7">
        <v>0</v>
      </c>
      <c r="D112" s="7">
        <v>0</v>
      </c>
      <c r="E112" s="7">
        <v>30</v>
      </c>
      <c r="F112" s="7">
        <v>0</v>
      </c>
      <c r="G112" s="7">
        <v>0</v>
      </c>
    </row>
    <row r="113" spans="1:7" hidden="1" outlineLevel="1" x14ac:dyDescent="0.35">
      <c r="A113" s="169" t="s">
        <v>166</v>
      </c>
      <c r="B113" s="169"/>
      <c r="C113" s="7">
        <v>0</v>
      </c>
      <c r="D113" s="7">
        <v>0</v>
      </c>
      <c r="E113" s="7">
        <v>60</v>
      </c>
      <c r="F113" s="7">
        <v>0</v>
      </c>
      <c r="G113" s="7">
        <v>0</v>
      </c>
    </row>
    <row r="114" spans="1:7" hidden="1" outlineLevel="1" x14ac:dyDescent="0.35">
      <c r="A114" s="169" t="s">
        <v>167</v>
      </c>
      <c r="B114" s="169"/>
      <c r="C114" s="7">
        <v>0</v>
      </c>
      <c r="D114" s="7">
        <v>0</v>
      </c>
      <c r="E114" s="7">
        <v>60</v>
      </c>
      <c r="F114" s="7">
        <v>0</v>
      </c>
      <c r="G114" s="7">
        <v>0</v>
      </c>
    </row>
    <row r="115" spans="1:7" hidden="1" outlineLevel="1" x14ac:dyDescent="0.35">
      <c r="A115" s="170" t="s">
        <v>168</v>
      </c>
      <c r="B115" s="170"/>
      <c r="C115" s="7">
        <v>15</v>
      </c>
      <c r="D115" s="7">
        <v>0</v>
      </c>
      <c r="E115" s="7">
        <v>0</v>
      </c>
      <c r="F115" s="7">
        <v>0</v>
      </c>
      <c r="G115" s="7">
        <v>0</v>
      </c>
    </row>
    <row r="116" spans="1:7" hidden="1" outlineLevel="1" x14ac:dyDescent="0.35">
      <c r="A116" s="169" t="s">
        <v>169</v>
      </c>
      <c r="B116" s="169"/>
      <c r="C116" s="7">
        <v>0</v>
      </c>
      <c r="D116" s="7">
        <v>0</v>
      </c>
      <c r="E116" s="7">
        <v>30</v>
      </c>
      <c r="F116" s="7">
        <v>0</v>
      </c>
      <c r="G116" s="7">
        <v>0</v>
      </c>
    </row>
    <row r="117" spans="1:7" hidden="1" outlineLevel="1" x14ac:dyDescent="0.35">
      <c r="A117" s="169" t="s">
        <v>170</v>
      </c>
      <c r="B117" s="169"/>
      <c r="C117" s="7">
        <v>30</v>
      </c>
      <c r="D117" s="7">
        <v>30</v>
      </c>
      <c r="E117" s="8">
        <v>0</v>
      </c>
      <c r="F117" s="7">
        <v>30</v>
      </c>
      <c r="G117" s="7">
        <v>30</v>
      </c>
    </row>
    <row r="118" spans="1:7" hidden="1" outlineLevel="1" x14ac:dyDescent="0.35">
      <c r="A118" s="169" t="s">
        <v>171</v>
      </c>
      <c r="B118" s="169"/>
      <c r="C118" s="7">
        <v>30</v>
      </c>
      <c r="D118" s="7">
        <v>30</v>
      </c>
      <c r="E118" s="7">
        <v>30</v>
      </c>
      <c r="F118" s="7">
        <v>30</v>
      </c>
      <c r="G118" s="7">
        <v>30</v>
      </c>
    </row>
    <row r="119" spans="1:7" hidden="1" outlineLevel="1" x14ac:dyDescent="0.35">
      <c r="A119" s="169" t="s">
        <v>172</v>
      </c>
      <c r="B119" s="169"/>
      <c r="C119" s="7">
        <v>5</v>
      </c>
      <c r="D119" s="7">
        <v>5</v>
      </c>
      <c r="E119" s="7">
        <v>5</v>
      </c>
      <c r="F119" s="7">
        <v>5</v>
      </c>
      <c r="G119" s="7">
        <v>5</v>
      </c>
    </row>
    <row r="120" spans="1:7" hidden="1" outlineLevel="1" x14ac:dyDescent="0.35">
      <c r="A120" s="169" t="s">
        <v>173</v>
      </c>
      <c r="B120" s="169"/>
      <c r="C120" s="7">
        <v>30</v>
      </c>
      <c r="D120" s="7">
        <v>30</v>
      </c>
      <c r="E120" s="8">
        <v>0</v>
      </c>
      <c r="F120" s="7">
        <v>30</v>
      </c>
      <c r="G120" s="7">
        <v>30</v>
      </c>
    </row>
    <row r="121" spans="1:7" hidden="1" outlineLevel="1" x14ac:dyDescent="0.35">
      <c r="A121" s="169" t="s">
        <v>174</v>
      </c>
      <c r="B121" s="169"/>
      <c r="C121" s="7">
        <v>80</v>
      </c>
      <c r="D121" s="7">
        <v>60</v>
      </c>
      <c r="E121" s="7">
        <v>120</v>
      </c>
      <c r="F121" s="7">
        <v>60</v>
      </c>
      <c r="G121" s="7">
        <v>60</v>
      </c>
    </row>
    <row r="122" spans="1:7" hidden="1" outlineLevel="1" x14ac:dyDescent="0.35">
      <c r="A122" s="169" t="s">
        <v>175</v>
      </c>
      <c r="B122" s="169"/>
      <c r="C122" s="7">
        <v>90</v>
      </c>
      <c r="D122" s="8">
        <v>0</v>
      </c>
      <c r="E122" s="7">
        <v>0</v>
      </c>
      <c r="F122" s="8">
        <v>0</v>
      </c>
      <c r="G122" s="7">
        <v>0</v>
      </c>
    </row>
    <row r="123" spans="1:7" hidden="1" outlineLevel="1" x14ac:dyDescent="0.35">
      <c r="A123" s="169" t="s">
        <v>176</v>
      </c>
      <c r="B123" s="169"/>
      <c r="C123" s="7">
        <v>20</v>
      </c>
      <c r="D123" s="7">
        <v>20</v>
      </c>
      <c r="E123" s="7">
        <v>0</v>
      </c>
      <c r="F123" s="7">
        <v>20</v>
      </c>
      <c r="G123" s="7">
        <v>20</v>
      </c>
    </row>
    <row r="124" spans="1:7" hidden="1" outlineLevel="1" x14ac:dyDescent="0.35">
      <c r="A124" s="169" t="s">
        <v>177</v>
      </c>
      <c r="B124" s="169"/>
      <c r="C124" s="7">
        <v>30</v>
      </c>
      <c r="D124" s="7">
        <v>30</v>
      </c>
      <c r="E124" s="7">
        <v>0</v>
      </c>
      <c r="F124" s="7">
        <v>30</v>
      </c>
      <c r="G124" s="7">
        <v>30</v>
      </c>
    </row>
    <row r="125" spans="1:7" hidden="1" outlineLevel="1" x14ac:dyDescent="0.35">
      <c r="A125" s="169" t="s">
        <v>178</v>
      </c>
      <c r="B125" s="169"/>
      <c r="C125" s="7">
        <v>30</v>
      </c>
      <c r="D125" s="7">
        <v>30</v>
      </c>
      <c r="E125" s="7">
        <v>30</v>
      </c>
      <c r="F125" s="7">
        <v>30</v>
      </c>
      <c r="G125" s="7">
        <v>30</v>
      </c>
    </row>
    <row r="126" spans="1:7" hidden="1" outlineLevel="1" x14ac:dyDescent="0.35">
      <c r="A126" s="169" t="s">
        <v>179</v>
      </c>
      <c r="B126" s="169"/>
      <c r="C126" s="7">
        <v>5</v>
      </c>
      <c r="D126" s="7">
        <v>5</v>
      </c>
      <c r="E126" s="7">
        <v>5</v>
      </c>
      <c r="F126" s="7">
        <v>5</v>
      </c>
      <c r="G126" s="7">
        <v>5</v>
      </c>
    </row>
    <row r="127" spans="1:7" hidden="1" outlineLevel="1" x14ac:dyDescent="0.35">
      <c r="A127" s="169" t="s">
        <v>180</v>
      </c>
      <c r="B127" s="169"/>
      <c r="C127" s="8">
        <v>0</v>
      </c>
      <c r="D127" s="8">
        <v>0</v>
      </c>
      <c r="E127" s="7">
        <v>5</v>
      </c>
      <c r="F127" s="8">
        <v>0</v>
      </c>
      <c r="G127" s="8">
        <v>0</v>
      </c>
    </row>
    <row r="128" spans="1:7" hidden="1" outlineLevel="1" x14ac:dyDescent="0.35">
      <c r="A128" s="169" t="s">
        <v>181</v>
      </c>
      <c r="B128" s="169"/>
      <c r="C128" s="7">
        <v>120</v>
      </c>
      <c r="D128" s="8">
        <v>0</v>
      </c>
      <c r="E128" s="7">
        <v>0</v>
      </c>
      <c r="F128" s="8">
        <v>0</v>
      </c>
      <c r="G128" s="8">
        <v>0</v>
      </c>
    </row>
    <row r="129" spans="1:7" hidden="1" outlineLevel="1" x14ac:dyDescent="0.35">
      <c r="A129" s="169" t="s">
        <v>182</v>
      </c>
      <c r="B129" s="169"/>
      <c r="C129" s="7">
        <v>20</v>
      </c>
      <c r="D129" s="8">
        <v>0</v>
      </c>
      <c r="E129" s="7">
        <v>0</v>
      </c>
      <c r="F129" s="8">
        <v>0</v>
      </c>
      <c r="G129" s="7">
        <v>0</v>
      </c>
    </row>
    <row r="130" spans="1:7" hidden="1" outlineLevel="1" x14ac:dyDescent="0.35">
      <c r="A130" s="169" t="s">
        <v>183</v>
      </c>
      <c r="B130" s="169"/>
      <c r="C130" s="7">
        <v>20</v>
      </c>
      <c r="D130" s="7">
        <v>20</v>
      </c>
      <c r="E130" s="7">
        <v>0</v>
      </c>
      <c r="F130" s="7">
        <v>60</v>
      </c>
      <c r="G130" s="7">
        <v>20</v>
      </c>
    </row>
    <row r="131" spans="1:7" hidden="1" outlineLevel="1" x14ac:dyDescent="0.35">
      <c r="A131" s="169" t="s">
        <v>184</v>
      </c>
      <c r="B131" s="169"/>
      <c r="C131" s="7">
        <v>0</v>
      </c>
      <c r="D131" s="7">
        <v>0</v>
      </c>
      <c r="E131" s="7">
        <v>60</v>
      </c>
      <c r="F131" s="7">
        <v>0</v>
      </c>
      <c r="G131" s="7">
        <v>0</v>
      </c>
    </row>
    <row r="132" spans="1:7" hidden="1" outlineLevel="1" x14ac:dyDescent="0.35">
      <c r="A132" s="169" t="s">
        <v>185</v>
      </c>
      <c r="B132" s="169"/>
      <c r="C132" s="7">
        <v>0</v>
      </c>
      <c r="D132" s="7">
        <v>0</v>
      </c>
      <c r="E132" s="7">
        <v>30</v>
      </c>
      <c r="F132" s="7">
        <v>0</v>
      </c>
      <c r="G132" s="7">
        <v>0</v>
      </c>
    </row>
    <row r="133" spans="1:7" hidden="1" outlineLevel="1" x14ac:dyDescent="0.35">
      <c r="A133" s="169" t="s">
        <v>186</v>
      </c>
      <c r="B133" s="169"/>
      <c r="C133" s="7">
        <v>30</v>
      </c>
      <c r="D133" s="7">
        <v>30</v>
      </c>
      <c r="E133" s="7">
        <v>30</v>
      </c>
      <c r="F133" s="7">
        <v>30</v>
      </c>
      <c r="G133" s="7">
        <v>30</v>
      </c>
    </row>
    <row r="134" spans="1:7" hidden="1" outlineLevel="1" x14ac:dyDescent="0.35">
      <c r="A134" s="169" t="s">
        <v>187</v>
      </c>
      <c r="B134" s="169"/>
      <c r="C134" s="7">
        <v>10</v>
      </c>
      <c r="D134" s="7">
        <v>10</v>
      </c>
      <c r="E134" s="7">
        <v>10</v>
      </c>
      <c r="F134" s="7">
        <v>10</v>
      </c>
      <c r="G134" s="7">
        <v>10</v>
      </c>
    </row>
    <row r="135" spans="1:7" hidden="1" outlineLevel="1" x14ac:dyDescent="0.35">
      <c r="A135" s="169" t="s">
        <v>188</v>
      </c>
      <c r="B135" s="169"/>
      <c r="C135" s="7">
        <v>5</v>
      </c>
      <c r="D135" s="7">
        <v>5</v>
      </c>
      <c r="E135" s="7">
        <v>5</v>
      </c>
      <c r="F135" s="7">
        <v>5</v>
      </c>
      <c r="G135" s="7">
        <v>5</v>
      </c>
    </row>
    <row r="136" spans="1:7" hidden="1" outlineLevel="1" x14ac:dyDescent="0.35">
      <c r="A136" s="169" t="s">
        <v>189</v>
      </c>
      <c r="B136" s="169"/>
      <c r="C136" s="7">
        <v>60</v>
      </c>
      <c r="D136" s="7">
        <v>60</v>
      </c>
      <c r="E136" s="7">
        <v>60</v>
      </c>
      <c r="F136" s="7">
        <v>60</v>
      </c>
      <c r="G136" s="7">
        <v>60</v>
      </c>
    </row>
    <row r="137" spans="1:7" hidden="1" outlineLevel="1" x14ac:dyDescent="0.35">
      <c r="A137" s="169" t="s">
        <v>190</v>
      </c>
      <c r="B137" s="169"/>
      <c r="C137" s="7">
        <v>45</v>
      </c>
      <c r="D137" s="7">
        <v>45</v>
      </c>
      <c r="E137" s="7">
        <v>45</v>
      </c>
      <c r="F137" s="7">
        <v>45</v>
      </c>
      <c r="G137" s="7">
        <v>45</v>
      </c>
    </row>
    <row r="138" spans="1:7" hidden="1" outlineLevel="1" x14ac:dyDescent="0.35">
      <c r="A138" s="169" t="s">
        <v>191</v>
      </c>
      <c r="B138" s="169"/>
      <c r="C138" s="7">
        <v>3</v>
      </c>
      <c r="D138" s="7">
        <v>3</v>
      </c>
      <c r="E138" s="7">
        <v>3</v>
      </c>
      <c r="F138" s="7">
        <v>3</v>
      </c>
      <c r="G138" s="7">
        <v>3</v>
      </c>
    </row>
    <row r="139" spans="1:7" hidden="1" outlineLevel="1" x14ac:dyDescent="0.35">
      <c r="A139" s="169" t="s">
        <v>192</v>
      </c>
      <c r="B139" s="169"/>
      <c r="C139" s="7">
        <v>10</v>
      </c>
      <c r="D139" s="7">
        <v>10</v>
      </c>
      <c r="E139" s="7">
        <v>10</v>
      </c>
      <c r="F139" s="7">
        <v>10</v>
      </c>
      <c r="G139" s="7">
        <v>10</v>
      </c>
    </row>
    <row r="140" spans="1:7" hidden="1" outlineLevel="1" x14ac:dyDescent="0.35">
      <c r="A140" s="169" t="s">
        <v>193</v>
      </c>
      <c r="B140" s="169"/>
      <c r="C140" s="7">
        <v>5</v>
      </c>
      <c r="D140" s="7">
        <v>5</v>
      </c>
      <c r="E140" s="7">
        <v>0</v>
      </c>
      <c r="F140" s="7">
        <v>5</v>
      </c>
      <c r="G140" s="7">
        <v>5</v>
      </c>
    </row>
    <row r="141" spans="1:7" hidden="1" outlineLevel="1" x14ac:dyDescent="0.35">
      <c r="A141" s="169" t="s">
        <v>194</v>
      </c>
      <c r="B141" s="169"/>
      <c r="C141" s="7">
        <v>5</v>
      </c>
      <c r="D141" s="7">
        <v>5</v>
      </c>
      <c r="E141" s="7">
        <v>5</v>
      </c>
      <c r="F141" s="7">
        <v>5</v>
      </c>
      <c r="G141" s="7">
        <v>5</v>
      </c>
    </row>
    <row r="142" spans="1:7" hidden="1" outlineLevel="1" x14ac:dyDescent="0.35">
      <c r="A142" s="169" t="s">
        <v>195</v>
      </c>
      <c r="B142" s="169"/>
      <c r="C142" s="8">
        <v>0</v>
      </c>
      <c r="D142" s="8">
        <v>0</v>
      </c>
      <c r="E142" s="7">
        <v>30</v>
      </c>
      <c r="F142" s="8">
        <v>0</v>
      </c>
      <c r="G142" s="8">
        <v>0</v>
      </c>
    </row>
    <row r="143" spans="1:7" hidden="1" outlineLevel="1" x14ac:dyDescent="0.35">
      <c r="A143" s="169" t="s">
        <v>196</v>
      </c>
      <c r="B143" s="169"/>
      <c r="C143" s="8">
        <v>0</v>
      </c>
      <c r="D143" s="8">
        <v>0</v>
      </c>
      <c r="E143" s="7">
        <v>30</v>
      </c>
      <c r="F143" s="8">
        <v>0</v>
      </c>
      <c r="G143" s="8">
        <v>0</v>
      </c>
    </row>
    <row r="144" spans="1:7" hidden="1" outlineLevel="1" x14ac:dyDescent="0.35">
      <c r="A144" s="169" t="s">
        <v>197</v>
      </c>
      <c r="B144" s="169"/>
      <c r="C144" s="7">
        <v>5</v>
      </c>
      <c r="D144" s="7">
        <v>5</v>
      </c>
      <c r="E144" s="7">
        <v>5</v>
      </c>
      <c r="F144" s="7">
        <v>5</v>
      </c>
      <c r="G144" s="7">
        <v>5</v>
      </c>
    </row>
    <row r="145" spans="1:7" hidden="1" outlineLevel="1" x14ac:dyDescent="0.35">
      <c r="A145" s="169" t="s">
        <v>198</v>
      </c>
      <c r="B145" s="169"/>
      <c r="C145" s="7">
        <v>5</v>
      </c>
      <c r="D145" s="7">
        <v>5</v>
      </c>
      <c r="E145" s="7">
        <v>5</v>
      </c>
      <c r="F145" s="7">
        <v>5</v>
      </c>
      <c r="G145" s="7">
        <v>5</v>
      </c>
    </row>
    <row r="146" spans="1:7" hidden="1" outlineLevel="1" x14ac:dyDescent="0.35">
      <c r="A146" s="169" t="s">
        <v>199</v>
      </c>
      <c r="B146" s="169"/>
      <c r="C146" s="7">
        <v>3</v>
      </c>
      <c r="D146" s="7">
        <v>3</v>
      </c>
      <c r="E146" s="7">
        <v>3</v>
      </c>
      <c r="F146" s="7">
        <v>3</v>
      </c>
      <c r="G146" s="7">
        <v>3</v>
      </c>
    </row>
    <row r="147" spans="1:7" hidden="1" outlineLevel="1" x14ac:dyDescent="0.35">
      <c r="A147" s="169" t="s">
        <v>200</v>
      </c>
      <c r="B147" s="169"/>
      <c r="C147" s="7">
        <v>0</v>
      </c>
      <c r="D147" s="7">
        <v>0</v>
      </c>
      <c r="E147" s="7">
        <v>0</v>
      </c>
      <c r="F147" s="7">
        <v>0</v>
      </c>
      <c r="G147" s="7">
        <v>0</v>
      </c>
    </row>
    <row r="148" spans="1:7" collapsed="1" x14ac:dyDescent="0.35"/>
  </sheetData>
  <autoFilter ref="A26:B26" xr:uid="{C67C8D8E-E5E2-4882-9088-647078EC0BDF}">
    <sortState xmlns:xlrd2="http://schemas.microsoft.com/office/spreadsheetml/2017/richdata2" ref="A27:B71">
      <sortCondition ref="A26"/>
    </sortState>
  </autoFilter>
  <mergeCells count="83">
    <mergeCell ref="A1:F1"/>
    <mergeCell ref="A77:B77"/>
    <mergeCell ref="A78:B78"/>
    <mergeCell ref="A79:B79"/>
    <mergeCell ref="A80:B80"/>
    <mergeCell ref="A75:F75"/>
    <mergeCell ref="A25:F25"/>
    <mergeCell ref="A8:F8"/>
    <mergeCell ref="A9:F12"/>
    <mergeCell ref="D2:F6"/>
    <mergeCell ref="A18:F18"/>
    <mergeCell ref="C21:E21"/>
    <mergeCell ref="C22:E22"/>
    <mergeCell ref="C23:E23"/>
    <mergeCell ref="C20:E20"/>
    <mergeCell ref="C19:E19"/>
    <mergeCell ref="A81:B81"/>
    <mergeCell ref="A82:B82"/>
    <mergeCell ref="A83:B83"/>
    <mergeCell ref="A84:B84"/>
    <mergeCell ref="A85:B85"/>
    <mergeCell ref="A86:B86"/>
    <mergeCell ref="A87:B87"/>
    <mergeCell ref="A88:B88"/>
    <mergeCell ref="A89:B89"/>
    <mergeCell ref="A90:B90"/>
    <mergeCell ref="A91:B91"/>
    <mergeCell ref="A92:B92"/>
    <mergeCell ref="A93:B93"/>
    <mergeCell ref="A94:B94"/>
    <mergeCell ref="A95:B95"/>
    <mergeCell ref="A96:B96"/>
    <mergeCell ref="A98:B98"/>
    <mergeCell ref="A99:B99"/>
    <mergeCell ref="A100:B100"/>
    <mergeCell ref="A101:B101"/>
    <mergeCell ref="A97:B97"/>
    <mergeCell ref="A102:B102"/>
    <mergeCell ref="A103:B103"/>
    <mergeCell ref="A104:B104"/>
    <mergeCell ref="A105:B105"/>
    <mergeCell ref="A106:B106"/>
    <mergeCell ref="A107:B107"/>
    <mergeCell ref="A109:B109"/>
    <mergeCell ref="A110:B110"/>
    <mergeCell ref="A111:B111"/>
    <mergeCell ref="A112:B112"/>
    <mergeCell ref="A108:B108"/>
    <mergeCell ref="A113:B113"/>
    <mergeCell ref="A114:B114"/>
    <mergeCell ref="A116:B116"/>
    <mergeCell ref="A117:B117"/>
    <mergeCell ref="A118:B118"/>
    <mergeCell ref="A115:B115"/>
    <mergeCell ref="A125:B125"/>
    <mergeCell ref="A126:B126"/>
    <mergeCell ref="A127:B127"/>
    <mergeCell ref="A128:B128"/>
    <mergeCell ref="A119:B119"/>
    <mergeCell ref="A120:B120"/>
    <mergeCell ref="A121:B121"/>
    <mergeCell ref="A122:B122"/>
    <mergeCell ref="A123:B123"/>
    <mergeCell ref="A124:B124"/>
    <mergeCell ref="A146:B146"/>
    <mergeCell ref="A147:B147"/>
    <mergeCell ref="A139:B139"/>
    <mergeCell ref="A140:B140"/>
    <mergeCell ref="A141:B141"/>
    <mergeCell ref="A142:B142"/>
    <mergeCell ref="A143:B143"/>
    <mergeCell ref="A144:B144"/>
    <mergeCell ref="A145:B145"/>
    <mergeCell ref="A134:B134"/>
    <mergeCell ref="A135:B135"/>
    <mergeCell ref="A136:B136"/>
    <mergeCell ref="A137:B137"/>
    <mergeCell ref="A138:B138"/>
    <mergeCell ref="A129:B129"/>
    <mergeCell ref="A130:B130"/>
    <mergeCell ref="A131:B131"/>
    <mergeCell ref="A132:B132"/>
    <mergeCell ref="A133:B133"/>
  </mergeCells>
  <conditionalFormatting sqref="A3:A6">
    <cfRule type="expression" dxfId="35" priority="6">
      <formula>$B3=""</formula>
    </cfRule>
  </conditionalFormatting>
  <conditionalFormatting sqref="B5:B6">
    <cfRule type="containsBlanks" dxfId="34" priority="3">
      <formula>LEN(TRIM(B5))=0</formula>
    </cfRule>
  </conditionalFormatting>
  <conditionalFormatting sqref="B3">
    <cfRule type="containsBlanks" dxfId="33" priority="7">
      <formula>LEN(TRIM(B3))=0</formula>
    </cfRule>
  </conditionalFormatting>
  <conditionalFormatting sqref="B4">
    <cfRule type="notContainsBlanks" dxfId="32" priority="1">
      <formula>LEN(TRIM(B4))&gt;0</formula>
    </cfRule>
    <cfRule type="expression" dxfId="31" priority="2">
      <formula>AND($A$4&lt;&gt;"",$B$4="")</formula>
    </cfRule>
  </conditionalFormatting>
  <dataValidations count="3">
    <dataValidation type="list" allowBlank="1" showInputMessage="1" showErrorMessage="1" sqref="B6" xr:uid="{C2ED7414-0A90-4C5E-9B92-1DA7C2EFA850}">
      <formula1>"CF,DMC,ELE,MSM"</formula1>
    </dataValidation>
    <dataValidation type="list" allowBlank="1" errorTitle="Character Limit Exceeded" error="The project name cannot exceed 10 characters " promptTitle="Character Limitation" prompt="The project name cannot exceed 10 characters " sqref="B3" xr:uid="{CE04CB42-11EA-4DC2-B222-252573AE3C56}">
      <formula1>"Supplier Name,Project Name,Project Manager"</formula1>
    </dataValidation>
    <dataValidation allowBlank="1" errorTitle="Character Limitat Exceeded" error="The subproject name cannot exceed 8 characters " promptTitle="Character Limitation" prompt="The subproject name cannot exceed 8 characters " sqref="B4" xr:uid="{0AC85E5A-AEF4-45BC-A730-C2F865DC8D64}"/>
  </dataValidations>
  <hyperlinks>
    <hyperlink ref="A16" r:id="rId1" xr:uid="{0790AD15-E0F2-4F60-920C-9709BC74DB99}"/>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559D1-990B-414B-80E5-82D25E13045E}">
  <sheetPr codeName="Sheet2"/>
  <dimension ref="A1:KY126"/>
  <sheetViews>
    <sheetView showGridLines="0" zoomScale="70" zoomScaleNormal="70" workbookViewId="0">
      <pane xSplit="7" ySplit="8" topLeftCell="CG21" activePane="bottomRight" state="frozen"/>
      <selection pane="topRight" activeCell="H1" sqref="H1"/>
      <selection pane="bottomLeft" activeCell="A9" sqref="A9"/>
      <selection pane="bottomRight" activeCell="A9" sqref="A9:XFD10"/>
    </sheetView>
  </sheetViews>
  <sheetFormatPr defaultRowHeight="14.5" outlineLevelRow="1" outlineLevelCol="1" x14ac:dyDescent="0.35"/>
  <cols>
    <col min="1" max="1" width="20.81640625" customWidth="1"/>
    <col min="2" max="2" width="9.81640625" customWidth="1"/>
    <col min="3" max="3" width="16.81640625" bestFit="1" customWidth="1"/>
    <col min="4" max="4" width="12.1796875" style="104" customWidth="1"/>
    <col min="5" max="5" width="11.7265625" customWidth="1"/>
    <col min="6" max="6" width="23" customWidth="1"/>
    <col min="7" max="7" width="21" bestFit="1" customWidth="1"/>
    <col min="8" max="8" width="14.26953125" customWidth="1"/>
    <col min="9" max="9" width="11.7265625" customWidth="1"/>
    <col min="10" max="10" width="11.7265625" customWidth="1" outlineLevel="1"/>
    <col min="11" max="11" width="13.7265625" customWidth="1" outlineLevel="1"/>
    <col min="12" max="12" width="13.7265625" customWidth="1"/>
    <col min="13" max="13" width="13.7265625" customWidth="1" outlineLevel="1"/>
    <col min="14" max="14" width="13.26953125" customWidth="1" outlineLevel="1"/>
    <col min="15" max="15" width="13.26953125" customWidth="1"/>
    <col min="16" max="16" width="13" customWidth="1" outlineLevel="1"/>
    <col min="17" max="17" width="12.26953125" customWidth="1" outlineLevel="1"/>
    <col min="18" max="18" width="12.26953125" customWidth="1"/>
    <col min="19" max="20" width="10.7265625" customWidth="1" outlineLevel="1"/>
    <col min="21" max="21" width="10.7265625" customWidth="1"/>
    <col min="22" max="22" width="13" customWidth="1" outlineLevel="1"/>
    <col min="23" max="23" width="14.81640625" customWidth="1" outlineLevel="1"/>
    <col min="24" max="24" width="14.81640625" customWidth="1"/>
    <col min="25" max="25" width="13.1796875" customWidth="1" outlineLevel="1"/>
    <col min="26" max="26" width="13.453125" customWidth="1" outlineLevel="1"/>
    <col min="27" max="27" width="13.453125" customWidth="1"/>
    <col min="28" max="29" width="13.453125" customWidth="1" outlineLevel="1"/>
    <col min="30" max="30" width="13.453125" customWidth="1"/>
    <col min="31" max="32" width="13.453125" customWidth="1" outlineLevel="1"/>
    <col min="33" max="33" width="13.453125" customWidth="1"/>
    <col min="34" max="35" width="10.7265625" customWidth="1" outlineLevel="1"/>
    <col min="36" max="36" width="10.7265625" customWidth="1"/>
    <col min="37" max="38" width="10.7265625" customWidth="1" outlineLevel="1"/>
    <col min="39" max="39" width="10.7265625" customWidth="1"/>
    <col min="40" max="41" width="10.7265625" customWidth="1" outlineLevel="1"/>
    <col min="42" max="42" width="10.7265625" customWidth="1"/>
    <col min="43" max="44" width="10.7265625" customWidth="1" outlineLevel="1"/>
    <col min="45" max="45" width="10.7265625" customWidth="1"/>
    <col min="46" max="47" width="10.7265625" customWidth="1" outlineLevel="1"/>
    <col min="48" max="48" width="10.7265625" customWidth="1"/>
    <col min="49" max="50" width="10.7265625" customWidth="1" outlineLevel="1"/>
    <col min="51" max="51" width="10.7265625" customWidth="1"/>
    <col min="52" max="53" width="10.7265625" customWidth="1" outlineLevel="1"/>
    <col min="54" max="54" width="10.7265625" customWidth="1"/>
    <col min="55" max="55" width="12.54296875" customWidth="1" outlineLevel="1"/>
    <col min="56" max="56" width="13.453125" customWidth="1" outlineLevel="1"/>
    <col min="57" max="57" width="10.81640625" customWidth="1"/>
    <col min="58" max="59" width="10.7265625" customWidth="1" outlineLevel="1"/>
    <col min="60" max="60" width="11.26953125" customWidth="1"/>
    <col min="61" max="62" width="10.7265625" customWidth="1" outlineLevel="1"/>
    <col min="63" max="63" width="10.7265625" customWidth="1"/>
    <col min="64" max="65" width="10.7265625" customWidth="1" outlineLevel="1"/>
    <col min="66" max="66" width="10.7265625" customWidth="1"/>
    <col min="67" max="68" width="10.7265625" customWidth="1" outlineLevel="1"/>
    <col min="69" max="69" width="10.7265625" customWidth="1"/>
    <col min="70" max="71" width="10.7265625" customWidth="1" outlineLevel="1"/>
    <col min="72" max="72" width="10.7265625" customWidth="1"/>
    <col min="73" max="74" width="10.7265625" customWidth="1" outlineLevel="1"/>
    <col min="75" max="75" width="10.7265625" customWidth="1"/>
    <col min="76" max="76" width="13.26953125" customWidth="1" outlineLevel="1"/>
    <col min="77" max="77" width="13.54296875" customWidth="1" outlineLevel="1"/>
    <col min="78" max="78" width="13.54296875" customWidth="1"/>
    <col min="79" max="80" width="10.7265625" customWidth="1" outlineLevel="1"/>
    <col min="81" max="81" width="10.7265625" customWidth="1"/>
    <col min="82" max="82" width="12.7265625" customWidth="1" outlineLevel="1"/>
    <col min="83" max="83" width="13.26953125" customWidth="1" outlineLevel="1"/>
    <col min="84" max="84" width="13.26953125" customWidth="1"/>
    <col min="85" max="86" width="10.7265625" customWidth="1" outlineLevel="1"/>
    <col min="87" max="87" width="10.7265625" customWidth="1"/>
    <col min="88" max="88" width="13.26953125" customWidth="1" outlineLevel="1"/>
    <col min="89" max="89" width="14" customWidth="1" outlineLevel="1"/>
    <col min="90" max="90" width="14" customWidth="1"/>
    <col min="91" max="92" width="10.7265625" customWidth="1" outlineLevel="1"/>
    <col min="93" max="93" width="10.7265625" customWidth="1"/>
    <col min="94" max="94" width="13" customWidth="1" outlineLevel="1"/>
    <col min="95" max="95" width="12.26953125" customWidth="1" outlineLevel="1"/>
    <col min="96" max="96" width="12.26953125" customWidth="1"/>
    <col min="97" max="97" width="84" customWidth="1"/>
    <col min="98" max="99" width="10.7265625" customWidth="1" outlineLevel="1"/>
    <col min="100" max="100" width="10.7265625" customWidth="1"/>
    <col min="101" max="101" width="12.1796875" customWidth="1" outlineLevel="1"/>
    <col min="102" max="102" width="10.7265625" customWidth="1" outlineLevel="1"/>
    <col min="103" max="103" width="10.7265625" customWidth="1"/>
    <col min="104" max="105" width="10.7265625" customWidth="1" outlineLevel="1"/>
    <col min="106" max="106" width="10.7265625" customWidth="1"/>
    <col min="107" max="107" width="13.453125" customWidth="1" outlineLevel="1"/>
    <col min="108" max="108" width="12.54296875" customWidth="1" outlineLevel="1"/>
    <col min="109" max="109" width="12.54296875" customWidth="1"/>
    <col min="110" max="111" width="10.7265625" customWidth="1" outlineLevel="1"/>
    <col min="112" max="112" width="10.7265625" customWidth="1"/>
    <col min="113" max="115" width="11.7265625" customWidth="1" outlineLevel="1"/>
    <col min="116" max="116" width="12.26953125" customWidth="1"/>
    <col min="117" max="117" width="12.7265625" customWidth="1" outlineLevel="1"/>
    <col min="118" max="118" width="12.26953125" customWidth="1" outlineLevel="1"/>
    <col min="119" max="119" width="12.26953125" customWidth="1"/>
    <col min="120" max="120" width="12.26953125" customWidth="1" outlineLevel="1"/>
    <col min="121" max="121" width="10.81640625" customWidth="1" outlineLevel="1"/>
    <col min="122" max="122" width="10.81640625" customWidth="1"/>
    <col min="123" max="123" width="13" customWidth="1" outlineLevel="1"/>
    <col min="124" max="124" width="12.1796875" customWidth="1" outlineLevel="1"/>
    <col min="125" max="125" width="12.54296875" customWidth="1" outlineLevel="1"/>
    <col min="126" max="126" width="13.7265625" customWidth="1"/>
    <col min="127" max="127" width="13.7265625" customWidth="1" outlineLevel="1"/>
    <col min="128" max="129" width="12.7265625" customWidth="1" outlineLevel="1"/>
    <col min="130" max="130" width="13.81640625" customWidth="1"/>
    <col min="131" max="131" width="13.81640625" customWidth="1" outlineLevel="1"/>
    <col min="132" max="132" width="13.453125" customWidth="1" outlineLevel="1"/>
    <col min="133" max="133" width="14" customWidth="1" outlineLevel="1"/>
    <col min="134" max="134" width="14" customWidth="1"/>
    <col min="135" max="136" width="10.7265625" customWidth="1" outlineLevel="1"/>
    <col min="137" max="137" width="10.7265625" customWidth="1"/>
    <col min="138" max="139" width="10.7265625" customWidth="1" outlineLevel="1"/>
    <col min="140" max="140" width="10.7265625" customWidth="1"/>
    <col min="141" max="142" width="10.7265625" customWidth="1" outlineLevel="1"/>
    <col min="143" max="143" width="10.7265625" customWidth="1"/>
    <col min="144" max="145" width="10.7265625" customWidth="1" outlineLevel="1"/>
    <col min="146" max="146" width="10.7265625" customWidth="1"/>
    <col min="147" max="148" width="10.7265625" customWidth="1" outlineLevel="1"/>
    <col min="149" max="149" width="10.7265625" customWidth="1"/>
    <col min="150" max="151" width="10.7265625" customWidth="1" outlineLevel="1"/>
    <col min="152" max="152" width="10.7265625" customWidth="1"/>
    <col min="153" max="154" width="10.7265625" customWidth="1" outlineLevel="1"/>
    <col min="155" max="155" width="10.7265625" customWidth="1"/>
    <col min="156" max="157" width="10.7265625" customWidth="1" outlineLevel="1"/>
    <col min="158" max="158" width="10.7265625" customWidth="1"/>
    <col min="159" max="159" width="13.26953125" customWidth="1" outlineLevel="1"/>
    <col min="160" max="160" width="12.81640625" customWidth="1" outlineLevel="1"/>
    <col min="161" max="161" width="12.81640625" customWidth="1"/>
    <col min="162" max="163" width="12.81640625" customWidth="1" outlineLevel="1"/>
    <col min="164" max="164" width="12.81640625" customWidth="1"/>
    <col min="165" max="165" width="13.26953125" customWidth="1" outlineLevel="1"/>
    <col min="166" max="166" width="11.453125" customWidth="1" outlineLevel="1"/>
    <col min="167" max="167" width="11.453125" customWidth="1"/>
    <col min="168" max="168" width="13.7265625" customWidth="1" outlineLevel="1"/>
    <col min="169" max="169" width="13.81640625" customWidth="1" outlineLevel="1"/>
    <col min="170" max="170" width="13.81640625" customWidth="1"/>
    <col min="171" max="171" width="12.26953125" customWidth="1" outlineLevel="1"/>
    <col min="172" max="172" width="13.7265625" customWidth="1" outlineLevel="1"/>
    <col min="173" max="173" width="13.453125" customWidth="1"/>
    <col min="174" max="174" width="17.81640625" customWidth="1"/>
    <col min="175" max="175" width="17.81640625" style="112" customWidth="1"/>
    <col min="176" max="178" width="13.81640625" customWidth="1"/>
    <col min="179" max="179" width="14.26953125" customWidth="1"/>
  </cols>
  <sheetData>
    <row r="1" spans="1:311" ht="15.75" customHeight="1" x14ac:dyDescent="0.35">
      <c r="A1" s="80" t="s">
        <v>201</v>
      </c>
      <c r="B1" s="13"/>
      <c r="C1" s="17" t="s">
        <v>202</v>
      </c>
      <c r="D1" s="94"/>
      <c r="E1" s="17"/>
      <c r="F1" s="18"/>
      <c r="G1" s="115"/>
      <c r="H1" s="115" t="s">
        <v>203</v>
      </c>
      <c r="I1" s="116" t="s">
        <v>204</v>
      </c>
      <c r="J1" s="116"/>
      <c r="K1" s="117"/>
      <c r="L1" s="117"/>
      <c r="M1" s="117"/>
      <c r="N1" s="117"/>
      <c r="O1" s="117"/>
      <c r="P1" s="117"/>
      <c r="Q1" s="117"/>
      <c r="R1" s="117"/>
      <c r="S1" s="117"/>
      <c r="T1" s="117"/>
      <c r="U1" s="117"/>
      <c r="V1" s="117"/>
      <c r="W1" s="117"/>
      <c r="X1" s="117"/>
      <c r="Y1" s="117"/>
      <c r="Z1" s="117"/>
      <c r="AA1" s="117"/>
      <c r="AB1" s="117"/>
      <c r="AC1" s="117"/>
      <c r="AD1" s="117"/>
      <c r="AE1" s="117"/>
      <c r="AF1" s="117"/>
      <c r="AG1" s="117"/>
      <c r="AH1" s="117"/>
      <c r="AI1" s="117"/>
      <c r="AJ1" s="117"/>
      <c r="AK1" s="117"/>
      <c r="AL1" s="117"/>
      <c r="AM1" s="117"/>
      <c r="AN1" s="117"/>
      <c r="AO1" s="117"/>
      <c r="AP1" s="117"/>
      <c r="AQ1" s="117"/>
      <c r="AR1" s="117"/>
      <c r="AS1" s="117"/>
      <c r="AT1" s="117"/>
      <c r="AU1" s="117"/>
      <c r="AV1" s="117"/>
      <c r="AW1" s="117"/>
      <c r="AX1" s="117"/>
      <c r="AY1" s="117"/>
      <c r="AZ1" s="117"/>
      <c r="BA1" s="117"/>
      <c r="BB1" s="117"/>
      <c r="BC1" s="117"/>
      <c r="BD1" s="117"/>
      <c r="BE1" s="117"/>
      <c r="BF1" s="117"/>
      <c r="BG1" s="117"/>
      <c r="BH1" s="117"/>
      <c r="BI1" s="117"/>
      <c r="BJ1" s="117"/>
      <c r="BK1" s="117"/>
      <c r="BL1" s="117"/>
      <c r="BM1" s="117"/>
      <c r="BN1" s="117"/>
      <c r="BO1" s="117"/>
      <c r="BP1" s="117"/>
      <c r="BQ1" s="117"/>
      <c r="BR1" s="117"/>
      <c r="BS1" s="117"/>
      <c r="BT1" s="117"/>
      <c r="BU1" s="117"/>
      <c r="BV1" s="117"/>
      <c r="BW1" s="117"/>
      <c r="BX1" s="117"/>
      <c r="BY1" s="117"/>
      <c r="BZ1" s="117"/>
      <c r="CA1" s="117"/>
      <c r="CB1" s="117"/>
      <c r="CC1" s="117"/>
      <c r="CD1" s="117"/>
      <c r="CE1" s="117"/>
      <c r="CF1" s="117"/>
      <c r="CG1" s="117"/>
      <c r="CH1" s="117"/>
      <c r="CI1" s="117"/>
      <c r="CJ1" s="117"/>
      <c r="CK1" s="117"/>
      <c r="CL1" s="117"/>
      <c r="CM1" s="117"/>
      <c r="CN1" s="117"/>
      <c r="CO1" s="117"/>
      <c r="CP1" s="117"/>
      <c r="CQ1" s="117"/>
      <c r="CR1" s="117"/>
      <c r="CS1" s="117"/>
      <c r="CT1" s="117"/>
      <c r="CU1" s="117"/>
      <c r="CV1" s="48"/>
      <c r="CW1" s="39"/>
      <c r="CX1" s="39"/>
      <c r="CY1" s="39"/>
      <c r="CZ1" s="39"/>
      <c r="DA1" s="39"/>
      <c r="DB1" s="39"/>
      <c r="DC1" s="39"/>
      <c r="DD1" s="39"/>
      <c r="DE1" s="39"/>
      <c r="DF1" s="1"/>
      <c r="DG1" s="86"/>
      <c r="DH1" s="86"/>
      <c r="DI1" s="87"/>
      <c r="DJ1" s="87"/>
      <c r="DK1" s="87"/>
      <c r="DM1" s="1"/>
      <c r="DN1" s="1"/>
      <c r="DO1" s="1"/>
      <c r="DP1" s="1"/>
      <c r="DQ1" s="86"/>
      <c r="DR1" s="86"/>
      <c r="DS1" s="91"/>
      <c r="DT1" s="87"/>
      <c r="DU1" s="87"/>
      <c r="DV1" s="1"/>
      <c r="DW1" s="1"/>
      <c r="DX1" s="87"/>
      <c r="DY1" s="87"/>
      <c r="DZ1" s="1"/>
      <c r="EA1" s="1"/>
      <c r="EB1" s="87"/>
      <c r="EC1" s="87"/>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21"/>
      <c r="FT1" s="1"/>
      <c r="FU1" s="1"/>
      <c r="FV1" s="1"/>
      <c r="FW1" s="40"/>
    </row>
    <row r="2" spans="1:311" ht="15.75" customHeight="1" x14ac:dyDescent="0.35">
      <c r="A2" s="18"/>
      <c r="B2" s="4"/>
      <c r="C2" s="17" t="s">
        <v>205</v>
      </c>
      <c r="D2" s="94"/>
      <c r="E2" s="17"/>
      <c r="F2" s="18"/>
      <c r="G2" s="115"/>
      <c r="H2" s="115"/>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7"/>
      <c r="AN2" s="117"/>
      <c r="AO2" s="117"/>
      <c r="AP2" s="117"/>
      <c r="AQ2" s="117"/>
      <c r="AR2" s="117"/>
      <c r="AS2" s="117"/>
      <c r="AT2" s="117"/>
      <c r="AU2" s="117"/>
      <c r="AV2" s="117"/>
      <c r="AW2" s="117"/>
      <c r="AX2" s="117"/>
      <c r="AY2" s="117"/>
      <c r="AZ2" s="117"/>
      <c r="BA2" s="117"/>
      <c r="BB2" s="117"/>
      <c r="BC2" s="117"/>
      <c r="BD2" s="117"/>
      <c r="BE2" s="117"/>
      <c r="BF2" s="117"/>
      <c r="BG2" s="117"/>
      <c r="BH2" s="117"/>
      <c r="BI2" s="117"/>
      <c r="BJ2" s="117"/>
      <c r="BK2" s="117"/>
      <c r="BL2" s="117"/>
      <c r="BM2" s="117"/>
      <c r="BN2" s="117"/>
      <c r="BO2" s="117"/>
      <c r="BP2" s="117"/>
      <c r="BQ2" s="117"/>
      <c r="BR2" s="117"/>
      <c r="BS2" s="117"/>
      <c r="BT2" s="117"/>
      <c r="BU2" s="117"/>
      <c r="BV2" s="117"/>
      <c r="BW2" s="117"/>
      <c r="BX2" s="117"/>
      <c r="BY2" s="117"/>
      <c r="BZ2" s="117"/>
      <c r="CA2" s="117"/>
      <c r="CB2" s="117"/>
      <c r="CC2" s="117"/>
      <c r="CD2" s="117"/>
      <c r="CE2" s="117"/>
      <c r="CF2" s="117"/>
      <c r="CG2" s="117"/>
      <c r="CH2" s="117"/>
      <c r="CI2" s="117"/>
      <c r="CJ2" s="117"/>
      <c r="CK2" s="117"/>
      <c r="CL2" s="117"/>
      <c r="CM2" s="117"/>
      <c r="CN2" s="117"/>
      <c r="CO2" s="117"/>
      <c r="CP2" s="117"/>
      <c r="CQ2" s="117"/>
      <c r="CR2" s="117"/>
      <c r="CS2" s="117"/>
      <c r="CT2" s="117"/>
      <c r="CU2" s="117"/>
      <c r="CV2" s="48"/>
      <c r="CW2" s="39"/>
      <c r="CX2" s="39"/>
      <c r="CY2" s="39"/>
      <c r="CZ2" s="39"/>
      <c r="DA2" s="39"/>
      <c r="DB2" s="39"/>
      <c r="DC2" s="39"/>
      <c r="DD2" s="39"/>
      <c r="DE2" s="39"/>
      <c r="DF2" s="1"/>
      <c r="DG2" s="86"/>
      <c r="DH2" s="86"/>
      <c r="DI2" s="88"/>
      <c r="DJ2" s="88"/>
      <c r="DK2" s="88"/>
      <c r="DM2" s="1"/>
      <c r="DN2" s="1"/>
      <c r="DO2" s="1"/>
      <c r="DP2" s="1"/>
      <c r="DQ2" s="86"/>
      <c r="DR2" s="86"/>
      <c r="DS2" s="91"/>
      <c r="DT2" s="88"/>
      <c r="DU2" s="88"/>
      <c r="DV2" s="1"/>
      <c r="DW2" s="1"/>
      <c r="DX2" s="88"/>
      <c r="DY2" s="88"/>
      <c r="DZ2" s="1"/>
      <c r="EA2" s="1"/>
      <c r="EB2" s="88"/>
      <c r="EC2" s="88"/>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21"/>
      <c r="FT2" s="2"/>
      <c r="FU2" s="2"/>
      <c r="FV2" s="2"/>
      <c r="FW2" s="41"/>
      <c r="FX2" s="36"/>
      <c r="FY2" s="36"/>
      <c r="FZ2" s="36"/>
      <c r="GA2" s="36"/>
      <c r="GB2" s="36"/>
      <c r="GC2" s="36"/>
      <c r="GD2" s="36"/>
    </row>
    <row r="3" spans="1:311" ht="16" x14ac:dyDescent="0.35">
      <c r="A3" s="18"/>
      <c r="B3" s="10"/>
      <c r="C3" s="17" t="s">
        <v>206</v>
      </c>
      <c r="D3" s="94"/>
      <c r="E3" s="17"/>
      <c r="F3" s="19"/>
      <c r="G3" s="20"/>
      <c r="H3" s="20" t="s">
        <v>207</v>
      </c>
      <c r="I3" s="38" t="s">
        <v>208</v>
      </c>
      <c r="J3" s="118" t="s">
        <v>209</v>
      </c>
      <c r="K3" s="118"/>
      <c r="L3" s="118"/>
      <c r="M3" s="118"/>
      <c r="N3" s="118"/>
      <c r="O3" s="118"/>
      <c r="P3" s="118"/>
      <c r="Q3" s="118"/>
      <c r="R3" s="118"/>
      <c r="S3" s="118"/>
      <c r="T3" s="118"/>
      <c r="U3" s="118"/>
      <c r="V3" s="118"/>
      <c r="W3" s="118"/>
      <c r="X3" s="118"/>
      <c r="Y3" s="118"/>
      <c r="Z3" s="118"/>
      <c r="AA3" s="118"/>
      <c r="AB3" s="96"/>
      <c r="AC3" s="96"/>
      <c r="AD3" s="96"/>
      <c r="AE3" s="119" t="s">
        <v>210</v>
      </c>
      <c r="AF3" s="119"/>
      <c r="AG3" s="119"/>
      <c r="AH3" s="120" t="s">
        <v>211</v>
      </c>
      <c r="AI3" s="120"/>
      <c r="AJ3" s="120"/>
      <c r="AK3" s="120"/>
      <c r="AL3" s="120"/>
      <c r="AM3" s="120"/>
      <c r="AN3" s="120"/>
      <c r="AO3" s="120"/>
      <c r="AP3" s="120"/>
      <c r="AQ3" s="121" t="s">
        <v>212</v>
      </c>
      <c r="AR3" s="121"/>
      <c r="AS3" s="121"/>
      <c r="AT3" s="121"/>
      <c r="AU3" s="121"/>
      <c r="AV3" s="121"/>
      <c r="AW3" s="121"/>
      <c r="AX3" s="121"/>
      <c r="AY3" s="121"/>
      <c r="AZ3" s="121"/>
      <c r="BA3" s="121"/>
      <c r="BB3" s="50"/>
      <c r="BC3" s="122" t="s">
        <v>213</v>
      </c>
      <c r="BD3" s="122"/>
      <c r="BE3" s="122"/>
      <c r="BF3" s="122"/>
      <c r="BG3" s="122"/>
      <c r="BH3" s="122"/>
      <c r="BI3" s="98" t="s">
        <v>214</v>
      </c>
      <c r="BJ3" s="98"/>
      <c r="BK3" s="98"/>
      <c r="BL3" s="98"/>
      <c r="BM3" s="98"/>
      <c r="BN3" s="98"/>
      <c r="BO3" s="98"/>
      <c r="BP3" s="98"/>
      <c r="BQ3" s="98"/>
      <c r="BR3" s="98"/>
      <c r="BS3" s="98"/>
      <c r="BT3" s="98"/>
      <c r="BU3" s="98"/>
      <c r="BV3" s="98"/>
      <c r="BW3" s="98"/>
      <c r="BX3" s="98"/>
      <c r="BY3" s="98"/>
      <c r="BZ3" s="98"/>
      <c r="CA3" s="98"/>
      <c r="CB3" s="98"/>
      <c r="CC3" s="98"/>
      <c r="CD3" s="98"/>
      <c r="CE3" s="98"/>
      <c r="CF3" s="98"/>
      <c r="CG3" s="98"/>
      <c r="CH3" s="98"/>
      <c r="CI3" s="98"/>
      <c r="CJ3" s="98"/>
      <c r="CK3" s="98"/>
      <c r="CL3" s="98"/>
      <c r="CM3" s="98"/>
      <c r="CN3" s="98"/>
      <c r="CO3" s="98"/>
      <c r="CP3" s="98"/>
      <c r="CQ3" s="98"/>
      <c r="CR3" s="98"/>
      <c r="CS3" s="98"/>
      <c r="CT3" s="98"/>
      <c r="CU3" s="98"/>
      <c r="CV3" s="98"/>
      <c r="CW3" s="98"/>
      <c r="CX3" s="98"/>
      <c r="CY3" s="98"/>
      <c r="CZ3" s="98"/>
      <c r="DA3" s="98"/>
      <c r="DB3" s="98"/>
      <c r="DC3" s="98"/>
      <c r="DD3" s="98"/>
      <c r="DE3" s="98"/>
      <c r="DF3" s="98"/>
      <c r="DG3" s="98"/>
      <c r="DH3" s="98"/>
      <c r="DI3" s="98"/>
      <c r="DJ3" s="98"/>
      <c r="DK3" s="98"/>
      <c r="DL3" s="98"/>
      <c r="DM3" s="98"/>
      <c r="DN3" s="98"/>
      <c r="DO3" s="98"/>
      <c r="DP3" s="98"/>
      <c r="DQ3" s="98"/>
      <c r="DR3" s="98"/>
      <c r="DS3" s="98"/>
      <c r="DT3" s="98"/>
      <c r="DU3" s="98"/>
      <c r="DV3" s="98"/>
      <c r="DW3" s="98"/>
      <c r="DX3" s="98"/>
      <c r="DY3" s="98"/>
      <c r="DZ3" s="98"/>
      <c r="EA3" s="98"/>
      <c r="EB3" s="98"/>
      <c r="EC3" s="98"/>
      <c r="ED3" s="98"/>
      <c r="EE3" s="98"/>
      <c r="EF3" s="98"/>
      <c r="EG3" s="98"/>
      <c r="EH3" s="98"/>
      <c r="EI3" s="98"/>
      <c r="EJ3" s="98"/>
      <c r="EK3" s="98"/>
      <c r="EL3" s="98"/>
      <c r="EM3" s="98"/>
      <c r="EN3" s="98"/>
      <c r="EO3" s="98"/>
      <c r="EP3" s="98"/>
      <c r="EQ3" s="98"/>
      <c r="ER3" s="98"/>
      <c r="ES3" s="98"/>
      <c r="ET3" s="98"/>
      <c r="EU3" s="98"/>
      <c r="EV3" s="98"/>
      <c r="EW3" s="98"/>
      <c r="EX3" s="98"/>
      <c r="EY3" s="98"/>
      <c r="EZ3" s="98"/>
      <c r="FA3" s="98"/>
      <c r="FB3" s="98"/>
      <c r="FC3" s="98"/>
      <c r="FD3" s="98"/>
      <c r="FE3" s="98"/>
      <c r="FF3" s="98"/>
      <c r="FG3" s="98"/>
      <c r="FH3" s="98"/>
      <c r="FI3" s="98"/>
      <c r="FJ3" s="98"/>
      <c r="FK3" s="98"/>
      <c r="FL3" s="98"/>
      <c r="FM3" s="98"/>
      <c r="FN3" s="98"/>
      <c r="FO3" s="98"/>
      <c r="FP3" s="98"/>
      <c r="FQ3" s="98"/>
      <c r="FR3" s="98"/>
      <c r="FS3" s="105"/>
      <c r="FT3" s="2"/>
      <c r="FU3" s="2"/>
      <c r="FV3" s="2"/>
      <c r="FW3" s="41"/>
      <c r="FX3" s="36"/>
      <c r="FY3" s="36"/>
      <c r="FZ3" s="36"/>
      <c r="GA3" s="36"/>
      <c r="GB3" s="36"/>
      <c r="GC3" s="36"/>
      <c r="GD3" s="36"/>
    </row>
    <row r="4" spans="1:311" x14ac:dyDescent="0.35">
      <c r="A4" s="21"/>
      <c r="B4" s="27"/>
      <c r="C4" s="17" t="s">
        <v>215</v>
      </c>
      <c r="D4" s="94"/>
      <c r="E4" s="17"/>
      <c r="F4" s="19"/>
      <c r="G4" s="20"/>
      <c r="H4" s="20" t="s">
        <v>216</v>
      </c>
      <c r="I4" s="32" t="s">
        <v>217</v>
      </c>
      <c r="J4" s="123" t="s">
        <v>218</v>
      </c>
      <c r="K4" s="123"/>
      <c r="L4" s="123"/>
      <c r="M4" s="123"/>
      <c r="N4" s="123"/>
      <c r="O4" s="123"/>
      <c r="P4" s="123"/>
      <c r="Q4" s="123"/>
      <c r="R4" s="123"/>
      <c r="S4" s="123"/>
      <c r="T4" s="123"/>
      <c r="U4" s="123"/>
      <c r="V4" s="123"/>
      <c r="W4" s="123"/>
      <c r="X4" s="123"/>
      <c r="Y4" s="123"/>
      <c r="Z4" s="123"/>
      <c r="AA4" s="123"/>
      <c r="AB4" s="123"/>
      <c r="AC4" s="123"/>
      <c r="AD4" s="123"/>
      <c r="AE4" s="123"/>
      <c r="AF4" s="123"/>
      <c r="AG4" s="123"/>
      <c r="AH4" s="123"/>
      <c r="AI4" s="123"/>
      <c r="AJ4" s="123"/>
      <c r="AK4" s="123"/>
      <c r="AL4" s="123"/>
      <c r="AM4" s="123"/>
      <c r="AN4" s="123"/>
      <c r="AO4" s="123"/>
      <c r="AP4" s="123"/>
      <c r="AQ4" s="123"/>
      <c r="AR4" s="123"/>
      <c r="AS4" s="123"/>
      <c r="AT4" s="123"/>
      <c r="AU4" s="123"/>
      <c r="AV4" s="123"/>
      <c r="AW4" s="123"/>
      <c r="AX4" s="123"/>
      <c r="AY4" s="123"/>
      <c r="AZ4" s="123"/>
      <c r="BA4" s="123"/>
      <c r="BB4" s="123"/>
      <c r="BC4" s="123"/>
      <c r="BD4" s="123"/>
      <c r="BE4" s="123"/>
      <c r="BF4" s="124" t="s">
        <v>219</v>
      </c>
      <c r="BG4" s="124"/>
      <c r="BH4" s="124"/>
      <c r="BI4" s="124"/>
      <c r="BJ4" s="124"/>
      <c r="BK4" s="124"/>
      <c r="BL4" s="124"/>
      <c r="BM4" s="124"/>
      <c r="BN4" s="124"/>
      <c r="BO4" s="124"/>
      <c r="BP4" s="124"/>
      <c r="BQ4" s="124"/>
      <c r="BR4" s="124"/>
      <c r="BS4" s="124"/>
      <c r="BT4" s="124"/>
      <c r="BU4" s="124"/>
      <c r="BV4" s="124"/>
      <c r="BW4" s="124"/>
      <c r="BX4" s="124"/>
      <c r="BY4" s="124"/>
      <c r="BZ4" s="124"/>
      <c r="CA4" s="124"/>
      <c r="CB4" s="124"/>
      <c r="CC4" s="124"/>
      <c r="CD4" s="124"/>
      <c r="CE4" s="124"/>
      <c r="CF4" s="124"/>
      <c r="CG4" s="124"/>
      <c r="CH4" s="124"/>
      <c r="CI4" s="124"/>
      <c r="CJ4" s="124"/>
      <c r="CK4" s="124"/>
      <c r="CL4" s="124"/>
      <c r="CM4" s="125" t="s">
        <v>220</v>
      </c>
      <c r="CN4" s="125"/>
      <c r="CO4" s="125"/>
      <c r="CP4" s="125"/>
      <c r="CQ4" s="125"/>
      <c r="CR4" s="125"/>
      <c r="CS4" s="125"/>
      <c r="CT4" s="125"/>
      <c r="CU4" s="125"/>
      <c r="CV4" s="125"/>
      <c r="CW4" s="125"/>
      <c r="CX4" s="125"/>
      <c r="CY4" s="125"/>
      <c r="CZ4" s="125"/>
      <c r="DA4" s="125"/>
      <c r="DB4" s="125"/>
      <c r="DC4" s="125"/>
      <c r="DD4" s="125"/>
      <c r="DE4" s="125"/>
      <c r="DF4" s="125"/>
      <c r="DG4" s="125"/>
      <c r="DH4" s="125"/>
      <c r="DI4" s="125"/>
      <c r="DJ4" s="125"/>
      <c r="DK4" s="125"/>
      <c r="DL4" s="125"/>
      <c r="DM4" s="125"/>
      <c r="DN4" s="125"/>
      <c r="DO4" s="125"/>
      <c r="DP4" s="125"/>
      <c r="DQ4" s="125"/>
      <c r="DR4" s="125"/>
      <c r="DS4" s="125"/>
      <c r="DT4" s="125"/>
      <c r="DU4" s="125"/>
      <c r="DV4" s="125"/>
      <c r="DW4" s="125"/>
      <c r="DX4" s="125"/>
      <c r="DY4" s="125"/>
      <c r="DZ4" s="125"/>
      <c r="EA4" s="125"/>
      <c r="EB4" s="125"/>
      <c r="EC4" s="125"/>
      <c r="ED4" s="125"/>
      <c r="EE4" s="125"/>
      <c r="EF4" s="125"/>
      <c r="EG4" s="125"/>
      <c r="EH4" s="125"/>
      <c r="EI4" s="125"/>
      <c r="EJ4" s="125"/>
      <c r="EK4" s="125"/>
      <c r="EL4" s="125"/>
      <c r="EM4" s="125"/>
      <c r="EN4" s="125"/>
      <c r="EO4" s="125"/>
      <c r="EP4" s="125"/>
      <c r="EQ4" s="125"/>
      <c r="ER4" s="125"/>
      <c r="ES4" s="125"/>
      <c r="ET4" s="125"/>
      <c r="EU4" s="125"/>
      <c r="EV4" s="125"/>
      <c r="EW4" s="125"/>
      <c r="EX4" s="125"/>
      <c r="EY4" s="125"/>
      <c r="EZ4" s="126" t="s">
        <v>221</v>
      </c>
      <c r="FA4" s="126"/>
      <c r="FB4" s="126"/>
      <c r="FC4" s="126"/>
      <c r="FD4" s="126"/>
      <c r="FE4" s="126"/>
      <c r="FF4" s="126"/>
      <c r="FG4" s="126"/>
      <c r="FH4" s="126"/>
      <c r="FI4" s="126"/>
      <c r="FJ4" s="126"/>
      <c r="FK4" s="126"/>
      <c r="FL4" s="126"/>
      <c r="FM4" s="126"/>
      <c r="FN4" s="126"/>
      <c r="FO4" s="126"/>
      <c r="FP4" s="126"/>
      <c r="FQ4" s="126"/>
      <c r="FR4" s="126"/>
      <c r="FS4" s="106"/>
      <c r="FT4" s="2"/>
      <c r="FU4" s="2"/>
      <c r="FV4" s="2"/>
      <c r="FW4" s="41"/>
      <c r="FX4" s="36"/>
      <c r="FY4" s="36"/>
      <c r="FZ4" s="36"/>
      <c r="GA4" s="36"/>
      <c r="GB4" s="36"/>
      <c r="GC4" s="36"/>
      <c r="GD4" s="36"/>
    </row>
    <row r="5" spans="1:311" x14ac:dyDescent="0.35">
      <c r="A5" s="21"/>
      <c r="B5" s="51"/>
      <c r="C5" s="17" t="s">
        <v>222</v>
      </c>
      <c r="D5" s="94"/>
      <c r="E5" s="17"/>
      <c r="F5" s="20"/>
      <c r="G5" s="20"/>
      <c r="H5" s="20" t="s">
        <v>223</v>
      </c>
      <c r="I5" s="127" t="s">
        <v>224</v>
      </c>
      <c r="J5" s="128"/>
      <c r="K5" s="128"/>
      <c r="L5" s="128"/>
      <c r="M5" s="128"/>
      <c r="N5" s="128"/>
      <c r="O5" s="128"/>
      <c r="P5" s="128"/>
      <c r="Q5" s="128"/>
      <c r="R5" s="128"/>
      <c r="S5" s="128"/>
      <c r="T5" s="128"/>
      <c r="U5" s="128"/>
      <c r="V5" s="128"/>
      <c r="W5" s="128"/>
      <c r="X5" s="128"/>
      <c r="Y5" s="128"/>
      <c r="Z5" s="128"/>
      <c r="AA5" s="128"/>
      <c r="AB5" s="128"/>
      <c r="AC5" s="128"/>
      <c r="AD5" s="128"/>
      <c r="AE5" s="128"/>
      <c r="AF5" s="128"/>
      <c r="AG5" s="128"/>
      <c r="AH5" s="128"/>
      <c r="AI5" s="128"/>
      <c r="AJ5" s="128"/>
      <c r="AK5" s="128"/>
      <c r="AL5" s="128"/>
      <c r="AM5" s="128"/>
      <c r="AN5" s="128"/>
      <c r="AO5" s="128"/>
      <c r="AP5" s="128"/>
      <c r="AQ5" s="128"/>
      <c r="AR5" s="128"/>
      <c r="AS5" s="128"/>
      <c r="AT5" s="128"/>
      <c r="AU5" s="128"/>
      <c r="AV5" s="128"/>
      <c r="AW5" s="128"/>
      <c r="AX5" s="128"/>
      <c r="AY5" s="128"/>
      <c r="AZ5" s="128"/>
      <c r="BA5" s="128"/>
      <c r="BB5" s="128"/>
      <c r="BC5" s="128"/>
      <c r="BD5" s="128"/>
      <c r="BE5" s="128"/>
      <c r="BF5" s="128"/>
      <c r="BG5" s="128"/>
      <c r="BH5" s="128"/>
      <c r="BI5" s="131" t="s">
        <v>225</v>
      </c>
      <c r="BJ5" s="132"/>
      <c r="BK5" s="132"/>
      <c r="BL5" s="132"/>
      <c r="BM5" s="132"/>
      <c r="BN5" s="132"/>
      <c r="BO5" s="132"/>
      <c r="BP5" s="132"/>
      <c r="BQ5" s="132"/>
      <c r="BR5" s="132"/>
      <c r="BS5" s="132"/>
      <c r="BT5" s="132"/>
      <c r="BU5" s="132"/>
      <c r="BV5" s="132"/>
      <c r="BW5" s="132"/>
      <c r="BX5" s="132"/>
      <c r="BY5" s="132"/>
      <c r="BZ5" s="132"/>
      <c r="CA5" s="132"/>
      <c r="CB5" s="132"/>
      <c r="CC5" s="132"/>
      <c r="CD5" s="132"/>
      <c r="CE5" s="132"/>
      <c r="CF5" s="132"/>
      <c r="CG5" s="132"/>
      <c r="CH5" s="132"/>
      <c r="CI5" s="132"/>
      <c r="CJ5" s="132"/>
      <c r="CK5" s="132"/>
      <c r="CL5" s="132"/>
      <c r="CM5" s="132"/>
      <c r="CN5" s="132"/>
      <c r="CO5" s="132"/>
      <c r="CP5" s="132"/>
      <c r="CQ5" s="132"/>
      <c r="CR5" s="132"/>
      <c r="CS5" s="132"/>
      <c r="CT5" s="132"/>
      <c r="CU5" s="132"/>
      <c r="CV5" s="132"/>
      <c r="CW5" s="132"/>
      <c r="CX5" s="132"/>
      <c r="CY5" s="132"/>
      <c r="CZ5" s="132"/>
      <c r="DA5" s="132"/>
      <c r="DB5" s="132"/>
      <c r="DC5" s="132"/>
      <c r="DD5" s="132"/>
      <c r="DE5" s="132"/>
      <c r="DF5" s="132"/>
      <c r="DG5" s="132"/>
      <c r="DH5" s="132"/>
      <c r="DI5" s="132"/>
      <c r="DJ5" s="132"/>
      <c r="DK5" s="132"/>
      <c r="DL5" s="132"/>
      <c r="DM5" s="132"/>
      <c r="DN5" s="132"/>
      <c r="DO5" s="132"/>
      <c r="DP5" s="132"/>
      <c r="DQ5" s="132"/>
      <c r="DR5" s="132"/>
      <c r="DS5" s="132"/>
      <c r="DT5" s="132"/>
      <c r="DU5" s="132"/>
      <c r="DV5" s="132"/>
      <c r="DW5" s="132"/>
      <c r="DX5" s="132"/>
      <c r="DY5" s="132"/>
      <c r="DZ5" s="132"/>
      <c r="EA5" s="132"/>
      <c r="EB5" s="132"/>
      <c r="EC5" s="132"/>
      <c r="ED5" s="132"/>
      <c r="EE5" s="132"/>
      <c r="EF5" s="132"/>
      <c r="EG5" s="132"/>
      <c r="EH5" s="132"/>
      <c r="EI5" s="132"/>
      <c r="EJ5" s="132"/>
      <c r="EK5" s="132"/>
      <c r="EL5" s="132"/>
      <c r="EM5" s="132"/>
      <c r="EN5" s="132"/>
      <c r="EO5" s="132"/>
      <c r="EP5" s="132"/>
      <c r="EQ5" s="132"/>
      <c r="ER5" s="132"/>
      <c r="ES5" s="132"/>
      <c r="ET5" s="132"/>
      <c r="EU5" s="132"/>
      <c r="EV5" s="132"/>
      <c r="EW5" s="132"/>
      <c r="EX5" s="132"/>
      <c r="EY5" s="132"/>
      <c r="EZ5" s="132"/>
      <c r="FA5" s="132"/>
      <c r="FB5" s="132"/>
      <c r="FC5" s="132"/>
      <c r="FD5" s="132"/>
      <c r="FE5" s="132"/>
      <c r="FF5" s="132"/>
      <c r="FG5" s="132"/>
      <c r="FH5" s="132"/>
      <c r="FI5" s="132"/>
      <c r="FJ5" s="132"/>
      <c r="FK5" s="133"/>
      <c r="FL5" s="137" t="s">
        <v>226</v>
      </c>
      <c r="FM5" s="138"/>
      <c r="FN5" s="138"/>
      <c r="FO5" s="138"/>
      <c r="FP5" s="138"/>
      <c r="FQ5" s="138"/>
      <c r="FR5" s="139"/>
      <c r="FS5" s="107"/>
      <c r="FT5" s="143" t="s">
        <v>227</v>
      </c>
      <c r="FU5" s="143"/>
      <c r="FV5" s="143"/>
      <c r="FW5" s="143"/>
      <c r="FX5" s="36"/>
      <c r="FY5" s="36"/>
      <c r="FZ5" s="36"/>
      <c r="GA5" s="36"/>
      <c r="GB5" s="36"/>
      <c r="GC5" s="36"/>
      <c r="GD5" s="36"/>
    </row>
    <row r="6" spans="1:311" x14ac:dyDescent="0.35">
      <c r="A6" s="22"/>
      <c r="B6" s="92"/>
      <c r="C6" s="17" t="s">
        <v>228</v>
      </c>
      <c r="D6" s="94"/>
      <c r="E6" s="17"/>
      <c r="F6" s="20"/>
      <c r="G6" s="20"/>
      <c r="H6" s="20"/>
      <c r="I6" s="129"/>
      <c r="J6" s="130"/>
      <c r="K6" s="130"/>
      <c r="L6" s="130"/>
      <c r="M6" s="130"/>
      <c r="N6" s="130"/>
      <c r="O6" s="130"/>
      <c r="P6" s="130"/>
      <c r="Q6" s="130"/>
      <c r="R6" s="130"/>
      <c r="S6" s="130"/>
      <c r="T6" s="130"/>
      <c r="U6" s="130"/>
      <c r="V6" s="130"/>
      <c r="W6" s="130"/>
      <c r="X6" s="130"/>
      <c r="Y6" s="130"/>
      <c r="Z6" s="130"/>
      <c r="AA6" s="130"/>
      <c r="AB6" s="130"/>
      <c r="AC6" s="130"/>
      <c r="AD6" s="130"/>
      <c r="AE6" s="130"/>
      <c r="AF6" s="130"/>
      <c r="AG6" s="130"/>
      <c r="AH6" s="130"/>
      <c r="AI6" s="130"/>
      <c r="AJ6" s="130"/>
      <c r="AK6" s="130"/>
      <c r="AL6" s="130"/>
      <c r="AM6" s="130"/>
      <c r="AN6" s="130"/>
      <c r="AO6" s="130"/>
      <c r="AP6" s="130"/>
      <c r="AQ6" s="130"/>
      <c r="AR6" s="130"/>
      <c r="AS6" s="130"/>
      <c r="AT6" s="130"/>
      <c r="AU6" s="130"/>
      <c r="AV6" s="130"/>
      <c r="AW6" s="130"/>
      <c r="AX6" s="130"/>
      <c r="AY6" s="130"/>
      <c r="AZ6" s="130"/>
      <c r="BA6" s="130"/>
      <c r="BB6" s="130"/>
      <c r="BC6" s="130"/>
      <c r="BD6" s="130"/>
      <c r="BE6" s="130"/>
      <c r="BF6" s="130"/>
      <c r="BG6" s="130"/>
      <c r="BH6" s="130"/>
      <c r="BI6" s="134"/>
      <c r="BJ6" s="135"/>
      <c r="BK6" s="135"/>
      <c r="BL6" s="135"/>
      <c r="BM6" s="135"/>
      <c r="BN6" s="135"/>
      <c r="BO6" s="135"/>
      <c r="BP6" s="135"/>
      <c r="BQ6" s="135"/>
      <c r="BR6" s="135"/>
      <c r="BS6" s="135"/>
      <c r="BT6" s="135"/>
      <c r="BU6" s="135"/>
      <c r="BV6" s="135"/>
      <c r="BW6" s="135"/>
      <c r="BX6" s="135"/>
      <c r="BY6" s="135"/>
      <c r="BZ6" s="135"/>
      <c r="CA6" s="135"/>
      <c r="CB6" s="135"/>
      <c r="CC6" s="135"/>
      <c r="CD6" s="135"/>
      <c r="CE6" s="135"/>
      <c r="CF6" s="135"/>
      <c r="CG6" s="135"/>
      <c r="CH6" s="135"/>
      <c r="CI6" s="135"/>
      <c r="CJ6" s="135"/>
      <c r="CK6" s="135"/>
      <c r="CL6" s="135"/>
      <c r="CM6" s="135"/>
      <c r="CN6" s="135"/>
      <c r="CO6" s="135"/>
      <c r="CP6" s="135"/>
      <c r="CQ6" s="135"/>
      <c r="CR6" s="135"/>
      <c r="CS6" s="135"/>
      <c r="CT6" s="135"/>
      <c r="CU6" s="135"/>
      <c r="CV6" s="135"/>
      <c r="CW6" s="135"/>
      <c r="CX6" s="135"/>
      <c r="CY6" s="135"/>
      <c r="CZ6" s="135"/>
      <c r="DA6" s="135"/>
      <c r="DB6" s="135"/>
      <c r="DC6" s="135"/>
      <c r="DD6" s="135"/>
      <c r="DE6" s="135"/>
      <c r="DF6" s="135"/>
      <c r="DG6" s="135"/>
      <c r="DH6" s="135"/>
      <c r="DI6" s="135"/>
      <c r="DJ6" s="135"/>
      <c r="DK6" s="135"/>
      <c r="DL6" s="135"/>
      <c r="DM6" s="135"/>
      <c r="DN6" s="135"/>
      <c r="DO6" s="135"/>
      <c r="DP6" s="135"/>
      <c r="DQ6" s="135"/>
      <c r="DR6" s="135"/>
      <c r="DS6" s="135"/>
      <c r="DT6" s="135"/>
      <c r="DU6" s="135"/>
      <c r="DV6" s="135"/>
      <c r="DW6" s="135"/>
      <c r="DX6" s="135"/>
      <c r="DY6" s="135"/>
      <c r="DZ6" s="135"/>
      <c r="EA6" s="135"/>
      <c r="EB6" s="135"/>
      <c r="EC6" s="135"/>
      <c r="ED6" s="135"/>
      <c r="EE6" s="135"/>
      <c r="EF6" s="135"/>
      <c r="EG6" s="135"/>
      <c r="EH6" s="135"/>
      <c r="EI6" s="135"/>
      <c r="EJ6" s="135"/>
      <c r="EK6" s="135"/>
      <c r="EL6" s="135"/>
      <c r="EM6" s="135"/>
      <c r="EN6" s="135"/>
      <c r="EO6" s="135"/>
      <c r="EP6" s="135"/>
      <c r="EQ6" s="135"/>
      <c r="ER6" s="135"/>
      <c r="ES6" s="135"/>
      <c r="ET6" s="135"/>
      <c r="EU6" s="135"/>
      <c r="EV6" s="135"/>
      <c r="EW6" s="135"/>
      <c r="EX6" s="135"/>
      <c r="EY6" s="135"/>
      <c r="EZ6" s="135"/>
      <c r="FA6" s="135"/>
      <c r="FB6" s="135"/>
      <c r="FC6" s="135"/>
      <c r="FD6" s="135"/>
      <c r="FE6" s="135"/>
      <c r="FF6" s="135"/>
      <c r="FG6" s="135"/>
      <c r="FH6" s="135"/>
      <c r="FI6" s="135"/>
      <c r="FJ6" s="135"/>
      <c r="FK6" s="136"/>
      <c r="FL6" s="140"/>
      <c r="FM6" s="141"/>
      <c r="FN6" s="141"/>
      <c r="FO6" s="141"/>
      <c r="FP6" s="141"/>
      <c r="FQ6" s="141"/>
      <c r="FR6" s="142"/>
      <c r="FS6" s="108"/>
      <c r="FT6" s="143"/>
      <c r="FU6" s="143"/>
      <c r="FV6" s="143"/>
      <c r="FW6" s="143"/>
      <c r="FX6" s="36"/>
      <c r="FY6" s="36"/>
      <c r="FZ6" s="36"/>
      <c r="GA6" s="36"/>
      <c r="GB6" s="36"/>
      <c r="GC6" s="36"/>
      <c r="GD6" s="36"/>
    </row>
    <row r="7" spans="1:311" s="23" customFormat="1" ht="38.25" customHeight="1" x14ac:dyDescent="0.35">
      <c r="A7" s="144" t="s">
        <v>229</v>
      </c>
      <c r="B7" s="144"/>
      <c r="C7" s="144"/>
      <c r="D7" s="144"/>
      <c r="E7" s="144"/>
      <c r="F7" s="144"/>
      <c r="G7" s="144"/>
      <c r="H7" s="52"/>
      <c r="I7" s="37" t="s">
        <v>230</v>
      </c>
      <c r="J7" s="145" t="s">
        <v>231</v>
      </c>
      <c r="K7" s="145"/>
      <c r="L7" s="145"/>
      <c r="M7" s="146" t="s">
        <v>232</v>
      </c>
      <c r="N7" s="146"/>
      <c r="O7" s="146"/>
      <c r="P7" s="146" t="s">
        <v>233</v>
      </c>
      <c r="Q7" s="146"/>
      <c r="R7" s="147"/>
      <c r="S7" s="145" t="s">
        <v>234</v>
      </c>
      <c r="T7" s="145"/>
      <c r="U7" s="145"/>
      <c r="V7" s="145" t="s">
        <v>235</v>
      </c>
      <c r="W7" s="145" t="s">
        <v>235</v>
      </c>
      <c r="X7" s="145"/>
      <c r="Y7" s="145" t="s">
        <v>236</v>
      </c>
      <c r="Z7" s="145" t="s">
        <v>236</v>
      </c>
      <c r="AA7" s="148"/>
      <c r="AB7" s="145" t="s">
        <v>237</v>
      </c>
      <c r="AC7" s="145"/>
      <c r="AD7" s="145"/>
      <c r="AE7" s="145" t="s">
        <v>238</v>
      </c>
      <c r="AF7" s="145" t="s">
        <v>239</v>
      </c>
      <c r="AG7" s="145"/>
      <c r="AH7" s="149" t="s">
        <v>240</v>
      </c>
      <c r="AI7" s="149" t="s">
        <v>241</v>
      </c>
      <c r="AJ7" s="150"/>
      <c r="AK7" s="145" t="s">
        <v>242</v>
      </c>
      <c r="AL7" s="145" t="s">
        <v>243</v>
      </c>
      <c r="AM7" s="145"/>
      <c r="AN7" s="145" t="s">
        <v>244</v>
      </c>
      <c r="AO7" s="145" t="s">
        <v>244</v>
      </c>
      <c r="AP7" s="145"/>
      <c r="AQ7" s="149" t="s">
        <v>245</v>
      </c>
      <c r="AR7" s="149" t="s">
        <v>245</v>
      </c>
      <c r="AS7" s="150"/>
      <c r="AT7" s="145" t="s">
        <v>246</v>
      </c>
      <c r="AU7" s="145" t="s">
        <v>246</v>
      </c>
      <c r="AV7" s="145"/>
      <c r="AW7" s="145" t="s">
        <v>247</v>
      </c>
      <c r="AX7" s="145" t="s">
        <v>247</v>
      </c>
      <c r="AY7" s="145"/>
      <c r="AZ7" s="151" t="s">
        <v>248</v>
      </c>
      <c r="BA7" s="151"/>
      <c r="BB7" s="151"/>
      <c r="BC7" s="149" t="s">
        <v>249</v>
      </c>
      <c r="BD7" s="149"/>
      <c r="BE7" s="150"/>
      <c r="BF7" s="145" t="s">
        <v>250</v>
      </c>
      <c r="BG7" s="145" t="s">
        <v>250</v>
      </c>
      <c r="BH7" s="145"/>
      <c r="BI7" s="145" t="s">
        <v>251</v>
      </c>
      <c r="BJ7" s="145" t="s">
        <v>251</v>
      </c>
      <c r="BK7" s="145"/>
      <c r="BL7" s="145" t="s">
        <v>252</v>
      </c>
      <c r="BM7" s="145" t="s">
        <v>252</v>
      </c>
      <c r="BN7" s="145"/>
      <c r="BO7" s="145" t="s">
        <v>253</v>
      </c>
      <c r="BP7" s="145" t="s">
        <v>253</v>
      </c>
      <c r="BQ7" s="145"/>
      <c r="BR7" s="145" t="s">
        <v>254</v>
      </c>
      <c r="BS7" s="145" t="s">
        <v>254</v>
      </c>
      <c r="BT7" s="145"/>
      <c r="BU7" s="145" t="s">
        <v>255</v>
      </c>
      <c r="BV7" s="145" t="s">
        <v>255</v>
      </c>
      <c r="BW7" s="145"/>
      <c r="BX7" s="145" t="s">
        <v>256</v>
      </c>
      <c r="BY7" s="145" t="s">
        <v>256</v>
      </c>
      <c r="BZ7" s="145"/>
      <c r="CA7" s="145" t="s">
        <v>257</v>
      </c>
      <c r="CB7" s="145" t="s">
        <v>257</v>
      </c>
      <c r="CC7" s="145"/>
      <c r="CD7" s="145" t="s">
        <v>258</v>
      </c>
      <c r="CE7" s="145" t="s">
        <v>258</v>
      </c>
      <c r="CF7" s="145"/>
      <c r="CG7" s="145" t="s">
        <v>259</v>
      </c>
      <c r="CH7" s="145" t="s">
        <v>259</v>
      </c>
      <c r="CI7" s="145"/>
      <c r="CJ7" s="145" t="s">
        <v>260</v>
      </c>
      <c r="CK7" s="145" t="s">
        <v>260</v>
      </c>
      <c r="CL7" s="145"/>
      <c r="CM7" s="152" t="s">
        <v>261</v>
      </c>
      <c r="CN7" s="152"/>
      <c r="CO7" s="153"/>
      <c r="CP7" s="153" t="s">
        <v>262</v>
      </c>
      <c r="CQ7" s="154"/>
      <c r="CR7" s="154"/>
      <c r="CS7" s="155"/>
      <c r="CT7" s="149" t="s">
        <v>263</v>
      </c>
      <c r="CU7" s="149"/>
      <c r="CV7" s="150"/>
      <c r="CW7" s="156" t="s">
        <v>264</v>
      </c>
      <c r="CX7" s="156"/>
      <c r="CY7" s="156"/>
      <c r="CZ7" s="145" t="s">
        <v>265</v>
      </c>
      <c r="DA7" s="145"/>
      <c r="DB7" s="145"/>
      <c r="DC7" s="157" t="s">
        <v>266</v>
      </c>
      <c r="DD7" s="157"/>
      <c r="DE7" s="157"/>
      <c r="DF7" s="158" t="s">
        <v>267</v>
      </c>
      <c r="DG7" s="158"/>
      <c r="DH7" s="158"/>
      <c r="DI7" s="159" t="s">
        <v>268</v>
      </c>
      <c r="DJ7" s="160"/>
      <c r="DK7" s="160"/>
      <c r="DL7" s="161"/>
      <c r="DM7" s="156" t="s">
        <v>269</v>
      </c>
      <c r="DN7" s="156"/>
      <c r="DO7" s="156"/>
      <c r="DP7" s="145" t="s">
        <v>270</v>
      </c>
      <c r="DQ7" s="145"/>
      <c r="DR7" s="145"/>
      <c r="DS7" s="162" t="s">
        <v>271</v>
      </c>
      <c r="DT7" s="163"/>
      <c r="DU7" s="163"/>
      <c r="DV7" s="164"/>
      <c r="DW7" s="162" t="s">
        <v>272</v>
      </c>
      <c r="DX7" s="163"/>
      <c r="DY7" s="163"/>
      <c r="DZ7" s="164"/>
      <c r="EA7" s="162" t="s">
        <v>273</v>
      </c>
      <c r="EB7" s="163"/>
      <c r="EC7" s="163"/>
      <c r="ED7" s="164"/>
      <c r="EE7" s="146" t="s">
        <v>274</v>
      </c>
      <c r="EF7" s="146"/>
      <c r="EG7" s="146"/>
      <c r="EH7" s="146" t="s">
        <v>275</v>
      </c>
      <c r="EI7" s="146"/>
      <c r="EJ7" s="147"/>
      <c r="EK7" s="156" t="s">
        <v>276</v>
      </c>
      <c r="EL7" s="156"/>
      <c r="EM7" s="156"/>
      <c r="EN7" s="145" t="s">
        <v>277</v>
      </c>
      <c r="EO7" s="145"/>
      <c r="EP7" s="145"/>
      <c r="EQ7" s="145" t="s">
        <v>278</v>
      </c>
      <c r="ER7" s="145"/>
      <c r="ES7" s="145"/>
      <c r="ET7" s="145" t="s">
        <v>279</v>
      </c>
      <c r="EU7" s="145"/>
      <c r="EV7" s="145"/>
      <c r="EW7" s="145" t="s">
        <v>280</v>
      </c>
      <c r="EX7" s="145"/>
      <c r="EY7" s="145"/>
      <c r="EZ7" s="167" t="s">
        <v>281</v>
      </c>
      <c r="FA7" s="167" t="s">
        <v>281</v>
      </c>
      <c r="FB7" s="167"/>
      <c r="FC7" s="145" t="s">
        <v>282</v>
      </c>
      <c r="FD7" s="145"/>
      <c r="FE7" s="145"/>
      <c r="FF7" s="148" t="s">
        <v>283</v>
      </c>
      <c r="FG7" s="168"/>
      <c r="FH7" s="168"/>
      <c r="FI7" s="165" t="s">
        <v>284</v>
      </c>
      <c r="FJ7" s="165"/>
      <c r="FK7" s="165"/>
      <c r="FL7" s="149" t="s">
        <v>285</v>
      </c>
      <c r="FM7" s="149"/>
      <c r="FN7" s="149"/>
      <c r="FO7" s="166" t="s">
        <v>286</v>
      </c>
      <c r="FP7" s="166"/>
      <c r="FQ7" s="166"/>
      <c r="FR7" s="75" t="s">
        <v>287</v>
      </c>
      <c r="FS7" s="75" t="s">
        <v>288</v>
      </c>
      <c r="FT7" s="143"/>
      <c r="FU7" s="143"/>
      <c r="FV7" s="143"/>
      <c r="FW7" s="143"/>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row>
    <row r="8" spans="1:311" s="3" customFormat="1" ht="115.9" customHeight="1" x14ac:dyDescent="0.35">
      <c r="A8" s="33" t="s">
        <v>3</v>
      </c>
      <c r="B8" s="33" t="s">
        <v>36</v>
      </c>
      <c r="C8" s="33" t="s">
        <v>289</v>
      </c>
      <c r="D8" s="35" t="s">
        <v>290</v>
      </c>
      <c r="E8" s="33" t="s">
        <v>291</v>
      </c>
      <c r="F8" s="34" t="s">
        <v>292</v>
      </c>
      <c r="G8" s="34" t="s">
        <v>293</v>
      </c>
      <c r="H8" s="53" t="s">
        <v>294</v>
      </c>
      <c r="I8" s="33" t="s">
        <v>295</v>
      </c>
      <c r="J8" s="34" t="s">
        <v>296</v>
      </c>
      <c r="K8" s="34" t="s">
        <v>297</v>
      </c>
      <c r="L8" s="34" t="s">
        <v>298</v>
      </c>
      <c r="M8" s="33" t="s">
        <v>299</v>
      </c>
      <c r="N8" s="33" t="s">
        <v>300</v>
      </c>
      <c r="O8" s="33" t="s">
        <v>301</v>
      </c>
      <c r="P8" s="33" t="s">
        <v>302</v>
      </c>
      <c r="Q8" s="33" t="s">
        <v>303</v>
      </c>
      <c r="R8" s="33" t="s">
        <v>304</v>
      </c>
      <c r="S8" s="34" t="s">
        <v>305</v>
      </c>
      <c r="T8" s="34" t="s">
        <v>306</v>
      </c>
      <c r="U8" s="34" t="s">
        <v>307</v>
      </c>
      <c r="V8" s="34" t="s">
        <v>308</v>
      </c>
      <c r="W8" s="34" t="s">
        <v>309</v>
      </c>
      <c r="X8" s="34" t="s">
        <v>310</v>
      </c>
      <c r="Y8" s="34" t="s">
        <v>311</v>
      </c>
      <c r="Z8" s="34" t="s">
        <v>312</v>
      </c>
      <c r="AA8" s="34" t="s">
        <v>313</v>
      </c>
      <c r="AB8" s="34" t="s">
        <v>314</v>
      </c>
      <c r="AC8" s="34" t="s">
        <v>315</v>
      </c>
      <c r="AD8" s="34" t="s">
        <v>316</v>
      </c>
      <c r="AE8" s="34" t="s">
        <v>317</v>
      </c>
      <c r="AF8" s="34" t="s">
        <v>318</v>
      </c>
      <c r="AG8" s="34" t="s">
        <v>319</v>
      </c>
      <c r="AH8" s="33" t="s">
        <v>320</v>
      </c>
      <c r="AI8" s="33" t="s">
        <v>321</v>
      </c>
      <c r="AJ8" s="33" t="s">
        <v>322</v>
      </c>
      <c r="AK8" s="34" t="s">
        <v>323</v>
      </c>
      <c r="AL8" s="34" t="s">
        <v>324</v>
      </c>
      <c r="AM8" s="34" t="s">
        <v>325</v>
      </c>
      <c r="AN8" s="34" t="s">
        <v>326</v>
      </c>
      <c r="AO8" s="34" t="s">
        <v>327</v>
      </c>
      <c r="AP8" s="34" t="s">
        <v>328</v>
      </c>
      <c r="AQ8" s="33" t="s">
        <v>329</v>
      </c>
      <c r="AR8" s="33" t="s">
        <v>330</v>
      </c>
      <c r="AS8" s="33" t="s">
        <v>331</v>
      </c>
      <c r="AT8" s="34" t="s">
        <v>332</v>
      </c>
      <c r="AU8" s="34" t="s">
        <v>333</v>
      </c>
      <c r="AV8" s="34" t="s">
        <v>334</v>
      </c>
      <c r="AW8" s="34" t="s">
        <v>335</v>
      </c>
      <c r="AX8" s="34" t="s">
        <v>336</v>
      </c>
      <c r="AY8" s="34" t="s">
        <v>337</v>
      </c>
      <c r="AZ8" s="34" t="s">
        <v>338</v>
      </c>
      <c r="BA8" s="34" t="s">
        <v>339</v>
      </c>
      <c r="BB8" s="34" t="s">
        <v>340</v>
      </c>
      <c r="BC8" s="33" t="s">
        <v>341</v>
      </c>
      <c r="BD8" s="33" t="s">
        <v>342</v>
      </c>
      <c r="BE8" s="33" t="s">
        <v>343</v>
      </c>
      <c r="BF8" s="34" t="s">
        <v>344</v>
      </c>
      <c r="BG8" s="34" t="s">
        <v>345</v>
      </c>
      <c r="BH8" s="34" t="s">
        <v>346</v>
      </c>
      <c r="BI8" s="34" t="s">
        <v>347</v>
      </c>
      <c r="BJ8" s="34" t="s">
        <v>348</v>
      </c>
      <c r="BK8" s="34" t="s">
        <v>349</v>
      </c>
      <c r="BL8" s="34" t="s">
        <v>350</v>
      </c>
      <c r="BM8" s="34" t="s">
        <v>351</v>
      </c>
      <c r="BN8" s="34" t="s">
        <v>352</v>
      </c>
      <c r="BO8" s="34" t="s">
        <v>353</v>
      </c>
      <c r="BP8" s="34" t="s">
        <v>354</v>
      </c>
      <c r="BQ8" s="34" t="s">
        <v>355</v>
      </c>
      <c r="BR8" s="34" t="s">
        <v>356</v>
      </c>
      <c r="BS8" s="34" t="s">
        <v>357</v>
      </c>
      <c r="BT8" s="34" t="s">
        <v>358</v>
      </c>
      <c r="BU8" s="34" t="s">
        <v>359</v>
      </c>
      <c r="BV8" s="34" t="s">
        <v>360</v>
      </c>
      <c r="BW8" s="34" t="s">
        <v>361</v>
      </c>
      <c r="BX8" s="34" t="s">
        <v>362</v>
      </c>
      <c r="BY8" s="34" t="s">
        <v>362</v>
      </c>
      <c r="BZ8" s="34" t="s">
        <v>363</v>
      </c>
      <c r="CA8" s="34" t="s">
        <v>364</v>
      </c>
      <c r="CB8" s="34" t="s">
        <v>364</v>
      </c>
      <c r="CC8" s="34" t="s">
        <v>365</v>
      </c>
      <c r="CD8" s="34" t="s">
        <v>366</v>
      </c>
      <c r="CE8" s="34" t="s">
        <v>367</v>
      </c>
      <c r="CF8" s="34" t="s">
        <v>368</v>
      </c>
      <c r="CG8" s="34" t="s">
        <v>369</v>
      </c>
      <c r="CH8" s="34" t="s">
        <v>370</v>
      </c>
      <c r="CI8" s="34" t="s">
        <v>371</v>
      </c>
      <c r="CJ8" s="34" t="s">
        <v>372</v>
      </c>
      <c r="CK8" s="34" t="s">
        <v>373</v>
      </c>
      <c r="CL8" s="34" t="s">
        <v>374</v>
      </c>
      <c r="CM8" s="33" t="s">
        <v>375</v>
      </c>
      <c r="CN8" s="33" t="s">
        <v>376</v>
      </c>
      <c r="CO8" s="33" t="s">
        <v>377</v>
      </c>
      <c r="CP8" s="33" t="s">
        <v>378</v>
      </c>
      <c r="CQ8" s="33" t="s">
        <v>379</v>
      </c>
      <c r="CR8" s="33" t="s">
        <v>380</v>
      </c>
      <c r="CS8" s="78" t="s">
        <v>381</v>
      </c>
      <c r="CT8" s="33" t="s">
        <v>382</v>
      </c>
      <c r="CU8" s="33" t="s">
        <v>383</v>
      </c>
      <c r="CV8" s="33" t="s">
        <v>384</v>
      </c>
      <c r="CW8" s="34" t="s">
        <v>385</v>
      </c>
      <c r="CX8" s="34" t="s">
        <v>386</v>
      </c>
      <c r="CY8" s="34" t="s">
        <v>387</v>
      </c>
      <c r="CZ8" s="34" t="s">
        <v>388</v>
      </c>
      <c r="DA8" s="34" t="s">
        <v>389</v>
      </c>
      <c r="DB8" s="34" t="s">
        <v>390</v>
      </c>
      <c r="DC8" s="34" t="s">
        <v>391</v>
      </c>
      <c r="DD8" s="34" t="s">
        <v>392</v>
      </c>
      <c r="DE8" s="34" t="s">
        <v>393</v>
      </c>
      <c r="DF8" s="33" t="s">
        <v>394</v>
      </c>
      <c r="DG8" s="33" t="s">
        <v>395</v>
      </c>
      <c r="DH8" s="33" t="s">
        <v>396</v>
      </c>
      <c r="DI8" s="34" t="s">
        <v>397</v>
      </c>
      <c r="DJ8" s="34" t="s">
        <v>398</v>
      </c>
      <c r="DK8" s="34" t="s">
        <v>399</v>
      </c>
      <c r="DL8" s="34" t="s">
        <v>400</v>
      </c>
      <c r="DM8" s="34" t="s">
        <v>401</v>
      </c>
      <c r="DN8" s="34" t="s">
        <v>402</v>
      </c>
      <c r="DO8" s="34" t="s">
        <v>403</v>
      </c>
      <c r="DP8" s="34" t="s">
        <v>404</v>
      </c>
      <c r="DQ8" s="34" t="s">
        <v>405</v>
      </c>
      <c r="DR8" s="34" t="s">
        <v>406</v>
      </c>
      <c r="DS8" s="34" t="s">
        <v>407</v>
      </c>
      <c r="DT8" s="34" t="s">
        <v>408</v>
      </c>
      <c r="DU8" s="34" t="s">
        <v>409</v>
      </c>
      <c r="DV8" s="34" t="s">
        <v>410</v>
      </c>
      <c r="DW8" s="34" t="s">
        <v>411</v>
      </c>
      <c r="DX8" s="34" t="s">
        <v>412</v>
      </c>
      <c r="DY8" s="34" t="s">
        <v>413</v>
      </c>
      <c r="DZ8" s="34" t="s">
        <v>414</v>
      </c>
      <c r="EA8" s="34" t="s">
        <v>415</v>
      </c>
      <c r="EB8" s="34" t="s">
        <v>416</v>
      </c>
      <c r="EC8" s="34" t="s">
        <v>417</v>
      </c>
      <c r="ED8" s="34" t="s">
        <v>418</v>
      </c>
      <c r="EE8" s="33" t="s">
        <v>419</v>
      </c>
      <c r="EF8" s="33" t="s">
        <v>420</v>
      </c>
      <c r="EG8" s="33" t="s">
        <v>421</v>
      </c>
      <c r="EH8" s="33" t="s">
        <v>422</v>
      </c>
      <c r="EI8" s="33" t="s">
        <v>423</v>
      </c>
      <c r="EJ8" s="33" t="s">
        <v>424</v>
      </c>
      <c r="EK8" s="34" t="s">
        <v>425</v>
      </c>
      <c r="EL8" s="34" t="s">
        <v>426</v>
      </c>
      <c r="EM8" s="34" t="s">
        <v>427</v>
      </c>
      <c r="EN8" s="34" t="s">
        <v>428</v>
      </c>
      <c r="EO8" s="34" t="s">
        <v>429</v>
      </c>
      <c r="EP8" s="34" t="s">
        <v>430</v>
      </c>
      <c r="EQ8" s="34" t="s">
        <v>431</v>
      </c>
      <c r="ER8" s="34" t="s">
        <v>432</v>
      </c>
      <c r="ES8" s="34" t="s">
        <v>433</v>
      </c>
      <c r="ET8" s="34" t="s">
        <v>434</v>
      </c>
      <c r="EU8" s="34" t="s">
        <v>435</v>
      </c>
      <c r="EV8" s="34" t="s">
        <v>436</v>
      </c>
      <c r="EW8" s="34" t="s">
        <v>437</v>
      </c>
      <c r="EX8" s="34" t="s">
        <v>438</v>
      </c>
      <c r="EY8" s="34" t="s">
        <v>439</v>
      </c>
      <c r="EZ8" s="33" t="s">
        <v>440</v>
      </c>
      <c r="FA8" s="33" t="s">
        <v>441</v>
      </c>
      <c r="FB8" s="33" t="s">
        <v>442</v>
      </c>
      <c r="FC8" s="34" t="s">
        <v>443</v>
      </c>
      <c r="FD8" s="34" t="s">
        <v>444</v>
      </c>
      <c r="FE8" s="34" t="s">
        <v>445</v>
      </c>
      <c r="FF8" s="34" t="s">
        <v>446</v>
      </c>
      <c r="FG8" s="34" t="s">
        <v>447</v>
      </c>
      <c r="FH8" s="34" t="s">
        <v>448</v>
      </c>
      <c r="FI8" s="34" t="s">
        <v>449</v>
      </c>
      <c r="FJ8" s="34" t="s">
        <v>450</v>
      </c>
      <c r="FK8" s="34" t="s">
        <v>451</v>
      </c>
      <c r="FL8" s="33" t="s">
        <v>452</v>
      </c>
      <c r="FM8" s="33" t="s">
        <v>453</v>
      </c>
      <c r="FN8" s="33" t="s">
        <v>454</v>
      </c>
      <c r="FO8" s="33" t="s">
        <v>455</v>
      </c>
      <c r="FP8" s="33" t="s">
        <v>456</v>
      </c>
      <c r="FQ8" s="33" t="s">
        <v>457</v>
      </c>
      <c r="FR8" s="78" t="s">
        <v>287</v>
      </c>
      <c r="FS8" s="78" t="s">
        <v>458</v>
      </c>
      <c r="FT8" s="35" t="s">
        <v>459</v>
      </c>
      <c r="FU8" s="35" t="s">
        <v>460</v>
      </c>
      <c r="FV8" s="35" t="s">
        <v>461</v>
      </c>
      <c r="FW8" s="35" t="s">
        <v>462</v>
      </c>
    </row>
    <row r="9" spans="1:311" outlineLevel="1" x14ac:dyDescent="0.35">
      <c r="A9" s="23"/>
      <c r="B9" s="23"/>
      <c r="C9" s="24"/>
      <c r="D9" s="95"/>
      <c r="E9" s="24"/>
      <c r="F9" s="25" t="s">
        <v>463</v>
      </c>
      <c r="G9" s="26"/>
      <c r="H9" s="26"/>
      <c r="I9" s="27"/>
      <c r="J9" s="27"/>
      <c r="K9" s="27"/>
      <c r="L9" s="27"/>
      <c r="M9" s="4">
        <v>27</v>
      </c>
      <c r="N9" s="4">
        <v>27</v>
      </c>
      <c r="O9" s="27"/>
      <c r="P9" s="4">
        <v>0</v>
      </c>
      <c r="Q9" s="4">
        <v>0</v>
      </c>
      <c r="R9" s="27"/>
      <c r="S9" s="27"/>
      <c r="T9" s="27"/>
      <c r="U9" s="27"/>
      <c r="V9" s="4">
        <v>30</v>
      </c>
      <c r="W9" s="4">
        <v>30</v>
      </c>
      <c r="X9" s="27"/>
      <c r="Y9" s="4">
        <v>70</v>
      </c>
      <c r="Z9" s="4">
        <v>70</v>
      </c>
      <c r="AA9" s="27"/>
      <c r="AB9" s="4">
        <v>0</v>
      </c>
      <c r="AC9" s="4">
        <v>0</v>
      </c>
      <c r="AD9" s="27"/>
      <c r="AE9" s="4">
        <v>75</v>
      </c>
      <c r="AF9" s="4">
        <v>75</v>
      </c>
      <c r="AG9" s="27"/>
      <c r="AH9" s="4">
        <v>5</v>
      </c>
      <c r="AI9" s="4">
        <v>5</v>
      </c>
      <c r="AJ9" s="27"/>
      <c r="AK9" s="4">
        <v>20</v>
      </c>
      <c r="AL9" s="4">
        <v>20</v>
      </c>
      <c r="AM9" s="27"/>
      <c r="AN9" s="4">
        <v>0</v>
      </c>
      <c r="AO9" s="4">
        <v>0</v>
      </c>
      <c r="AP9" s="27"/>
      <c r="AQ9" s="4">
        <v>20</v>
      </c>
      <c r="AR9" s="4">
        <v>20</v>
      </c>
      <c r="AS9" s="27"/>
      <c r="AT9" s="4">
        <v>5</v>
      </c>
      <c r="AU9" s="4">
        <v>5</v>
      </c>
      <c r="AV9" s="27"/>
      <c r="AW9" s="4">
        <v>10</v>
      </c>
      <c r="AX9" s="4">
        <v>10</v>
      </c>
      <c r="AY9" s="27"/>
      <c r="AZ9" s="4">
        <v>30</v>
      </c>
      <c r="BA9" s="4">
        <v>30</v>
      </c>
      <c r="BB9" s="27"/>
      <c r="BC9" s="4">
        <v>5</v>
      </c>
      <c r="BD9" s="4">
        <v>5</v>
      </c>
      <c r="BE9" s="27"/>
      <c r="BF9" s="4">
        <v>5</v>
      </c>
      <c r="BG9" s="4">
        <v>5</v>
      </c>
      <c r="BH9" s="27"/>
      <c r="BI9" s="4">
        <v>5</v>
      </c>
      <c r="BJ9" s="4">
        <v>5</v>
      </c>
      <c r="BK9" s="27"/>
      <c r="BL9" s="27"/>
      <c r="BM9" s="27"/>
      <c r="BN9" s="27"/>
      <c r="BO9" s="27"/>
      <c r="BP9" s="27"/>
      <c r="BQ9" s="27"/>
      <c r="BR9" s="27"/>
      <c r="BS9" s="27"/>
      <c r="BT9" s="27"/>
      <c r="BU9" s="27"/>
      <c r="BV9" s="27"/>
      <c r="BW9" s="27"/>
      <c r="BX9" s="27"/>
      <c r="BY9" s="27"/>
      <c r="BZ9" s="27"/>
      <c r="CA9" s="27"/>
      <c r="CB9" s="27"/>
      <c r="CC9" s="27"/>
      <c r="CD9" s="27"/>
      <c r="CE9" s="27"/>
      <c r="CF9" s="27"/>
      <c r="CG9" s="27"/>
      <c r="CH9" s="27"/>
      <c r="CI9" s="27"/>
      <c r="CJ9" s="27"/>
      <c r="CK9" s="27"/>
      <c r="CL9" s="27"/>
      <c r="CM9" s="4">
        <v>3</v>
      </c>
      <c r="CN9" s="4">
        <v>3</v>
      </c>
      <c r="CO9" s="27"/>
      <c r="CP9" s="4">
        <v>5</v>
      </c>
      <c r="CQ9" s="4">
        <v>5</v>
      </c>
      <c r="CR9" s="27"/>
      <c r="CS9" s="27"/>
      <c r="CT9" s="5">
        <v>120</v>
      </c>
      <c r="CU9" s="5">
        <v>120</v>
      </c>
      <c r="CV9" s="27"/>
      <c r="CW9" s="5">
        <v>10</v>
      </c>
      <c r="CX9" s="5">
        <v>10</v>
      </c>
      <c r="CY9" s="27"/>
      <c r="CZ9" s="5">
        <v>0</v>
      </c>
      <c r="DA9" s="5">
        <v>0</v>
      </c>
      <c r="DB9" s="27"/>
      <c r="DC9" s="31"/>
      <c r="DD9" s="31"/>
      <c r="DE9" s="31"/>
      <c r="DF9" s="4">
        <v>20</v>
      </c>
      <c r="DG9" s="4">
        <v>20</v>
      </c>
      <c r="DH9" s="27"/>
      <c r="DI9" s="89">
        <v>1</v>
      </c>
      <c r="DJ9" s="4">
        <v>20</v>
      </c>
      <c r="DK9" s="4">
        <v>20</v>
      </c>
      <c r="DL9" s="27"/>
      <c r="DM9" s="27"/>
      <c r="DN9" s="27"/>
      <c r="DO9" s="27"/>
      <c r="DP9" s="27"/>
      <c r="DQ9" s="27"/>
      <c r="DR9" s="27"/>
      <c r="DS9" s="27"/>
      <c r="DT9" s="27"/>
      <c r="DU9" s="27"/>
      <c r="DV9" s="27"/>
      <c r="DW9" s="27"/>
      <c r="DX9" s="27"/>
      <c r="DY9" s="27"/>
      <c r="DZ9" s="27"/>
      <c r="EA9" s="27"/>
      <c r="EB9" s="27"/>
      <c r="EC9" s="27"/>
      <c r="ED9" s="27"/>
      <c r="EE9" s="4">
        <v>0</v>
      </c>
      <c r="EF9" s="4">
        <v>0</v>
      </c>
      <c r="EG9" s="27"/>
      <c r="EH9" s="4">
        <v>30</v>
      </c>
      <c r="EI9" s="4">
        <v>30</v>
      </c>
      <c r="EJ9" s="27"/>
      <c r="EK9" s="27"/>
      <c r="EL9" s="27"/>
      <c r="EM9" s="27"/>
      <c r="EN9" s="27"/>
      <c r="EO9" s="27"/>
      <c r="EP9" s="27"/>
      <c r="EQ9" s="27"/>
      <c r="ER9" s="27"/>
      <c r="ES9" s="27"/>
      <c r="ET9" s="27"/>
      <c r="EU9" s="27"/>
      <c r="EV9" s="27"/>
      <c r="EW9" s="27"/>
      <c r="EX9" s="27"/>
      <c r="EY9" s="27"/>
      <c r="EZ9" s="4">
        <v>5</v>
      </c>
      <c r="FA9" s="4">
        <v>5</v>
      </c>
      <c r="FB9" s="27"/>
      <c r="FC9" s="27"/>
      <c r="FD9" s="27"/>
      <c r="FE9" s="27"/>
      <c r="FF9" s="27"/>
      <c r="FG9" s="27"/>
      <c r="FH9" s="27"/>
      <c r="FI9" s="4">
        <v>15</v>
      </c>
      <c r="FJ9" s="4">
        <v>15</v>
      </c>
      <c r="FK9" s="27"/>
      <c r="FL9" s="4">
        <v>0</v>
      </c>
      <c r="FM9" s="4">
        <v>0</v>
      </c>
      <c r="FN9" s="27"/>
      <c r="FO9" s="4">
        <v>40</v>
      </c>
      <c r="FP9" s="4">
        <v>40</v>
      </c>
      <c r="FQ9" s="27"/>
      <c r="FR9" s="27"/>
      <c r="FS9" s="109"/>
      <c r="FT9" s="54">
        <f>NETWORKDAYS($I10,FO10)</f>
        <v>395</v>
      </c>
      <c r="FU9" s="54">
        <f>NETWORKDAYS($I10,FP10)</f>
        <v>395</v>
      </c>
      <c r="FV9" s="54">
        <f>IF(FQ10="",NETWORKDAYS($I10,FP10),NETWORKDAYS($I10,FQ10))</f>
        <v>395</v>
      </c>
      <c r="FW9" s="55" t="s">
        <v>464</v>
      </c>
    </row>
    <row r="10" spans="1:311" x14ac:dyDescent="0.35">
      <c r="A10" s="23" t="s">
        <v>465</v>
      </c>
      <c r="B10" s="23">
        <v>100000</v>
      </c>
      <c r="C10" s="23">
        <v>111</v>
      </c>
      <c r="D10" s="65"/>
      <c r="E10" s="23" t="str">
        <f>IF(D10="","Unknown",IF(D10&lt;=FM10+90,"Red",IF(AND(D10&gt;FM10+90,D10&lt;=FM10+180),"Yellow",IF(AND(D10&gt;FM10+180,D10&lt;=FM10+690),"Green","Covered"))))</f>
        <v>Unknown</v>
      </c>
      <c r="F10" s="25" t="s">
        <v>466</v>
      </c>
      <c r="G10" s="26"/>
      <c r="H10" s="26" t="str">
        <f>IF(CR10="","Pre-Execution","Execution")</f>
        <v>Pre-Execution</v>
      </c>
      <c r="I10" s="13">
        <v>45689</v>
      </c>
      <c r="J10" s="28"/>
      <c r="K10" s="28"/>
      <c r="L10" s="28"/>
      <c r="M10" s="10">
        <f>WORKDAY(I10,M9)</f>
        <v>45727</v>
      </c>
      <c r="N10" s="10">
        <f>WORKDAY(I10,N9)</f>
        <v>45727</v>
      </c>
      <c r="O10" s="56"/>
      <c r="P10" s="10">
        <f>WORKDAY(M10,P9)</f>
        <v>45727</v>
      </c>
      <c r="Q10" s="10">
        <f>IF(O10="",WORKDAY(N10,Q9),WORKDAY(O10,Q9))</f>
        <v>45727</v>
      </c>
      <c r="R10" s="56"/>
      <c r="S10" s="28"/>
      <c r="T10" s="28"/>
      <c r="U10" s="28"/>
      <c r="V10" s="10">
        <f>WORKDAY(P10, V9)</f>
        <v>45769</v>
      </c>
      <c r="W10" s="10">
        <f>IF(R10="",WORKDAY(Q10,W9),WORKDAY(R10,W9))</f>
        <v>45769</v>
      </c>
      <c r="X10" s="56"/>
      <c r="Y10" s="10">
        <f>WORKDAY(P10,Y9)</f>
        <v>45825</v>
      </c>
      <c r="Z10" s="10">
        <f>IF(R10="",WORKDAY(Q10,Z9),WORKDAY(R10,Z9))</f>
        <v>45825</v>
      </c>
      <c r="AA10" s="56"/>
      <c r="AB10" s="10">
        <f>WORKDAY(I10,AB9)</f>
        <v>45689</v>
      </c>
      <c r="AC10" s="10">
        <f>WORKDAY(I10,AC9)</f>
        <v>45689</v>
      </c>
      <c r="AD10" s="56"/>
      <c r="AE10" s="10">
        <f>WORKDAY(AB10,AE9)</f>
        <v>45793</v>
      </c>
      <c r="AF10" s="10">
        <f>IF(AD10="",WORKDAY(AC10,AF9),WORKDAY(AD10,AF9))</f>
        <v>45793</v>
      </c>
      <c r="AG10" s="56"/>
      <c r="AH10" s="10">
        <f>WORKDAY(IF(Y10&gt;AE10,Y10,AE10),AH9)</f>
        <v>45832</v>
      </c>
      <c r="AI10" s="10">
        <f>WORKDAY(IF(AA10="",IF(Z10&gt;AF10,Z10,AF10),IF(AA10&gt;AG10,AA10,AG10)),AI9)</f>
        <v>45832</v>
      </c>
      <c r="AJ10" s="56"/>
      <c r="AK10" s="10">
        <f>WORKDAY(AH10,AK9)</f>
        <v>45860</v>
      </c>
      <c r="AL10" s="10">
        <f>IF(AJ10="",WORKDAY(AI10,AL9),WORKDAY(AJ10,AL9))</f>
        <v>45860</v>
      </c>
      <c r="AM10" s="56"/>
      <c r="AN10" s="10">
        <f>WORKDAY(AK10,AN9)</f>
        <v>45860</v>
      </c>
      <c r="AO10" s="10">
        <f>IF(AM10="",WORKDAY(AL10,AO9),WORKDAY(AM10,AO9))</f>
        <v>45860</v>
      </c>
      <c r="AP10" s="56"/>
      <c r="AQ10" s="10">
        <f>WORKDAY(AN10,AQ9)</f>
        <v>45888</v>
      </c>
      <c r="AR10" s="10">
        <f>IF(AP10="",WORKDAY(AO10,AR9),WORKDAY(AP10,AR9))</f>
        <v>45888</v>
      </c>
      <c r="AS10" s="56"/>
      <c r="AT10" s="10">
        <f>WORKDAY(AN10,AT9)</f>
        <v>45867</v>
      </c>
      <c r="AU10" s="10">
        <f>IF(O10="",WORKDAY(AO10,AU9),WORKDAY(AP10,AU9))</f>
        <v>45867</v>
      </c>
      <c r="AV10" s="56"/>
      <c r="AW10" s="10">
        <f>IF(AQ10&gt;AT10,WORKDAY(AQ10,AW9),WORKDAY(AT10,AW9))</f>
        <v>45902</v>
      </c>
      <c r="AX10" s="10">
        <f>IF(AS10="",IF(AR10&gt;AU10,WORKDAY(AR10,AX9),WORKDAY(AU10,AX9)),IF(AS10&gt;AV10,WORKDAY(AS10,AX9),WORKDAY(AV10,AX9)))</f>
        <v>45902</v>
      </c>
      <c r="AY10" s="56"/>
      <c r="AZ10" s="10">
        <f>WORKDAY(AN10,AZ9)</f>
        <v>45902</v>
      </c>
      <c r="BA10" s="10">
        <f>IF(AP10="",WORKDAY(AO10,BA9),WORKDAY(AP10,BA9))</f>
        <v>45902</v>
      </c>
      <c r="BB10" s="56"/>
      <c r="BC10" s="10">
        <f>IF(AW10&gt;AZ10,WORKDAY(AW10,BC9),WORKDAY(AZ10,BC9))</f>
        <v>45909</v>
      </c>
      <c r="BD10" s="10">
        <f>IF(AY10="",IF(AX10&gt;BA10,WORKDAY(AX10,BD9),WORKDAY(BA10,BD9)),IF(AY10&gt;BB10,WORKDAY(AY10,BD9),WORKDAY(BB10,BD9)))</f>
        <v>45909</v>
      </c>
      <c r="BE10" s="56"/>
      <c r="BF10" s="10">
        <f>WORKDAY(BC10,BF9)</f>
        <v>45916</v>
      </c>
      <c r="BG10" s="10">
        <f>IF(BE10="",WORKDAY(BD10,BG9),WORKDAY(BE10,BG9))</f>
        <v>45916</v>
      </c>
      <c r="BH10" s="56"/>
      <c r="BI10" s="10">
        <f>WORKDAY(BF10,BI9)</f>
        <v>45923</v>
      </c>
      <c r="BJ10" s="10">
        <f>IF(BH10="",WORKDAY(BG10,BJ9),WORKDAY(BH10,BJ9))</f>
        <v>45923</v>
      </c>
      <c r="BK10" s="56"/>
      <c r="BL10" s="28"/>
      <c r="BM10" s="28"/>
      <c r="BN10" s="28"/>
      <c r="BO10" s="28"/>
      <c r="BP10" s="28"/>
      <c r="BQ10" s="28"/>
      <c r="BR10" s="28"/>
      <c r="BS10" s="28"/>
      <c r="BT10" s="28"/>
      <c r="BU10" s="28"/>
      <c r="BV10" s="28"/>
      <c r="BW10" s="28"/>
      <c r="BX10" s="46"/>
      <c r="BY10" s="28"/>
      <c r="BZ10" s="28"/>
      <c r="CA10" s="28"/>
      <c r="CB10" s="28"/>
      <c r="CC10" s="28"/>
      <c r="CD10" s="28"/>
      <c r="CE10" s="28"/>
      <c r="CF10" s="28"/>
      <c r="CG10" s="28"/>
      <c r="CH10" s="28"/>
      <c r="CI10" s="28"/>
      <c r="CJ10" s="28"/>
      <c r="CK10" s="28"/>
      <c r="CL10" s="28"/>
      <c r="CM10" s="10">
        <f>WORKDAY(BI10,CM9)</f>
        <v>45926</v>
      </c>
      <c r="CN10" s="10">
        <f>IF(BK10="",WORKDAY(BJ10,CN9),WORKDAY(BK10,CN9))</f>
        <v>45926</v>
      </c>
      <c r="CO10" s="56"/>
      <c r="CP10" s="10">
        <f>WORKDAY(CM10,CP9)</f>
        <v>45933</v>
      </c>
      <c r="CQ10" s="10">
        <f>IF(CO10="",WORKDAY(CN10,CQ9),WORKDAY(CO10,CQ9))</f>
        <v>45933</v>
      </c>
      <c r="CR10" s="56"/>
      <c r="CS10" s="77" t="str">
        <f>IF(CR10="","No Action: Still in Pre-Execution","Execution schedule has been re-baselined w/ FAIR PO Ack ACD. Validate your durations before publishing")</f>
        <v>No Action: Still in Pre-Execution</v>
      </c>
      <c r="CT10" s="10">
        <f>IF(CR10="",WORKDAY(CP10,CT9),WORKDAY(CR10,CT9))</f>
        <v>46101</v>
      </c>
      <c r="CU10" s="10">
        <f>IF(CR10="",WORKDAY(CQ10,CU9),WORKDAY(CR10,CU9))</f>
        <v>46101</v>
      </c>
      <c r="CV10" s="56"/>
      <c r="CW10" s="10">
        <f>WORKDAY(AZ10,CW9)</f>
        <v>45916</v>
      </c>
      <c r="CX10" s="10">
        <f>IF(BB10="",WORKDAY(BA10,CX9),WORKDAY(BB10,CX9))</f>
        <v>45916</v>
      </c>
      <c r="CY10" s="56"/>
      <c r="CZ10" s="10">
        <f>WORKDAY(CW10,CZ9)</f>
        <v>45916</v>
      </c>
      <c r="DA10" s="10">
        <f>IF(CY10="",WORKDAY(CX10,DA9),WORKDAY(CY10,DA9))</f>
        <v>45916</v>
      </c>
      <c r="DB10" s="56"/>
      <c r="DC10" s="45"/>
      <c r="DD10" s="45"/>
      <c r="DE10" s="45"/>
      <c r="DF10" s="10">
        <f>IF($CT10&gt;$CZ10,WORKDAY($CT10,DF9),WORKDAY($CZ10,DF9))</f>
        <v>46129</v>
      </c>
      <c r="DG10" s="10">
        <f>IF($CV10="",IF($CU10&gt;$DA10,WORKDAY($CU10,DG9),WORKDAY($DA10,DG9)),IF($CV10&gt;$DB10,WORKDAY($CV10,DG9),WORKDAY($DB10,DG9)))</f>
        <v>46129</v>
      </c>
      <c r="DH10" s="56"/>
      <c r="DI10" s="46"/>
      <c r="DJ10" s="10">
        <f>WORKDAY(DF10,DJ9*$DI9)</f>
        <v>46157</v>
      </c>
      <c r="DK10" s="10">
        <f>IF(DH10="",WORKDAY(DG10,DK9*$DI9),WORKDAY(DH10,DK9*$DI9))</f>
        <v>46157</v>
      </c>
      <c r="DL10" s="56"/>
      <c r="DM10" s="46"/>
      <c r="DN10" s="46"/>
      <c r="DO10" s="46"/>
      <c r="DP10" s="46"/>
      <c r="DQ10" s="46"/>
      <c r="DR10" s="46"/>
      <c r="DS10" s="46"/>
      <c r="DT10" s="46"/>
      <c r="DU10" s="46"/>
      <c r="DV10" s="46"/>
      <c r="DW10" s="46"/>
      <c r="DX10" s="46"/>
      <c r="DY10" s="46"/>
      <c r="DZ10" s="46"/>
      <c r="EA10" s="46"/>
      <c r="EB10" s="46"/>
      <c r="EC10" s="46"/>
      <c r="ED10" s="46"/>
      <c r="EE10" s="10">
        <f>WORKDAY(DJ10,EE9)</f>
        <v>46157</v>
      </c>
      <c r="EF10" s="10">
        <f>IF(DL10="",WORKDAY(DK10,EF9),WORKDAY(DL10,EF9))</f>
        <v>46157</v>
      </c>
      <c r="EG10" s="56"/>
      <c r="EH10" s="10">
        <f>IF(CR10="",WORKDAY(BF10,EH9),WORKDAY(BH10,EH9))</f>
        <v>45958</v>
      </c>
      <c r="EI10" s="10">
        <f>IF(BH10="",WORKDAY(BG10,EI9),WORKDAY(BH10,EI9))</f>
        <v>45958</v>
      </c>
      <c r="EJ10" s="56"/>
      <c r="EK10" s="27"/>
      <c r="EL10" s="27"/>
      <c r="EM10" s="27"/>
      <c r="EN10" s="27"/>
      <c r="EO10" s="28"/>
      <c r="EP10" s="28"/>
      <c r="EQ10" s="28"/>
      <c r="ER10" s="28"/>
      <c r="ES10" s="28"/>
      <c r="ET10" s="28"/>
      <c r="EU10" s="28"/>
      <c r="EV10" s="28"/>
      <c r="EW10" s="28"/>
      <c r="EX10" s="28"/>
      <c r="EY10" s="28"/>
      <c r="EZ10" s="10">
        <f>WORKDAY(EE10,EZ9)</f>
        <v>46164</v>
      </c>
      <c r="FA10" s="10">
        <f>IF(EG10="",WORKDAY(EF10,FA9),WORKDAY(EG10,FA9))</f>
        <v>46164</v>
      </c>
      <c r="FB10" s="56"/>
      <c r="FC10" s="28"/>
      <c r="FD10" s="28"/>
      <c r="FE10" s="28"/>
      <c r="FF10" s="28"/>
      <c r="FG10" s="28"/>
      <c r="FH10" s="28"/>
      <c r="FI10" s="10">
        <f>WORKDAY(EZ10,FI9)</f>
        <v>46185</v>
      </c>
      <c r="FJ10" s="10">
        <f>IF(FB10="",WORKDAY(FA10,FJ9),WORKDAY(FB10,FJ9))</f>
        <v>46185</v>
      </c>
      <c r="FK10" s="56"/>
      <c r="FL10" s="10">
        <f>WORKDAY(FI10,FL9)</f>
        <v>46185</v>
      </c>
      <c r="FM10" s="10">
        <f>IF(FK10="",WORKDAY(FJ10,FM9),WORKDAY(FK10,FM9))</f>
        <v>46185</v>
      </c>
      <c r="FN10" s="56"/>
      <c r="FO10" s="10">
        <f>WORKDAY(FL10,FO9)</f>
        <v>46241</v>
      </c>
      <c r="FP10" s="10">
        <f>WORKDAY(FM10,FP9)</f>
        <v>46241</v>
      </c>
      <c r="FQ10" s="56"/>
      <c r="FR10" s="77" t="str">
        <f>IF(NETWORKDAYS(FJ10,FO10)&gt;=30,"On-Track",IF(AND(NETWORKDAYS(FJ10,FO10)&lt;30,FJ10&lt;=FO10),"At Risk","Missed TCD"))</f>
        <v>On-Track</v>
      </c>
      <c r="FS10" s="110"/>
      <c r="FT10" s="57">
        <f>NETWORKDAYS(CP10,FI10)</f>
        <v>181</v>
      </c>
      <c r="FU10" s="57">
        <f>NETWORKDAYS(CQ10,FJ10)</f>
        <v>181</v>
      </c>
      <c r="FV10" s="57">
        <f>IF(BH10="",NETWORKDAYS(BG10,FJ10),IF(FK10="",NETWORKDAYS(BH10,FJ10),NETWORKDAYS(BH10,FK10)))</f>
        <v>194</v>
      </c>
      <c r="FW10" s="58" t="s">
        <v>467</v>
      </c>
    </row>
    <row r="11" spans="1:311" outlineLevel="1" x14ac:dyDescent="0.35">
      <c r="A11" s="23"/>
      <c r="B11" s="23"/>
      <c r="C11" s="24"/>
      <c r="D11" s="95"/>
      <c r="E11" s="24"/>
      <c r="F11" s="25" t="s">
        <v>463</v>
      </c>
      <c r="G11" s="26"/>
      <c r="H11" s="26"/>
      <c r="I11" s="27"/>
      <c r="J11" s="27"/>
      <c r="K11" s="27"/>
      <c r="L11" s="27"/>
      <c r="M11" s="4">
        <v>5</v>
      </c>
      <c r="N11" s="4">
        <v>5</v>
      </c>
      <c r="O11" s="27"/>
      <c r="P11" s="4">
        <v>10</v>
      </c>
      <c r="Q11" s="4">
        <v>10</v>
      </c>
      <c r="R11" s="27"/>
      <c r="S11" s="27"/>
      <c r="T11" s="27"/>
      <c r="U11" s="27"/>
      <c r="V11" s="4">
        <v>30</v>
      </c>
      <c r="W11" s="4">
        <v>30</v>
      </c>
      <c r="X11" s="27"/>
      <c r="Y11" s="4">
        <v>70</v>
      </c>
      <c r="Z11" s="4">
        <v>70</v>
      </c>
      <c r="AA11" s="27"/>
      <c r="AB11" s="4">
        <v>0</v>
      </c>
      <c r="AC11" s="4">
        <v>0</v>
      </c>
      <c r="AD11" s="27"/>
      <c r="AE11" s="4">
        <v>75</v>
      </c>
      <c r="AF11" s="4">
        <v>75</v>
      </c>
      <c r="AG11" s="27"/>
      <c r="AH11" s="4">
        <v>5</v>
      </c>
      <c r="AI11" s="4">
        <v>5</v>
      </c>
      <c r="AJ11" s="27"/>
      <c r="AK11" s="4">
        <v>20</v>
      </c>
      <c r="AL11" s="4">
        <v>20</v>
      </c>
      <c r="AM11" s="27"/>
      <c r="AN11" s="4">
        <v>0</v>
      </c>
      <c r="AO11" s="4">
        <v>0</v>
      </c>
      <c r="AP11" s="27"/>
      <c r="AQ11" s="4">
        <v>20</v>
      </c>
      <c r="AR11" s="4">
        <v>20</v>
      </c>
      <c r="AS11" s="27"/>
      <c r="AT11" s="4">
        <v>5</v>
      </c>
      <c r="AU11" s="4">
        <v>5</v>
      </c>
      <c r="AV11" s="27"/>
      <c r="AW11" s="4">
        <v>10</v>
      </c>
      <c r="AX11" s="4">
        <v>10</v>
      </c>
      <c r="AY11" s="27"/>
      <c r="AZ11" s="4">
        <v>30</v>
      </c>
      <c r="BA11" s="4">
        <v>30</v>
      </c>
      <c r="BB11" s="27"/>
      <c r="BC11" s="4">
        <v>5</v>
      </c>
      <c r="BD11" s="4">
        <v>5</v>
      </c>
      <c r="BE11" s="27"/>
      <c r="BF11" s="4">
        <v>5</v>
      </c>
      <c r="BG11" s="4">
        <v>5</v>
      </c>
      <c r="BH11" s="27"/>
      <c r="BI11" s="4">
        <v>5</v>
      </c>
      <c r="BJ11" s="4">
        <v>5</v>
      </c>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4">
        <v>10</v>
      </c>
      <c r="CK11" s="4">
        <v>10</v>
      </c>
      <c r="CL11" s="27"/>
      <c r="CM11" s="4">
        <v>3</v>
      </c>
      <c r="CN11" s="4">
        <v>3</v>
      </c>
      <c r="CO11" s="27"/>
      <c r="CP11" s="4">
        <v>5</v>
      </c>
      <c r="CQ11" s="4">
        <v>5</v>
      </c>
      <c r="CR11" s="27"/>
      <c r="CS11" s="27"/>
      <c r="CT11" s="5">
        <v>120</v>
      </c>
      <c r="CU11" s="5">
        <v>120</v>
      </c>
      <c r="CV11" s="27"/>
      <c r="CW11" s="5">
        <v>10</v>
      </c>
      <c r="CX11" s="5">
        <v>10</v>
      </c>
      <c r="CY11" s="27"/>
      <c r="CZ11" s="5">
        <v>60</v>
      </c>
      <c r="DA11" s="5">
        <v>60</v>
      </c>
      <c r="DB11" s="27"/>
      <c r="DC11" s="5">
        <v>30</v>
      </c>
      <c r="DD11" s="5">
        <v>30</v>
      </c>
      <c r="DE11" s="27"/>
      <c r="DF11" s="4">
        <v>20</v>
      </c>
      <c r="DG11" s="4">
        <v>20</v>
      </c>
      <c r="DH11" s="27"/>
      <c r="DI11" s="89">
        <v>1</v>
      </c>
      <c r="DJ11" s="4">
        <v>20</v>
      </c>
      <c r="DK11" s="4">
        <v>20</v>
      </c>
      <c r="DL11" s="27"/>
      <c r="DM11" s="4">
        <v>5</v>
      </c>
      <c r="DN11" s="4">
        <v>5</v>
      </c>
      <c r="DO11" s="27"/>
      <c r="DP11" s="4">
        <v>3</v>
      </c>
      <c r="DQ11" s="4">
        <v>3</v>
      </c>
      <c r="DR11" s="27"/>
      <c r="DS11" s="89">
        <v>1</v>
      </c>
      <c r="DT11" s="4">
        <v>60</v>
      </c>
      <c r="DU11" s="4">
        <v>60</v>
      </c>
      <c r="DV11" s="27"/>
      <c r="DW11" s="46"/>
      <c r="DX11" s="46"/>
      <c r="DY11" s="46"/>
      <c r="DZ11" s="46"/>
      <c r="EA11" s="89">
        <v>1</v>
      </c>
      <c r="EB11" s="4">
        <v>60</v>
      </c>
      <c r="EC11" s="4">
        <v>60</v>
      </c>
      <c r="ED11" s="27"/>
      <c r="EE11" s="4">
        <v>30</v>
      </c>
      <c r="EF11" s="4">
        <v>30</v>
      </c>
      <c r="EG11" s="27"/>
      <c r="EH11" s="4">
        <v>60</v>
      </c>
      <c r="EI11" s="4">
        <v>60</v>
      </c>
      <c r="EJ11" s="27"/>
      <c r="EK11" s="27"/>
      <c r="EL11" s="27"/>
      <c r="EM11" s="27"/>
      <c r="EN11" s="4">
        <v>60</v>
      </c>
      <c r="EO11" s="4">
        <v>60</v>
      </c>
      <c r="EP11" s="27"/>
      <c r="EQ11" s="4">
        <v>60</v>
      </c>
      <c r="ER11" s="4">
        <v>60</v>
      </c>
      <c r="ES11" s="27"/>
      <c r="ET11" s="4">
        <v>60</v>
      </c>
      <c r="EU11" s="4">
        <v>60</v>
      </c>
      <c r="EV11" s="27"/>
      <c r="EW11" s="4">
        <v>5</v>
      </c>
      <c r="EX11" s="4">
        <v>5</v>
      </c>
      <c r="EY11" s="27"/>
      <c r="EZ11" s="4">
        <v>5</v>
      </c>
      <c r="FA11" s="4">
        <v>5</v>
      </c>
      <c r="FB11" s="27"/>
      <c r="FC11" s="27"/>
      <c r="FD11" s="27"/>
      <c r="FE11" s="27"/>
      <c r="FF11" s="27"/>
      <c r="FG11" s="27"/>
      <c r="FH11" s="27"/>
      <c r="FI11" s="4">
        <v>15</v>
      </c>
      <c r="FJ11" s="4">
        <v>15</v>
      </c>
      <c r="FK11" s="27"/>
      <c r="FL11" s="4">
        <v>0</v>
      </c>
      <c r="FM11" s="4">
        <v>0</v>
      </c>
      <c r="FN11" s="27"/>
      <c r="FO11" s="4">
        <v>40</v>
      </c>
      <c r="FP11" s="4">
        <v>40</v>
      </c>
      <c r="FQ11" s="27"/>
      <c r="FR11" s="27"/>
      <c r="FS11" s="109"/>
      <c r="FT11" s="54">
        <f t="shared" ref="FT11" si="0">NETWORKDAYS($I12,FO12)</f>
        <v>646</v>
      </c>
      <c r="FU11" s="54">
        <f t="shared" ref="FU11" si="1">NETWORKDAYS($I12,FP12)</f>
        <v>646</v>
      </c>
      <c r="FV11" s="54">
        <f t="shared" ref="FV11" si="2">IF(FQ12="",NETWORKDAYS($I12,FP12),NETWORKDAYS($I12,FQ12))</f>
        <v>646</v>
      </c>
      <c r="FW11" s="55" t="s">
        <v>464</v>
      </c>
    </row>
    <row r="12" spans="1:311" x14ac:dyDescent="0.35">
      <c r="A12" s="23" t="s">
        <v>465</v>
      </c>
      <c r="B12" s="23">
        <v>100001</v>
      </c>
      <c r="C12" s="23">
        <v>222</v>
      </c>
      <c r="D12" s="65"/>
      <c r="E12" s="23" t="str">
        <f>IF(D12="","Unknown",IF(D12&lt;=FM12+90,"Red",IF(AND(D12&gt;FM12+90,D12&lt;=FM12+180),"Yellow",IF(AND(D12&gt;FM12+180,D12&lt;=FM12+690),"Green","Covered"))))</f>
        <v>Unknown</v>
      </c>
      <c r="F12" s="25" t="s">
        <v>468</v>
      </c>
      <c r="G12" s="26"/>
      <c r="H12" s="26" t="str">
        <f>IF(CR12="","Pre-Execution","Execution")</f>
        <v>Pre-Execution</v>
      </c>
      <c r="I12" s="13">
        <v>45717</v>
      </c>
      <c r="J12" s="28"/>
      <c r="K12" s="28"/>
      <c r="L12" s="28"/>
      <c r="M12" s="10">
        <f>WORKDAY(I12,M11)</f>
        <v>45723</v>
      </c>
      <c r="N12" s="10">
        <f>WORKDAY(I12,N11)</f>
        <v>45723</v>
      </c>
      <c r="O12" s="56"/>
      <c r="P12" s="10">
        <f>WORKDAY(M12,P11)</f>
        <v>45737</v>
      </c>
      <c r="Q12" s="10">
        <f>IF(O12="",WORKDAY(N12,Q11),WORKDAY(O12,Q11))</f>
        <v>45737</v>
      </c>
      <c r="R12" s="56"/>
      <c r="S12" s="28"/>
      <c r="T12" s="28"/>
      <c r="U12" s="28"/>
      <c r="V12" s="10">
        <f>WORKDAY(P12, V11)</f>
        <v>45779</v>
      </c>
      <c r="W12" s="10">
        <f>IF(R12="",WORKDAY(Q12,W11),WORKDAY(R12,W11))</f>
        <v>45779</v>
      </c>
      <c r="X12" s="56"/>
      <c r="Y12" s="10">
        <f>WORKDAY(P12,Y11)</f>
        <v>45835</v>
      </c>
      <c r="Z12" s="10">
        <f>IF(R12="",WORKDAY(Q12,Z11),WORKDAY(R12,Z11))</f>
        <v>45835</v>
      </c>
      <c r="AA12" s="56"/>
      <c r="AB12" s="10">
        <f>WORKDAY(I12,AB11)</f>
        <v>45717</v>
      </c>
      <c r="AC12" s="10">
        <f>WORKDAY(I12,AC11)</f>
        <v>45717</v>
      </c>
      <c r="AD12" s="56"/>
      <c r="AE12" s="10">
        <f>WORKDAY(AB12,AE11)</f>
        <v>45821</v>
      </c>
      <c r="AF12" s="10">
        <f>IF(AD12="",WORKDAY(AC12,AF11),WORKDAY(AD12,AF11))</f>
        <v>45821</v>
      </c>
      <c r="AG12" s="56"/>
      <c r="AH12" s="10">
        <f>WORKDAY(IF(Y12&gt;AE12,Y12,AE12),AH11)</f>
        <v>45842</v>
      </c>
      <c r="AI12" s="10">
        <f>WORKDAY(IF(AA12="",IF(Z12&gt;AF12,Z12,AF12),IF(AA12&gt;AG12,AA12,AG12)),AI11)</f>
        <v>45842</v>
      </c>
      <c r="AJ12" s="56"/>
      <c r="AK12" s="10">
        <f>WORKDAY(AH12,AK11)</f>
        <v>45870</v>
      </c>
      <c r="AL12" s="10">
        <f>IF(AJ12="",WORKDAY(AI12,AL11),WORKDAY(AJ12,AL11))</f>
        <v>45870</v>
      </c>
      <c r="AM12" s="56"/>
      <c r="AN12" s="10">
        <f>WORKDAY(AK12,AN11)</f>
        <v>45870</v>
      </c>
      <c r="AO12" s="10">
        <f>IF(AM12="",WORKDAY(AL12,AO11),WORKDAY(AM12,AO11))</f>
        <v>45870</v>
      </c>
      <c r="AP12" s="56"/>
      <c r="AQ12" s="10">
        <f>WORKDAY(AN12,AQ11)</f>
        <v>45898</v>
      </c>
      <c r="AR12" s="10">
        <f>IF(AP12="",WORKDAY(AO12,AR11),WORKDAY(AP12,AR11))</f>
        <v>45898</v>
      </c>
      <c r="AS12" s="56"/>
      <c r="AT12" s="10">
        <f>WORKDAY(AN12,AT11)</f>
        <v>45877</v>
      </c>
      <c r="AU12" s="10">
        <f>IF(O12="",WORKDAY(AO12,AU11),WORKDAY(AP12,AU11))</f>
        <v>45877</v>
      </c>
      <c r="AV12" s="56"/>
      <c r="AW12" s="10">
        <f>IF(AQ12&gt;AT12,WORKDAY(AQ12,AW11),WORKDAY(AT12,AW11))</f>
        <v>45912</v>
      </c>
      <c r="AX12" s="10">
        <f>IF(AS12="",IF(AR12&gt;AU12,WORKDAY(AR12,AX11),WORKDAY(AU12,AX11)),IF(AS12&gt;AV12,WORKDAY(AS12,AX11),WORKDAY(AV12,AX11)))</f>
        <v>45912</v>
      </c>
      <c r="AY12" s="56"/>
      <c r="AZ12" s="10">
        <f>WORKDAY(AN12,AZ11)</f>
        <v>45912</v>
      </c>
      <c r="BA12" s="10">
        <f>IF(AP12="",WORKDAY(AO12,BA11),WORKDAY(AP12,BA11))</f>
        <v>45912</v>
      </c>
      <c r="BB12" s="56"/>
      <c r="BC12" s="10">
        <f>IF(AW12&gt;AZ12,WORKDAY(AW12,BC11),WORKDAY(AZ12,BC11))</f>
        <v>45919</v>
      </c>
      <c r="BD12" s="10">
        <f>IF(AY12="",IF(AX12&gt;BA12,WORKDAY(AX12,BD11),WORKDAY(BA12,BD11)),IF(AY12&gt;BB12,WORKDAY(AY12,BD11),WORKDAY(BB12,BD11)))</f>
        <v>45919</v>
      </c>
      <c r="BE12" s="56"/>
      <c r="BF12" s="10">
        <f>WORKDAY(BC12,BF11)</f>
        <v>45926</v>
      </c>
      <c r="BG12" s="10">
        <f>IF(BE12="",WORKDAY(BD12,BG11),WORKDAY(BE12,BG11))</f>
        <v>45926</v>
      </c>
      <c r="BH12" s="56"/>
      <c r="BI12" s="10">
        <f>WORKDAY(BF12,BI11)</f>
        <v>45933</v>
      </c>
      <c r="BJ12" s="10">
        <f>IF(BH12="",WORKDAY(BG12,BJ11),WORKDAY(BH12,BJ11))</f>
        <v>45933</v>
      </c>
      <c r="BK12" s="56"/>
      <c r="BL12" s="28"/>
      <c r="BM12" s="28"/>
      <c r="BN12" s="28"/>
      <c r="BO12" s="28"/>
      <c r="BP12" s="28"/>
      <c r="BQ12" s="28"/>
      <c r="BR12" s="28"/>
      <c r="BS12" s="28"/>
      <c r="BT12" s="28"/>
      <c r="BU12" s="28"/>
      <c r="BV12" s="28"/>
      <c r="BW12" s="28"/>
      <c r="BX12" s="46"/>
      <c r="BY12" s="28"/>
      <c r="BZ12" s="28"/>
      <c r="CA12" s="28"/>
      <c r="CB12" s="28"/>
      <c r="CC12" s="28"/>
      <c r="CD12" s="28"/>
      <c r="CE12" s="28"/>
      <c r="CF12" s="28"/>
      <c r="CG12" s="28"/>
      <c r="CH12" s="28"/>
      <c r="CI12" s="28"/>
      <c r="CJ12" s="10">
        <f>WORKDAY(BI12,CJ11)</f>
        <v>45947</v>
      </c>
      <c r="CK12" s="10">
        <f>IF(BK12="",WORKDAY(BJ12,CK11),WORKDAY(BK12,CK11))</f>
        <v>45947</v>
      </c>
      <c r="CL12" s="56"/>
      <c r="CM12" s="10">
        <f>WORKDAY(CJ12,CM11)</f>
        <v>45952</v>
      </c>
      <c r="CN12" s="10">
        <f>IF(CL12="",WORKDAY(CK12,CN11),WORKDAY(CL12,CN11))</f>
        <v>45952</v>
      </c>
      <c r="CO12" s="56"/>
      <c r="CP12" s="10">
        <f>WORKDAY(CM12,CP11)</f>
        <v>45959</v>
      </c>
      <c r="CQ12" s="10">
        <f>IF(CO12="",WORKDAY(CN12,CQ11),WORKDAY(CO12,CQ11))</f>
        <v>45959</v>
      </c>
      <c r="CR12" s="56"/>
      <c r="CS12" s="77" t="str">
        <f>IF(CR12="","No Action: Still in Pre-Execution","Execution schedule has been re-baselined w/ FAIR PO Ack ACD. Validate your durations before publishing")</f>
        <v>No Action: Still in Pre-Execution</v>
      </c>
      <c r="CT12" s="10">
        <f>IF(CR12="",WORKDAY(CP12,CT11),WORKDAY(CR12,CT11))</f>
        <v>46127</v>
      </c>
      <c r="CU12" s="10">
        <f>IF(CR12="",WORKDAY(CQ12,CU11),WORKDAY(CR12,CU11))</f>
        <v>46127</v>
      </c>
      <c r="CV12" s="56"/>
      <c r="CW12" s="10">
        <f>WORKDAY(AZ12,CW11)</f>
        <v>45926</v>
      </c>
      <c r="CX12" s="10">
        <f>IF(BB12="",WORKDAY(BA12,CX11),WORKDAY(BB12,CX11))</f>
        <v>45926</v>
      </c>
      <c r="CY12" s="56"/>
      <c r="CZ12" s="10">
        <f>WORKDAY(CW12,CZ11)</f>
        <v>46010</v>
      </c>
      <c r="DA12" s="10">
        <f>IF(CY12="",WORKDAY(CX12,DA11),WORKDAY(CY12,DA11))</f>
        <v>46010</v>
      </c>
      <c r="DB12" s="56"/>
      <c r="DC12" s="10">
        <f>IF($CU12&gt;$DA12,WORKDAY($CU12,DC11),WORKDAY($DA12,DC11))</f>
        <v>46169</v>
      </c>
      <c r="DD12" s="10">
        <f>IF(CV12="",IF($CU12&gt;$DA12,WORKDAY($CU12,DD11),WORKDAY($DA12,DD11)),IF($CV12&gt;$DB12,WORKDAY($CV12,DD11),WORKDAY($DB12,DD11)))</f>
        <v>46169</v>
      </c>
      <c r="DE12" s="56"/>
      <c r="DF12" s="10">
        <f>WORKDAY(DC12,DF11)</f>
        <v>46197</v>
      </c>
      <c r="DG12" s="10">
        <f>IF(DE12="",WORKDAY(DD12,DG11),WORKDAY(DE12,DG11))</f>
        <v>46197</v>
      </c>
      <c r="DH12" s="56"/>
      <c r="DI12" s="46"/>
      <c r="DJ12" s="10">
        <f>WORKDAY(DF12,DJ11*$DI11)</f>
        <v>46225</v>
      </c>
      <c r="DK12" s="10">
        <f>IF(DH12="",WORKDAY(DG12,DK11*$DI11),WORKDAY(DH12,DK11*$DI11))</f>
        <v>46225</v>
      </c>
      <c r="DL12" s="56"/>
      <c r="DM12" s="10">
        <f>WORKDAY(DJ12,DM11)</f>
        <v>46232</v>
      </c>
      <c r="DN12" s="10">
        <f>IF(DL12="",WORKDAY(DK12,DN11),WORKDAY(DL12,DN11))</f>
        <v>46232</v>
      </c>
      <c r="DO12" s="56"/>
      <c r="DP12" s="10">
        <f>WORKDAY(DM12,DP11)</f>
        <v>46237</v>
      </c>
      <c r="DQ12" s="10">
        <f>IF(DO12="",WORKDAY(DN12,DQ11),WORKDAY(DO12,DQ11))</f>
        <v>46237</v>
      </c>
      <c r="DR12" s="56"/>
      <c r="DS12" s="46"/>
      <c r="DT12" s="10">
        <f>WORKDAY(DP12,DT11*$DS11)</f>
        <v>46321</v>
      </c>
      <c r="DU12" s="10">
        <f>IF(DR12="",WORKDAY(DQ12,DU11*$DS11),WORKDAY(DR12,DU11*$DS11))</f>
        <v>46321</v>
      </c>
      <c r="DV12" s="56"/>
      <c r="DW12" s="46"/>
      <c r="DX12" s="46"/>
      <c r="DY12" s="46"/>
      <c r="DZ12" s="46"/>
      <c r="EA12" s="46"/>
      <c r="EB12" s="10">
        <f>WORKDAY(DT12,EB11*$EA11)</f>
        <v>46405</v>
      </c>
      <c r="EC12" s="10">
        <f>IF(DV12="",WORKDAY(DU12,EC11*$EA11),WORKDAY(DV12,EC11*$EA11))</f>
        <v>46405</v>
      </c>
      <c r="ED12" s="56"/>
      <c r="EE12" s="10">
        <f>WORKDAY(EB12,EE11)</f>
        <v>46447</v>
      </c>
      <c r="EF12" s="10">
        <f>IF(ED12="",WORKDAY(EC12,EF11),WORKDAY(ED12,EF11))</f>
        <v>46447</v>
      </c>
      <c r="EG12" s="56"/>
      <c r="EH12" s="10">
        <f>IF(CR12="",WORKDAY(BF12,EH11),WORKDAY(BH12,EH11))</f>
        <v>46010</v>
      </c>
      <c r="EI12" s="10">
        <f>IF(BH12="",WORKDAY(BG12,EI11),WORKDAY(BH12,EI11))</f>
        <v>46010</v>
      </c>
      <c r="EJ12" s="56"/>
      <c r="EK12" s="27"/>
      <c r="EL12" s="27"/>
      <c r="EM12" s="27"/>
      <c r="EN12" s="10">
        <f>WORKDAY(EE12,EN11)</f>
        <v>46531</v>
      </c>
      <c r="EO12" s="10">
        <f>IF(EG12="",WORKDAY(EF12,EO11),WORKDAY(EG12,EO11))</f>
        <v>46531</v>
      </c>
      <c r="EP12" s="56"/>
      <c r="EQ12" s="10">
        <f>WORKDAY(EE12,EQ11)</f>
        <v>46531</v>
      </c>
      <c r="ER12" s="10">
        <f>IF(EG12="",WORKDAY(EF12,ER11),WORKDAY(EG12,ER11))</f>
        <v>46531</v>
      </c>
      <c r="ES12" s="56"/>
      <c r="ET12" s="10">
        <f>WORKDAY(EE12,ET11)</f>
        <v>46531</v>
      </c>
      <c r="EU12" s="10">
        <f>IF(EG12="",WORKDAY(EF12,EU11),WORKDAY(EG12,EU11))</f>
        <v>46531</v>
      </c>
      <c r="EV12" s="56"/>
      <c r="EW12" s="10">
        <f>WORKDAY(IF(EN12&gt;EQ12,(IF(EN12&gt;ET12,EN12,ET12)),IF(EQ12&gt;ET12,EQ12,ET12)),EW11)</f>
        <v>46538</v>
      </c>
      <c r="EX12" s="10">
        <f>IF(EP12="",WORKDAY(IF(EO12&gt;ER12,(IF(EO12&gt;EU12,EO12,EU12)),IF(ER12&gt;EU12,ER12,EU12)),EX11),WORKDAY(IF(EP12&gt;ES12,(IF(EP12&gt;EV12,EP12,EV12)),IF(ES12&gt;EV12,ES12,EV12)),EX11))</f>
        <v>46538</v>
      </c>
      <c r="EY12" s="56"/>
      <c r="EZ12" s="10">
        <f>WORKDAY(EW12,EZ11)</f>
        <v>46545</v>
      </c>
      <c r="FA12" s="10">
        <f>IF(EY12="",WORKDAY(EX12,FA11),WORKDAY(EY12,FA11))</f>
        <v>46545</v>
      </c>
      <c r="FB12" s="56"/>
      <c r="FC12" s="28"/>
      <c r="FD12" s="28"/>
      <c r="FE12" s="28"/>
      <c r="FF12" s="28"/>
      <c r="FG12" s="28"/>
      <c r="FH12" s="28"/>
      <c r="FI12" s="10">
        <f>WORKDAY(EZ12,FI11)</f>
        <v>46566</v>
      </c>
      <c r="FJ12" s="10">
        <f>IF(FB12="",WORKDAY(FA12,FJ11),WORKDAY(FB12,FJ11))</f>
        <v>46566</v>
      </c>
      <c r="FK12" s="56"/>
      <c r="FL12" s="10">
        <f>WORKDAY(FI12,FL11)</f>
        <v>46566</v>
      </c>
      <c r="FM12" s="10">
        <f>IF(FK12="",WORKDAY(FJ12,FM11),WORKDAY(FK12,FM11))</f>
        <v>46566</v>
      </c>
      <c r="FN12" s="56"/>
      <c r="FO12" s="10">
        <f>WORKDAY(FL12,FO11)</f>
        <v>46622</v>
      </c>
      <c r="FP12" s="10">
        <f>WORKDAY(FM12,FP11)</f>
        <v>46622</v>
      </c>
      <c r="FQ12" s="56"/>
      <c r="FR12" s="77" t="str">
        <f>IF(NETWORKDAYS(FJ12,FO12)&gt;=30,"On-Track",IF(AND(NETWORKDAYS(FJ12,FO12)&lt;30,FJ12&lt;=FO12),"At Risk","Missed TCD"))</f>
        <v>On-Track</v>
      </c>
      <c r="FS12" s="110"/>
      <c r="FT12" s="57">
        <f t="shared" ref="FT12" si="3">NETWORKDAYS(CP12,FI12)</f>
        <v>434</v>
      </c>
      <c r="FU12" s="57">
        <f t="shared" ref="FU12" si="4">NETWORKDAYS(CQ12,FJ12)</f>
        <v>434</v>
      </c>
      <c r="FV12" s="57">
        <f t="shared" ref="FV12" si="5">IF(BH12="",NETWORKDAYS(BG12,FJ12),IF(FK12="",NETWORKDAYS(BH12,FJ12),NETWORKDAYS(BH12,FK12)))</f>
        <v>457</v>
      </c>
      <c r="FW12" s="58" t="s">
        <v>467</v>
      </c>
    </row>
    <row r="13" spans="1:311" outlineLevel="1" x14ac:dyDescent="0.35">
      <c r="A13" s="23"/>
      <c r="B13" s="23"/>
      <c r="C13" s="24"/>
      <c r="D13" s="95"/>
      <c r="E13" s="24"/>
      <c r="F13" s="25" t="s">
        <v>463</v>
      </c>
      <c r="G13" s="26"/>
      <c r="H13" s="26"/>
      <c r="I13" s="27"/>
      <c r="J13" s="4">
        <v>45</v>
      </c>
      <c r="K13" s="4">
        <v>45</v>
      </c>
      <c r="L13" s="27"/>
      <c r="M13" s="4">
        <v>0</v>
      </c>
      <c r="N13" s="4">
        <v>0</v>
      </c>
      <c r="O13" s="27"/>
      <c r="P13" s="4">
        <v>31</v>
      </c>
      <c r="Q13" s="4">
        <v>31</v>
      </c>
      <c r="R13" s="27"/>
      <c r="S13" s="4">
        <v>30</v>
      </c>
      <c r="T13" s="4">
        <v>30</v>
      </c>
      <c r="U13" s="27"/>
      <c r="V13" s="29"/>
      <c r="W13" s="29"/>
      <c r="X13" s="29"/>
      <c r="Y13" s="4">
        <v>50</v>
      </c>
      <c r="Z13" s="4">
        <v>50</v>
      </c>
      <c r="AA13" s="27"/>
      <c r="AB13" s="4">
        <v>0</v>
      </c>
      <c r="AC13" s="4">
        <v>0</v>
      </c>
      <c r="AD13" s="27"/>
      <c r="AE13" s="4">
        <v>75</v>
      </c>
      <c r="AF13" s="4">
        <v>75</v>
      </c>
      <c r="AG13" s="27"/>
      <c r="AH13" s="4">
        <v>5</v>
      </c>
      <c r="AI13" s="4">
        <v>5</v>
      </c>
      <c r="AJ13" s="27"/>
      <c r="AK13" s="4">
        <v>20</v>
      </c>
      <c r="AL13" s="4">
        <v>20</v>
      </c>
      <c r="AM13" s="27"/>
      <c r="AN13" s="4">
        <v>0</v>
      </c>
      <c r="AO13" s="4">
        <v>0</v>
      </c>
      <c r="AP13" s="27"/>
      <c r="AQ13" s="4">
        <v>20</v>
      </c>
      <c r="AR13" s="4">
        <v>20</v>
      </c>
      <c r="AS13" s="27"/>
      <c r="AT13" s="4">
        <v>5</v>
      </c>
      <c r="AU13" s="4">
        <v>5</v>
      </c>
      <c r="AV13" s="27"/>
      <c r="AW13" s="4">
        <v>10</v>
      </c>
      <c r="AX13" s="4">
        <v>10</v>
      </c>
      <c r="AY13" s="27"/>
      <c r="AZ13" s="4">
        <v>0</v>
      </c>
      <c r="BA13" s="4">
        <v>0</v>
      </c>
      <c r="BB13" s="27"/>
      <c r="BC13" s="4">
        <v>5</v>
      </c>
      <c r="BD13" s="4">
        <v>5</v>
      </c>
      <c r="BE13" s="27"/>
      <c r="BF13" s="4">
        <v>5</v>
      </c>
      <c r="BG13" s="4">
        <v>5</v>
      </c>
      <c r="BH13" s="27"/>
      <c r="BI13" s="4">
        <v>5</v>
      </c>
      <c r="BJ13" s="4">
        <v>5</v>
      </c>
      <c r="BK13" s="27"/>
      <c r="BL13" s="4">
        <v>5</v>
      </c>
      <c r="BM13" s="4">
        <v>5</v>
      </c>
      <c r="BN13" s="27"/>
      <c r="BO13" s="4">
        <v>5</v>
      </c>
      <c r="BP13" s="4">
        <v>5</v>
      </c>
      <c r="BQ13" s="27"/>
      <c r="BR13" s="4">
        <v>5</v>
      </c>
      <c r="BS13" s="4">
        <v>5</v>
      </c>
      <c r="BT13" s="27"/>
      <c r="BU13" s="4">
        <v>5</v>
      </c>
      <c r="BV13" s="4">
        <v>5</v>
      </c>
      <c r="BW13" s="27"/>
      <c r="BX13" s="4">
        <v>5</v>
      </c>
      <c r="BY13" s="4">
        <v>5</v>
      </c>
      <c r="BZ13" s="27"/>
      <c r="CA13" s="4">
        <v>5</v>
      </c>
      <c r="CB13" s="4">
        <v>5</v>
      </c>
      <c r="CC13" s="27"/>
      <c r="CD13" s="4">
        <v>15</v>
      </c>
      <c r="CE13" s="4">
        <v>15</v>
      </c>
      <c r="CF13" s="27"/>
      <c r="CG13" s="4">
        <v>15</v>
      </c>
      <c r="CH13" s="4">
        <v>15</v>
      </c>
      <c r="CI13" s="27"/>
      <c r="CJ13" s="4">
        <v>10</v>
      </c>
      <c r="CK13" s="4">
        <v>10</v>
      </c>
      <c r="CL13" s="27"/>
      <c r="CM13" s="4">
        <v>3</v>
      </c>
      <c r="CN13" s="4">
        <v>3</v>
      </c>
      <c r="CO13" s="27"/>
      <c r="CP13" s="4">
        <v>5</v>
      </c>
      <c r="CQ13" s="4">
        <v>5</v>
      </c>
      <c r="CR13" s="27"/>
      <c r="CS13" s="27"/>
      <c r="CT13" s="5">
        <v>120</v>
      </c>
      <c r="CU13" s="5">
        <v>120</v>
      </c>
      <c r="CV13" s="27"/>
      <c r="CW13" s="5">
        <v>0</v>
      </c>
      <c r="CX13" s="5">
        <v>0</v>
      </c>
      <c r="CY13" s="27"/>
      <c r="CZ13" s="5">
        <v>0</v>
      </c>
      <c r="DA13" s="5">
        <v>0</v>
      </c>
      <c r="DB13" s="27"/>
      <c r="DC13" s="31"/>
      <c r="DD13" s="31"/>
      <c r="DE13" s="27"/>
      <c r="DF13" s="4">
        <v>120</v>
      </c>
      <c r="DG13" s="4">
        <v>120</v>
      </c>
      <c r="DH13" s="27"/>
      <c r="DI13" s="89">
        <v>1</v>
      </c>
      <c r="DJ13" s="4">
        <v>20</v>
      </c>
      <c r="DK13" s="4">
        <v>20</v>
      </c>
      <c r="DL13" s="27"/>
      <c r="DM13" s="4">
        <v>5</v>
      </c>
      <c r="DN13" s="4">
        <v>5</v>
      </c>
      <c r="DO13" s="27"/>
      <c r="DP13" s="4">
        <v>3</v>
      </c>
      <c r="DQ13" s="4">
        <v>3</v>
      </c>
      <c r="DR13" s="27"/>
      <c r="DS13" s="89">
        <v>1</v>
      </c>
      <c r="DT13" s="4">
        <v>60</v>
      </c>
      <c r="DU13" s="4">
        <v>60</v>
      </c>
      <c r="DV13" s="27"/>
      <c r="DW13" s="46"/>
      <c r="DX13" s="46"/>
      <c r="DY13" s="46"/>
      <c r="DZ13" s="46"/>
      <c r="EA13" s="89">
        <v>1</v>
      </c>
      <c r="EB13" s="4">
        <v>60</v>
      </c>
      <c r="EC13" s="4">
        <v>60</v>
      </c>
      <c r="ED13" s="27"/>
      <c r="EE13" s="4">
        <v>30</v>
      </c>
      <c r="EF13" s="4">
        <v>30</v>
      </c>
      <c r="EG13" s="27"/>
      <c r="EH13" s="4">
        <v>120</v>
      </c>
      <c r="EI13" s="4">
        <v>120</v>
      </c>
      <c r="EJ13" s="27"/>
      <c r="EK13" s="4">
        <v>3</v>
      </c>
      <c r="EL13" s="4">
        <v>3</v>
      </c>
      <c r="EM13" s="27"/>
      <c r="EN13" s="4">
        <v>60</v>
      </c>
      <c r="EO13" s="4">
        <v>60</v>
      </c>
      <c r="EP13" s="27"/>
      <c r="EQ13" s="4">
        <v>60</v>
      </c>
      <c r="ER13" s="4">
        <v>60</v>
      </c>
      <c r="ES13" s="27"/>
      <c r="ET13" s="4">
        <v>60</v>
      </c>
      <c r="EU13" s="4">
        <v>60</v>
      </c>
      <c r="EV13" s="27"/>
      <c r="EW13" s="4">
        <v>5</v>
      </c>
      <c r="EX13" s="4">
        <v>5</v>
      </c>
      <c r="EY13" s="27"/>
      <c r="EZ13" s="4">
        <v>5</v>
      </c>
      <c r="FA13" s="4">
        <v>5</v>
      </c>
      <c r="FB13" s="27"/>
      <c r="FC13" s="4">
        <v>20</v>
      </c>
      <c r="FD13" s="4">
        <v>20</v>
      </c>
      <c r="FE13" s="27"/>
      <c r="FF13" s="4">
        <v>5</v>
      </c>
      <c r="FG13" s="4">
        <v>5</v>
      </c>
      <c r="FH13" s="27"/>
      <c r="FI13" s="4">
        <v>5</v>
      </c>
      <c r="FJ13" s="4">
        <v>5</v>
      </c>
      <c r="FK13" s="27"/>
      <c r="FL13" s="4">
        <v>0</v>
      </c>
      <c r="FM13" s="4">
        <v>0</v>
      </c>
      <c r="FN13" s="27"/>
      <c r="FO13" s="4">
        <v>40</v>
      </c>
      <c r="FP13" s="4">
        <v>40</v>
      </c>
      <c r="FQ13" s="27"/>
      <c r="FR13" s="27"/>
      <c r="FS13" s="109"/>
      <c r="FT13" s="54">
        <f t="shared" ref="FT13" si="6">NETWORKDAYS($I14,FO14)</f>
        <v>812</v>
      </c>
      <c r="FU13" s="54">
        <f t="shared" ref="FU13" si="7">NETWORKDAYS($I14,FP14)</f>
        <v>812</v>
      </c>
      <c r="FV13" s="54">
        <f t="shared" ref="FV13" si="8">IF(FQ14="",NETWORKDAYS($I14,FP14),NETWORKDAYS($I14,FQ14))</f>
        <v>812</v>
      </c>
      <c r="FW13" s="55" t="s">
        <v>464</v>
      </c>
    </row>
    <row r="14" spans="1:311" x14ac:dyDescent="0.35">
      <c r="A14" s="23" t="s">
        <v>465</v>
      </c>
      <c r="B14" s="23">
        <v>100002</v>
      </c>
      <c r="C14" s="23">
        <v>333</v>
      </c>
      <c r="D14" s="65"/>
      <c r="E14" s="23" t="str">
        <f>IF(D14="","Unknown",IF(D14&lt;=FM14+90,"Red",IF(AND(D14&gt;FM14+90,D14&lt;=FM14+180),"Yellow",IF(AND(D14&gt;FM14+180,D14&lt;=FM14+690),"Green","Covered"))))</f>
        <v>Unknown</v>
      </c>
      <c r="F14" s="25" t="s">
        <v>469</v>
      </c>
      <c r="G14" s="26"/>
      <c r="H14" s="26" t="str">
        <f>IF(CR14="","Pre-Execution","Execution")</f>
        <v>Pre-Execution</v>
      </c>
      <c r="I14" s="13">
        <v>45717</v>
      </c>
      <c r="J14" s="10">
        <f>WORKDAY(I14,J13)</f>
        <v>45779</v>
      </c>
      <c r="K14" s="10">
        <f>WORKDAY(I14,K13)</f>
        <v>45779</v>
      </c>
      <c r="L14" s="56"/>
      <c r="M14" s="10">
        <f>WORKDAY(J14,M13)</f>
        <v>45779</v>
      </c>
      <c r="N14" s="10">
        <f>IF(L14="",WORKDAY(K14,N13),WORKDAY(L14,N13))</f>
        <v>45779</v>
      </c>
      <c r="O14" s="56"/>
      <c r="P14" s="10">
        <f>WORKDAY(M14,P13)</f>
        <v>45824</v>
      </c>
      <c r="Q14" s="10">
        <f>IF(O14="",WORKDAY(N14,Q13),WORKDAY(O14,Q13))</f>
        <v>45824</v>
      </c>
      <c r="R14" s="56"/>
      <c r="S14" s="10">
        <f>WORKDAY(P14, S13)</f>
        <v>45866</v>
      </c>
      <c r="T14" s="10">
        <f>IF(R14="",WORKDAY(Q14,T13),WORKDAY(R14,T13))</f>
        <v>45866</v>
      </c>
      <c r="U14" s="56"/>
      <c r="V14" s="47"/>
      <c r="W14" s="47"/>
      <c r="X14" s="47"/>
      <c r="Y14" s="10">
        <f>WORKDAY(P14,Y13)</f>
        <v>45894</v>
      </c>
      <c r="Z14" s="10">
        <f>IF(R14="",WORKDAY(Q14,Z13),WORKDAY(R14,Z13))</f>
        <v>45894</v>
      </c>
      <c r="AA14" s="56"/>
      <c r="AB14" s="10">
        <f>WORKDAY(I14,AB13)</f>
        <v>45717</v>
      </c>
      <c r="AC14" s="10">
        <f>WORKDAY(I14,AC13)</f>
        <v>45717</v>
      </c>
      <c r="AD14" s="56"/>
      <c r="AE14" s="10">
        <f>WORKDAY(AB14,AE13)</f>
        <v>45821</v>
      </c>
      <c r="AF14" s="10">
        <f>IF(AD14="",WORKDAY(AC14,AF13),WORKDAY(AD14,AF13))</f>
        <v>45821</v>
      </c>
      <c r="AG14" s="56"/>
      <c r="AH14" s="10">
        <f>WORKDAY(IF(S14&gt;Y14,(IF(S14&gt;AE14,S14,AE14)),IF(Y14&gt;AE14,Y14,AE14)),AH13)</f>
        <v>45901</v>
      </c>
      <c r="AI14" s="10">
        <f>IF(U14="",WORKDAY(IF(T14&gt;Z14,(IF(T14&gt;AF14,T14,AF14)),IF(Z14&gt;AF14,Z14,AF14)),AI13),WORKDAY(IF(U14&gt;AA14,(IF(U14&gt;AG14,U14,AG14)),IF(AA14&gt;AG14,AA14,AG14)),AI13))</f>
        <v>45901</v>
      </c>
      <c r="AJ14" s="56"/>
      <c r="AK14" s="10">
        <f>WORKDAY(AH14,AK13)</f>
        <v>45929</v>
      </c>
      <c r="AL14" s="10">
        <f>IF(AJ14="",WORKDAY(AI14,AL13),WORKDAY(AJ14,AL13))</f>
        <v>45929</v>
      </c>
      <c r="AM14" s="56"/>
      <c r="AN14" s="10">
        <f>WORKDAY(AK14,AN13)</f>
        <v>45929</v>
      </c>
      <c r="AO14" s="10">
        <f>IF(AM14="",WORKDAY(AL14,AO13),WORKDAY(AM14,AO13))</f>
        <v>45929</v>
      </c>
      <c r="AP14" s="56"/>
      <c r="AQ14" s="10">
        <f>WORKDAY(AN14,AQ13)</f>
        <v>45957</v>
      </c>
      <c r="AR14" s="10">
        <f>IF(AP14="",WORKDAY(AO14,AR13),WORKDAY(AP14,AR13))</f>
        <v>45957</v>
      </c>
      <c r="AS14" s="56"/>
      <c r="AT14" s="10">
        <f>WORKDAY(AN14,AT13)</f>
        <v>45936</v>
      </c>
      <c r="AU14" s="10">
        <f>IF(O14="",WORKDAY(AO14,AU13),WORKDAY(AP14,AU13))</f>
        <v>45936</v>
      </c>
      <c r="AV14" s="56"/>
      <c r="AW14" s="10">
        <f>IF(AQ14&gt;AT14,WORKDAY(AQ14,AW13),WORKDAY(AT14,AW13))</f>
        <v>45971</v>
      </c>
      <c r="AX14" s="10">
        <f>IF(AS14="",IF(AR14&gt;AU14,WORKDAY(AR14,AX13),WORKDAY(AU14,AX13)),IF(AS14&gt;AV14,WORKDAY(AS14,AX13),WORKDAY(AV14,AX13)))</f>
        <v>45971</v>
      </c>
      <c r="AY14" s="56"/>
      <c r="AZ14" s="10">
        <f>WORKDAY(AN14,AZ13)</f>
        <v>45929</v>
      </c>
      <c r="BA14" s="10">
        <f>IF(AP14="",WORKDAY(AO14,BA13),WORKDAY(AP14,BA13))</f>
        <v>45929</v>
      </c>
      <c r="BB14" s="56"/>
      <c r="BC14" s="10">
        <f>IF(AW14&gt;AZ14,WORKDAY(AW14,BC13),WORKDAY(AZ14,BC13))</f>
        <v>45978</v>
      </c>
      <c r="BD14" s="10">
        <f>IF(AY14="",IF(AX14&gt;BA14,WORKDAY(AX14,BD13),WORKDAY(BA14,BD13)),IF(AY14&gt;BB14,WORKDAY(AY14,BD13),WORKDAY(BB14,BD13)))</f>
        <v>45978</v>
      </c>
      <c r="BE14" s="56"/>
      <c r="BF14" s="10">
        <f>WORKDAY(BC14,BF13)</f>
        <v>45985</v>
      </c>
      <c r="BG14" s="10">
        <f>IF(BE14="",WORKDAY(BD14,BG13),WORKDAY(BE14,BG13))</f>
        <v>45985</v>
      </c>
      <c r="BH14" s="56"/>
      <c r="BI14" s="10">
        <f>WORKDAY(BF14,BI13)</f>
        <v>45992</v>
      </c>
      <c r="BJ14" s="10">
        <f>IF(BH14="",WORKDAY(BG14,BJ13),WORKDAY(BH14,BJ13))</f>
        <v>45992</v>
      </c>
      <c r="BK14" s="56"/>
      <c r="BL14" s="10">
        <f>WORKDAY(BI14,BL13)</f>
        <v>45999</v>
      </c>
      <c r="BM14" s="10">
        <f>IF(BK14="",WORKDAY(BJ14,BM13),WORKDAY(BK14,BM13))</f>
        <v>45999</v>
      </c>
      <c r="BN14" s="56"/>
      <c r="BO14" s="10">
        <f>WORKDAY(BL14,BO13)</f>
        <v>46006</v>
      </c>
      <c r="BP14" s="10">
        <f>IF(BN14="",WORKDAY(BM14,BP13),WORKDAY(BN14,BP13))</f>
        <v>46006</v>
      </c>
      <c r="BQ14" s="56"/>
      <c r="BR14" s="10">
        <f>WORKDAY(BO14,BR13)</f>
        <v>46013</v>
      </c>
      <c r="BS14" s="10">
        <f>IF(BQ14="",WORKDAY(BP14,BS13),WORKDAY(BQ14,BS13))</f>
        <v>46013</v>
      </c>
      <c r="BT14" s="56"/>
      <c r="BU14" s="10">
        <f>WORKDAY(BR14,BU13)</f>
        <v>46020</v>
      </c>
      <c r="BV14" s="10">
        <f>IF(BT14="",WORKDAY(BS14,BV13),WORKDAY(BT14,BV13))</f>
        <v>46020</v>
      </c>
      <c r="BW14" s="56"/>
      <c r="BX14" s="10">
        <f>WORKDAY(BU14,BX13)</f>
        <v>46027</v>
      </c>
      <c r="BY14" s="10">
        <f>IF(BW14="",WORKDAY(BV14,BY13),WORKDAY(BW14,BY13))</f>
        <v>46027</v>
      </c>
      <c r="BZ14" s="56"/>
      <c r="CA14" s="10">
        <f>WORKDAY(BX14,CA13)</f>
        <v>46034</v>
      </c>
      <c r="CB14" s="10">
        <f>IF(BZ14="",WORKDAY(BY14,CB13),WORKDAY(BZ14,CB13))</f>
        <v>46034</v>
      </c>
      <c r="CC14" s="56"/>
      <c r="CD14" s="10">
        <f>WORKDAY(BX14,CD13)</f>
        <v>46048</v>
      </c>
      <c r="CE14" s="10">
        <f>IF(BZ14="",WORKDAY(BY14,CE13),WORKDAY(BZ14,CE13))</f>
        <v>46048</v>
      </c>
      <c r="CF14" s="56"/>
      <c r="CG14" s="10">
        <f>WORKDAY(BX14,CG13)</f>
        <v>46048</v>
      </c>
      <c r="CH14" s="10">
        <f>IF(BZ14="",WORKDAY(BY14,CH13),WORKDAY(BZ14,CH13))</f>
        <v>46048</v>
      </c>
      <c r="CI14" s="56"/>
      <c r="CJ14" s="10">
        <f>WORKDAY(CD14,CJ13)</f>
        <v>46062</v>
      </c>
      <c r="CK14" s="10">
        <f>IF(CF14="",WORKDAY(CE14,CK13),WORKDAY(CF14,CK13))</f>
        <v>46062</v>
      </c>
      <c r="CL14" s="56"/>
      <c r="CM14" s="10">
        <f>WORKDAY(CJ14,CM13)</f>
        <v>46065</v>
      </c>
      <c r="CN14" s="10">
        <f>IF(CL14="",WORKDAY(CK14,CN13),WORKDAY(CL14,CN13))</f>
        <v>46065</v>
      </c>
      <c r="CO14" s="56"/>
      <c r="CP14" s="10">
        <f>WORKDAY(CM14,CP13)</f>
        <v>46072</v>
      </c>
      <c r="CQ14" s="10">
        <f>IF(CO14="",WORKDAY(CN14,CQ13),WORKDAY(CO14,CQ13))</f>
        <v>46072</v>
      </c>
      <c r="CR14" s="56"/>
      <c r="CS14" s="77" t="str">
        <f>IF(CR14="","No Action: Still in Pre-Execution","Execution schedule has been re-baselined w/ FAIR PO Ack ACD. Validate your durations before publishing")</f>
        <v>No Action: Still in Pre-Execution</v>
      </c>
      <c r="CT14" s="10">
        <f>IF(CR14="",WORKDAY(CP14,CT13),WORKDAY(CR14,CT13))</f>
        <v>46240</v>
      </c>
      <c r="CU14" s="10">
        <f>IF(CR14="",WORKDAY(CQ14,CU13),WORKDAY(CR14,CU13))</f>
        <v>46240</v>
      </c>
      <c r="CV14" s="56"/>
      <c r="CW14" s="10">
        <f>WORKDAY(AZ14,CW13)</f>
        <v>45929</v>
      </c>
      <c r="CX14" s="10">
        <f>IF(BB14="",WORKDAY(BA14,CX13),WORKDAY(BB14,CX13))</f>
        <v>45929</v>
      </c>
      <c r="CY14" s="56"/>
      <c r="CZ14" s="10">
        <f>WORKDAY(CW14,CZ13)</f>
        <v>45929</v>
      </c>
      <c r="DA14" s="10">
        <f>IF(CY14="",WORKDAY(CX14,DA13),WORKDAY(CY14,DA13))</f>
        <v>45929</v>
      </c>
      <c r="DB14" s="56"/>
      <c r="DC14" s="45"/>
      <c r="DD14" s="45"/>
      <c r="DE14" s="27"/>
      <c r="DF14" s="10">
        <f>WORKDAY(CT14,DF13)</f>
        <v>46408</v>
      </c>
      <c r="DG14" s="10">
        <f>IF(CV14="",WORKDAY(CU14,DG13),WORKDAY(CV14,DG13))</f>
        <v>46408</v>
      </c>
      <c r="DH14" s="56"/>
      <c r="DI14" s="46"/>
      <c r="DJ14" s="10">
        <f>WORKDAY(DF14,DJ13*DI13)</f>
        <v>46436</v>
      </c>
      <c r="DK14" s="10">
        <f>IF(DH14="",WORKDAY(DG14,DK13*DI13),WORKDAY(DH14,DK13*DI13))</f>
        <v>46436</v>
      </c>
      <c r="DL14" s="56"/>
      <c r="DM14" s="10">
        <f>WORKDAY(DJ14,DM13)</f>
        <v>46443</v>
      </c>
      <c r="DN14" s="10">
        <f>IF(DL14="",WORKDAY(DK14,DN13),WORKDAY(DL14,DN13))</f>
        <v>46443</v>
      </c>
      <c r="DO14" s="56"/>
      <c r="DP14" s="10">
        <f>WORKDAY(DM14,DP13)</f>
        <v>46448</v>
      </c>
      <c r="DQ14" s="10">
        <f>IF(DO14="",WORKDAY(DN14,DQ13),WORKDAY(DO14,DQ13))</f>
        <v>46448</v>
      </c>
      <c r="DR14" s="56"/>
      <c r="DS14" s="46"/>
      <c r="DT14" s="10">
        <f>WORKDAY(DP14,DT13*$DS13)</f>
        <v>46532</v>
      </c>
      <c r="DU14" s="10">
        <f>IF(DR14="",WORKDAY(DQ14,DU13*$DS13),WORKDAY(DR14,DU13*$DS13))</f>
        <v>46532</v>
      </c>
      <c r="DV14" s="56"/>
      <c r="DW14" s="46"/>
      <c r="DX14" s="46"/>
      <c r="DY14" s="46"/>
      <c r="DZ14" s="46"/>
      <c r="EA14" s="46"/>
      <c r="EB14" s="10">
        <f>WORKDAY(DT14,EB13*$EA13)</f>
        <v>46616</v>
      </c>
      <c r="EC14" s="10">
        <f>IF(DV14="",WORKDAY(DU14,EC13*$EA13),WORKDAY(DV14,EC13*$EA13))</f>
        <v>46616</v>
      </c>
      <c r="ED14" s="56"/>
      <c r="EE14" s="10">
        <f>WORKDAY(EB14,EE13)</f>
        <v>46658</v>
      </c>
      <c r="EF14" s="10">
        <f>IF(ED14="",WORKDAY(EC14,EF13),WORKDAY(ED14,EF13))</f>
        <v>46658</v>
      </c>
      <c r="EG14" s="56"/>
      <c r="EH14" s="10">
        <f>IF(CR14="",WORKDAY(BF14,EH13),WORKDAY(BH14,EH13))</f>
        <v>46153</v>
      </c>
      <c r="EI14" s="10">
        <f>IF(BH14="",WORKDAY(BG14,EI13),WORKDAY(BH14,EI13))</f>
        <v>46153</v>
      </c>
      <c r="EJ14" s="56"/>
      <c r="EK14" s="10">
        <f>WORKDAY(EE14,EK13)</f>
        <v>46661</v>
      </c>
      <c r="EL14" s="10">
        <f>IF(EG14="",WORKDAY(EF14,EL13),WORKDAY(EG14,EL13))</f>
        <v>46661</v>
      </c>
      <c r="EM14" s="56"/>
      <c r="EN14" s="10">
        <f>WORKDAY(EE14,EN13)</f>
        <v>46742</v>
      </c>
      <c r="EO14" s="10">
        <f>IF(EG14="",WORKDAY(EF14,EO13),WORKDAY(EG14,EO13))</f>
        <v>46742</v>
      </c>
      <c r="EP14" s="56"/>
      <c r="EQ14" s="10">
        <f>WORKDAY(EE14,EQ13)</f>
        <v>46742</v>
      </c>
      <c r="ER14" s="10">
        <f>IF(EG14="",WORKDAY(EF14,ER13),WORKDAY(EG14,ER13))</f>
        <v>46742</v>
      </c>
      <c r="ES14" s="56"/>
      <c r="ET14" s="10">
        <f>WORKDAY(EE14,ET13)</f>
        <v>46742</v>
      </c>
      <c r="EU14" s="10">
        <f>IF(EG14="",WORKDAY(EF14,EU13),WORKDAY(EG14,EU13))</f>
        <v>46742</v>
      </c>
      <c r="EV14" s="56"/>
      <c r="EW14" s="11">
        <f>WORKDAY(IF(EN14&gt;EQ14,(IF(EN14&gt;ET14,EN14,ET14)),IF(EQ14&gt;ET14,EQ14,ET14)),EW13)</f>
        <v>46749</v>
      </c>
      <c r="EX14" s="11">
        <f>IF(EP14="",WORKDAY(IF(EO14&gt;ER14,(IF(EO14&gt;EU14,EO14,EU14)),IF(ER14&gt;EU14,ER14,EU14)),EX13),WORKDAY(IF(EP14&gt;ES14,(IF(EP14&gt;EV14,EP14,EV14)),IF(ES14&gt;EV14,ES14,EV14)),EX13))</f>
        <v>46749</v>
      </c>
      <c r="EY14" s="56"/>
      <c r="EZ14" s="12">
        <f>WORKDAY(EW14,EZ13)</f>
        <v>46756</v>
      </c>
      <c r="FA14" s="12">
        <f>IF(EY14="",WORKDAY(EX14,FA13),WORKDAY(EY14,FA13))</f>
        <v>46756</v>
      </c>
      <c r="FB14" s="56"/>
      <c r="FC14" s="11">
        <f>WORKDAY(EZ14,FC13)</f>
        <v>46784</v>
      </c>
      <c r="FD14" s="11">
        <f>IF(FB14="",WORKDAY(FA14,FD13),WORKDAY(FB14,FD13))</f>
        <v>46784</v>
      </c>
      <c r="FE14" s="56"/>
      <c r="FF14" s="42">
        <f>WORKDAY(FC14,FF13)</f>
        <v>46791</v>
      </c>
      <c r="FG14" s="42">
        <f>IF(FE14="",WORKDAY(FD14,FG13),WORKDAY(FE14,FG13))</f>
        <v>46791</v>
      </c>
      <c r="FH14" s="59"/>
      <c r="FI14" s="12">
        <f>WORKDAY(FF14,FI13)</f>
        <v>46798</v>
      </c>
      <c r="FJ14" s="12">
        <f>IF(FH14="",WORKDAY(FG14,FJ13),WORKDAY(FH14,FJ13))</f>
        <v>46798</v>
      </c>
      <c r="FK14" s="56"/>
      <c r="FL14" s="10">
        <f>WORKDAY(FI14,FL13)</f>
        <v>46798</v>
      </c>
      <c r="FM14" s="10">
        <f>IF(FK14="",WORKDAY(FJ14,FM13),WORKDAY(FK14,FM13))</f>
        <v>46798</v>
      </c>
      <c r="FN14" s="56"/>
      <c r="FO14" s="10">
        <f>WORKDAY(FL14,FO13)</f>
        <v>46854</v>
      </c>
      <c r="FP14" s="10">
        <f>WORKDAY(FM14,FP13)</f>
        <v>46854</v>
      </c>
      <c r="FQ14" s="56"/>
      <c r="FR14" s="77" t="str">
        <f>IF(NETWORKDAYS(FJ14,FO14)&gt;=30,"On-Track",IF(AND(NETWORKDAYS(FJ14,FO14)&lt;30,FJ14&lt;=FO14),"At Risk","Missed TCD"))</f>
        <v>On-Track</v>
      </c>
      <c r="FS14" s="110"/>
      <c r="FT14" s="57">
        <f t="shared" ref="FT14" si="9">NETWORKDAYS(CP14,FI14)</f>
        <v>519</v>
      </c>
      <c r="FU14" s="57">
        <f t="shared" ref="FU14" si="10">NETWORKDAYS(CQ14,FJ14)</f>
        <v>519</v>
      </c>
      <c r="FV14" s="57">
        <f t="shared" ref="FV14" si="11">IF(BH14="",NETWORKDAYS(BG14,FJ14),IF(FK14="",NETWORKDAYS(BH14,FJ14),NETWORKDAYS(BH14,FK14)))</f>
        <v>582</v>
      </c>
      <c r="FW14" s="58" t="s">
        <v>467</v>
      </c>
    </row>
    <row r="15" spans="1:311" outlineLevel="1" x14ac:dyDescent="0.35">
      <c r="A15" s="23"/>
      <c r="B15" s="23"/>
      <c r="C15" s="24"/>
      <c r="D15" s="95"/>
      <c r="E15" s="24"/>
      <c r="F15" s="25" t="s">
        <v>463</v>
      </c>
      <c r="G15" s="26"/>
      <c r="H15" s="26"/>
      <c r="I15" s="27"/>
      <c r="J15" s="27"/>
      <c r="K15" s="27"/>
      <c r="L15" s="27"/>
      <c r="M15" s="4">
        <v>10</v>
      </c>
      <c r="N15" s="4">
        <v>10</v>
      </c>
      <c r="O15" s="27"/>
      <c r="P15" s="4">
        <v>21</v>
      </c>
      <c r="Q15" s="4">
        <v>21</v>
      </c>
      <c r="R15" s="27"/>
      <c r="S15" s="27"/>
      <c r="T15" s="27"/>
      <c r="U15" s="27"/>
      <c r="V15" s="4">
        <v>30</v>
      </c>
      <c r="W15" s="4">
        <v>30</v>
      </c>
      <c r="X15" s="27"/>
      <c r="Y15" s="4">
        <v>50</v>
      </c>
      <c r="Z15" s="4">
        <v>50</v>
      </c>
      <c r="AA15" s="27"/>
      <c r="AB15" s="4">
        <v>0</v>
      </c>
      <c r="AC15" s="4">
        <v>0</v>
      </c>
      <c r="AD15" s="27"/>
      <c r="AE15" s="4">
        <v>75</v>
      </c>
      <c r="AF15" s="4">
        <v>75</v>
      </c>
      <c r="AG15" s="27"/>
      <c r="AH15" s="4">
        <v>5</v>
      </c>
      <c r="AI15" s="4">
        <v>5</v>
      </c>
      <c r="AJ15" s="27"/>
      <c r="AK15" s="4">
        <v>20</v>
      </c>
      <c r="AL15" s="4">
        <v>20</v>
      </c>
      <c r="AM15" s="27"/>
      <c r="AN15" s="4">
        <v>0</v>
      </c>
      <c r="AO15" s="4">
        <v>0</v>
      </c>
      <c r="AP15" s="27"/>
      <c r="AQ15" s="4">
        <v>20</v>
      </c>
      <c r="AR15" s="4">
        <v>20</v>
      </c>
      <c r="AS15" s="27"/>
      <c r="AT15" s="4">
        <v>5</v>
      </c>
      <c r="AU15" s="4">
        <v>5</v>
      </c>
      <c r="AV15" s="27"/>
      <c r="AW15" s="4">
        <v>10</v>
      </c>
      <c r="AX15" s="4">
        <v>10</v>
      </c>
      <c r="AY15" s="27"/>
      <c r="AZ15" s="4">
        <v>30</v>
      </c>
      <c r="BA15" s="4">
        <v>30</v>
      </c>
      <c r="BB15" s="27"/>
      <c r="BC15" s="4">
        <v>5</v>
      </c>
      <c r="BD15" s="4">
        <v>5</v>
      </c>
      <c r="BE15" s="27"/>
      <c r="BF15" s="4">
        <v>5</v>
      </c>
      <c r="BG15" s="4">
        <v>5</v>
      </c>
      <c r="BH15" s="27"/>
      <c r="BI15" s="4">
        <v>5</v>
      </c>
      <c r="BJ15" s="4">
        <v>5</v>
      </c>
      <c r="BK15" s="27"/>
      <c r="BL15" s="27"/>
      <c r="BM15" s="27"/>
      <c r="BN15" s="27"/>
      <c r="BO15" s="4">
        <v>5</v>
      </c>
      <c r="BP15" s="4">
        <v>5</v>
      </c>
      <c r="BQ15" s="28"/>
      <c r="BR15" s="28"/>
      <c r="BS15" s="28"/>
      <c r="BT15" s="28"/>
      <c r="BU15" s="28"/>
      <c r="BV15" s="28"/>
      <c r="BW15" s="28"/>
      <c r="BX15" s="28"/>
      <c r="BY15" s="28"/>
      <c r="BZ15" s="28"/>
      <c r="CA15" s="28"/>
      <c r="CB15" s="28"/>
      <c r="CC15" s="28"/>
      <c r="CD15" s="28"/>
      <c r="CE15" s="28"/>
      <c r="CF15" s="28"/>
      <c r="CG15" s="28"/>
      <c r="CH15" s="28"/>
      <c r="CI15" s="28"/>
      <c r="CJ15" s="4">
        <v>10</v>
      </c>
      <c r="CK15" s="4">
        <v>10</v>
      </c>
      <c r="CL15" s="27"/>
      <c r="CM15" s="4">
        <v>3</v>
      </c>
      <c r="CN15" s="4">
        <v>3</v>
      </c>
      <c r="CO15" s="27"/>
      <c r="CP15" s="4">
        <v>5</v>
      </c>
      <c r="CQ15" s="4">
        <v>5</v>
      </c>
      <c r="CR15" s="27"/>
      <c r="CS15" s="27"/>
      <c r="CT15" s="5">
        <v>120</v>
      </c>
      <c r="CU15" s="5">
        <v>120</v>
      </c>
      <c r="CV15" s="27"/>
      <c r="CW15" s="5">
        <v>10</v>
      </c>
      <c r="CX15" s="5">
        <v>10</v>
      </c>
      <c r="CY15" s="27"/>
      <c r="CZ15" s="5">
        <v>60</v>
      </c>
      <c r="DA15" s="5">
        <v>60</v>
      </c>
      <c r="DB15" s="27"/>
      <c r="DC15" s="5">
        <v>60</v>
      </c>
      <c r="DD15" s="5">
        <v>60</v>
      </c>
      <c r="DE15" s="27"/>
      <c r="DF15" s="4">
        <v>20</v>
      </c>
      <c r="DG15" s="4">
        <v>20</v>
      </c>
      <c r="DH15" s="27"/>
      <c r="DI15" s="89">
        <v>1</v>
      </c>
      <c r="DJ15" s="4">
        <v>20</v>
      </c>
      <c r="DK15" s="4">
        <v>20</v>
      </c>
      <c r="DL15" s="27"/>
      <c r="DM15" s="4">
        <v>5</v>
      </c>
      <c r="DN15" s="4">
        <v>5</v>
      </c>
      <c r="DO15" s="27"/>
      <c r="DP15" s="4">
        <v>3</v>
      </c>
      <c r="DQ15" s="4">
        <v>3</v>
      </c>
      <c r="DR15" s="27"/>
      <c r="DS15" s="89">
        <v>1</v>
      </c>
      <c r="DT15" s="4">
        <v>60</v>
      </c>
      <c r="DU15" s="4">
        <v>60</v>
      </c>
      <c r="DV15" s="27"/>
      <c r="DW15" s="89">
        <v>1</v>
      </c>
      <c r="DX15" s="4">
        <v>30</v>
      </c>
      <c r="DY15" s="4">
        <v>30</v>
      </c>
      <c r="DZ15" s="27"/>
      <c r="EA15" s="89">
        <v>1</v>
      </c>
      <c r="EB15" s="4">
        <v>60</v>
      </c>
      <c r="EC15" s="4">
        <v>60</v>
      </c>
      <c r="ED15" s="27"/>
      <c r="EE15" s="4">
        <v>30</v>
      </c>
      <c r="EF15" s="4">
        <v>30</v>
      </c>
      <c r="EG15" s="27"/>
      <c r="EH15" s="4">
        <v>120</v>
      </c>
      <c r="EI15" s="4">
        <v>120</v>
      </c>
      <c r="EJ15" s="27"/>
      <c r="EK15" s="27"/>
      <c r="EL15" s="27"/>
      <c r="EM15" s="27"/>
      <c r="EN15" s="4">
        <v>60</v>
      </c>
      <c r="EO15" s="4">
        <v>60</v>
      </c>
      <c r="EP15" s="27"/>
      <c r="EQ15" s="4">
        <v>60</v>
      </c>
      <c r="ER15" s="4">
        <v>60</v>
      </c>
      <c r="ES15" s="27"/>
      <c r="ET15" s="4">
        <v>60</v>
      </c>
      <c r="EU15" s="4">
        <v>60</v>
      </c>
      <c r="EV15" s="27"/>
      <c r="EW15" s="4">
        <v>5</v>
      </c>
      <c r="EX15" s="4">
        <v>5</v>
      </c>
      <c r="EY15" s="27"/>
      <c r="EZ15" s="4">
        <v>5</v>
      </c>
      <c r="FA15" s="4">
        <v>5</v>
      </c>
      <c r="FB15" s="27"/>
      <c r="FC15" s="28"/>
      <c r="FD15" s="28"/>
      <c r="FE15" s="28"/>
      <c r="FF15" s="28"/>
      <c r="FG15" s="28"/>
      <c r="FH15" s="28"/>
      <c r="FI15" s="4">
        <v>5</v>
      </c>
      <c r="FJ15" s="4">
        <v>5</v>
      </c>
      <c r="FK15" s="27"/>
      <c r="FL15" s="4">
        <v>0</v>
      </c>
      <c r="FM15" s="4">
        <v>0</v>
      </c>
      <c r="FN15" s="27"/>
      <c r="FO15" s="4">
        <v>40</v>
      </c>
      <c r="FP15" s="4">
        <v>40</v>
      </c>
      <c r="FQ15" s="27"/>
      <c r="FR15" s="27"/>
      <c r="FS15" s="109"/>
      <c r="FT15" s="54">
        <f t="shared" ref="FT15" si="12">NETWORKDAYS($I16,FO16)</f>
        <v>692</v>
      </c>
      <c r="FU15" s="54">
        <f t="shared" ref="FU15" si="13">NETWORKDAYS($I16,FP16)</f>
        <v>692</v>
      </c>
      <c r="FV15" s="54">
        <f t="shared" ref="FV15" si="14">IF(FQ16="",NETWORKDAYS($I16,FP16),NETWORKDAYS($I16,FQ16))</f>
        <v>692</v>
      </c>
      <c r="FW15" s="55" t="s">
        <v>464</v>
      </c>
    </row>
    <row r="16" spans="1:311" x14ac:dyDescent="0.35">
      <c r="A16" s="23" t="s">
        <v>465</v>
      </c>
      <c r="B16" s="23">
        <v>100003</v>
      </c>
      <c r="C16" s="23">
        <v>444</v>
      </c>
      <c r="D16" s="65"/>
      <c r="E16" s="23" t="str">
        <f>IF(D16="","Unknown",IF(D16&lt;=FM16+90,"Red",IF(AND(D16&gt;FM16+90,D16&lt;=FM16+180),"Yellow",IF(AND(D16&gt;FM16+180,D16&lt;=FM16+690),"Green","Covered"))))</f>
        <v>Unknown</v>
      </c>
      <c r="F16" s="25" t="s">
        <v>470</v>
      </c>
      <c r="G16" s="26"/>
      <c r="H16" s="26" t="str">
        <f>IF(CR16="","Pre-Execution","Execution")</f>
        <v>Pre-Execution</v>
      </c>
      <c r="I16" s="13">
        <v>45717</v>
      </c>
      <c r="J16" s="28"/>
      <c r="K16" s="28"/>
      <c r="L16" s="28"/>
      <c r="M16" s="42">
        <f>WORKDAY(I16,M15)</f>
        <v>45730</v>
      </c>
      <c r="N16" s="42">
        <f>WORKDAY(I16,N15)</f>
        <v>45730</v>
      </c>
      <c r="O16" s="59"/>
      <c r="P16" s="42">
        <f>WORKDAY(M16,P15)</f>
        <v>45761</v>
      </c>
      <c r="Q16" s="42">
        <f>IF(O16="",WORKDAY(N16,Q15),WORKDAY(O16,Q15))</f>
        <v>45761</v>
      </c>
      <c r="R16" s="59"/>
      <c r="S16" s="28"/>
      <c r="T16" s="28"/>
      <c r="U16" s="28"/>
      <c r="V16" s="10">
        <f>WORKDAY(P16, V15)</f>
        <v>45803</v>
      </c>
      <c r="W16" s="10">
        <f>IF(R16="",WORKDAY(Q16,W15),WORKDAY(R16,W15))</f>
        <v>45803</v>
      </c>
      <c r="X16" s="56"/>
      <c r="Y16" s="10">
        <f>WORKDAY(P16,Y15)</f>
        <v>45831</v>
      </c>
      <c r="Z16" s="10">
        <f>IF(R16="",WORKDAY(Q16,Z15),WORKDAY(R16,Z15))</f>
        <v>45831</v>
      </c>
      <c r="AA16" s="56"/>
      <c r="AB16" s="10">
        <f>WORKDAY(I16,AB15)</f>
        <v>45717</v>
      </c>
      <c r="AC16" s="10">
        <f>WORKDAY(I16,AC15)</f>
        <v>45717</v>
      </c>
      <c r="AD16" s="56"/>
      <c r="AE16" s="10">
        <f>WORKDAY(AB16,AE15)</f>
        <v>45821</v>
      </c>
      <c r="AF16" s="10">
        <f>IF(AD16="",WORKDAY(AC16,AF15),WORKDAY(AD16,AF15))</f>
        <v>45821</v>
      </c>
      <c r="AG16" s="56"/>
      <c r="AH16" s="42">
        <f>WORKDAY(IF(Y16&gt;AE16,Y16,AE16),AH15)</f>
        <v>45838</v>
      </c>
      <c r="AI16" s="42">
        <f>WORKDAY(IF(AA16="",IF(Z16&gt;AF16,Z16,AF16),IF(AA16&gt;AG16,AA16,AG16)),AI15)</f>
        <v>45838</v>
      </c>
      <c r="AJ16" s="59"/>
      <c r="AK16" s="10">
        <f>WORKDAY(AH16,AK15)</f>
        <v>45866</v>
      </c>
      <c r="AL16" s="10">
        <f>IF(AJ16="",WORKDAY(AI16,AL15),WORKDAY(AJ16,AL15))</f>
        <v>45866</v>
      </c>
      <c r="AM16" s="56"/>
      <c r="AN16" s="10">
        <f>WORKDAY(AK16,AN15)</f>
        <v>45866</v>
      </c>
      <c r="AO16" s="10">
        <f>IF(AM16="",WORKDAY(AL16,AO15),WORKDAY(AM16,AO15))</f>
        <v>45866</v>
      </c>
      <c r="AP16" s="56"/>
      <c r="AQ16" s="42">
        <f>WORKDAY(AN16,AQ15)</f>
        <v>45894</v>
      </c>
      <c r="AR16" s="42">
        <f>IF(AP16="",WORKDAY(AO16,AR15),WORKDAY(AP16,AR15))</f>
        <v>45894</v>
      </c>
      <c r="AS16" s="59"/>
      <c r="AT16" s="10">
        <f>WORKDAY(AN16,AT15)</f>
        <v>45873</v>
      </c>
      <c r="AU16" s="10">
        <f>IF(O16="",WORKDAY(AO16,AU15),WORKDAY(AP16,AU15))</f>
        <v>45873</v>
      </c>
      <c r="AV16" s="56"/>
      <c r="AW16" s="10">
        <f>IF(AQ16&gt;AT16,WORKDAY(AQ16,AW15),WORKDAY(AT16,AW15))</f>
        <v>45908</v>
      </c>
      <c r="AX16" s="10">
        <f>IF(AS16="",IF(AR16&gt;AU16,WORKDAY(AR16,AX15),WORKDAY(AU16,AX15)),IF(AS16&gt;AV16,WORKDAY(AS16,AX15),WORKDAY(AV16,AX15)))</f>
        <v>45908</v>
      </c>
      <c r="AY16" s="56"/>
      <c r="AZ16" s="10">
        <f>WORKDAY(AN16,AZ15)</f>
        <v>45908</v>
      </c>
      <c r="BA16" s="10">
        <f>IF(AP16="",WORKDAY(AO16,BA15),WORKDAY(AP16,BA15))</f>
        <v>45908</v>
      </c>
      <c r="BB16" s="56"/>
      <c r="BC16" s="10">
        <f>IF(AW16&gt;AZ16,WORKDAY(AW16,BC15),WORKDAY(AZ16,BC15))</f>
        <v>45915</v>
      </c>
      <c r="BD16" s="10">
        <f>IF(AY16="",IF(AX16&gt;BA16,WORKDAY(AX16,BD15),WORKDAY(BA16,BD15)),IF(AY16&gt;BB16,WORKDAY(AY16,BD15),WORKDAY(BB16,BD15)))</f>
        <v>45915</v>
      </c>
      <c r="BE16" s="56"/>
      <c r="BF16" s="42">
        <f>WORKDAY(BC16,BF15)</f>
        <v>45922</v>
      </c>
      <c r="BG16" s="42">
        <f>IF(BE16="",WORKDAY(BD16,BG15),WORKDAY(BE16,BG15))</f>
        <v>45922</v>
      </c>
      <c r="BH16" s="56"/>
      <c r="BI16" s="10">
        <f>WORKDAY(BF16,BI15)</f>
        <v>45929</v>
      </c>
      <c r="BJ16" s="10">
        <f>IF(BH16="",WORKDAY(BG16,BJ15),WORKDAY(BH16,BJ15))</f>
        <v>45929</v>
      </c>
      <c r="BK16" s="56"/>
      <c r="BL16" s="28"/>
      <c r="BM16" s="28"/>
      <c r="BN16" s="28"/>
      <c r="BO16" s="10">
        <f>WORKDAY(BI16,BO15)</f>
        <v>45936</v>
      </c>
      <c r="BP16" s="10">
        <f>IF(BK16="",WORKDAY(BJ16,BP15),WORKDAY(BK16,BP15))</f>
        <v>45936</v>
      </c>
      <c r="BQ16" s="56"/>
      <c r="BR16" s="28"/>
      <c r="BS16" s="28"/>
      <c r="BT16" s="28"/>
      <c r="BU16" s="28"/>
      <c r="BV16" s="28"/>
      <c r="BW16" s="28"/>
      <c r="BX16" s="28"/>
      <c r="BY16" s="28"/>
      <c r="BZ16" s="28"/>
      <c r="CA16" s="28"/>
      <c r="CB16" s="28"/>
      <c r="CC16" s="28"/>
      <c r="CD16" s="28"/>
      <c r="CE16" s="28"/>
      <c r="CF16" s="28"/>
      <c r="CG16" s="28"/>
      <c r="CH16" s="28"/>
      <c r="CI16" s="28"/>
      <c r="CJ16" s="10">
        <f>WORKDAY(BI16,CJ15)</f>
        <v>45943</v>
      </c>
      <c r="CK16" s="10">
        <f>IF(BK16="",WORKDAY(BJ16,CK15),WORKDAY(BK16,CK15))</f>
        <v>45943</v>
      </c>
      <c r="CL16" s="56"/>
      <c r="CM16" s="42">
        <f>WORKDAY(CJ16,CM15)</f>
        <v>45946</v>
      </c>
      <c r="CN16" s="42">
        <f>IF(CL16="",WORKDAY(CK16,CN15),WORKDAY(CL16,CN15))</f>
        <v>45946</v>
      </c>
      <c r="CO16" s="56"/>
      <c r="CP16" s="42">
        <f>WORKDAY(CM16,CP15)</f>
        <v>45953</v>
      </c>
      <c r="CQ16" s="42">
        <f>IF(CO16="",WORKDAY(CN16,CQ15),WORKDAY(CO16,CQ15))</f>
        <v>45953</v>
      </c>
      <c r="CR16" s="59"/>
      <c r="CS16" s="77" t="str">
        <f>IF(CR16="","No Action: Still in Pre-Execution","Execution schedule has been re-baselined w/ FAIR PO Ack ACD. Validate your durations before publishing")</f>
        <v>No Action: Still in Pre-Execution</v>
      </c>
      <c r="CT16" s="42">
        <f>IF(CR16="",WORKDAY(CP16,CT15),WORKDAY(CR16,CT15))</f>
        <v>46121</v>
      </c>
      <c r="CU16" s="42">
        <f>IF(CR16="",WORKDAY(CQ16,CU15),WORKDAY(CR16,CU15))</f>
        <v>46121</v>
      </c>
      <c r="CV16" s="56"/>
      <c r="CW16" s="10">
        <f>WORKDAY(AZ16,CW15)</f>
        <v>45922</v>
      </c>
      <c r="CX16" s="10">
        <f>IF(BB16="",WORKDAY(BA16,CX15),WORKDAY(BB16,CX15))</f>
        <v>45922</v>
      </c>
      <c r="CY16" s="56"/>
      <c r="CZ16" s="10">
        <f>WORKDAY(CW16,CZ15)</f>
        <v>46006</v>
      </c>
      <c r="DA16" s="10">
        <f>IF(CY16="",WORKDAY(CX16,DA15),WORKDAY(CY16,DA15))</f>
        <v>46006</v>
      </c>
      <c r="DB16" s="56"/>
      <c r="DC16" s="10">
        <f>IF($CU16&gt;$DA16,WORKDAY($CU16,DC15),WORKDAY($DA16,DC15))</f>
        <v>46205</v>
      </c>
      <c r="DD16" s="10">
        <f>IF(CV16="",IF($CU16&gt;$DA16,WORKDAY($CU16,DD15),WORKDAY($DA16,DD15)),IF($CV16&gt;$DB16,WORKDAY($CV16,DD15),WORKDAY($DB16,DD15)))</f>
        <v>46205</v>
      </c>
      <c r="DE16" s="56"/>
      <c r="DF16" s="10">
        <f>WORKDAY(DC16,DF15)</f>
        <v>46233</v>
      </c>
      <c r="DG16" s="10">
        <f>IF(DE16="",WORKDAY(DD16,DG15),WORKDAY(DE16,DG15))</f>
        <v>46233</v>
      </c>
      <c r="DH16" s="56"/>
      <c r="DI16" s="46"/>
      <c r="DJ16" s="10">
        <f>WORKDAY(DF16,DJ15*DI15)</f>
        <v>46261</v>
      </c>
      <c r="DK16" s="10">
        <f>IF(DH16="",WORKDAY(DG16,DK15*DI15),WORKDAY(DH16,DK15*DI15))</f>
        <v>46261</v>
      </c>
      <c r="DL16" s="56"/>
      <c r="DM16" s="10">
        <f>WORKDAY(DJ16,DM15)</f>
        <v>46268</v>
      </c>
      <c r="DN16" s="10">
        <f>IF(DL16="",WORKDAY(DK16,DN15),WORKDAY(DL16,DN15))</f>
        <v>46268</v>
      </c>
      <c r="DO16" s="56"/>
      <c r="DP16" s="10">
        <f t="shared" ref="DP16" si="15">WORKDAY(DM16,DP15)</f>
        <v>46273</v>
      </c>
      <c r="DQ16" s="10">
        <f t="shared" ref="DQ16" si="16">IF(DO16="",WORKDAY(DN16,DQ15),WORKDAY(DO16,DQ15))</f>
        <v>46273</v>
      </c>
      <c r="DR16" s="56"/>
      <c r="DS16" s="46"/>
      <c r="DT16" s="10">
        <f>WORKDAY(DP16,DT15*$DS15)</f>
        <v>46357</v>
      </c>
      <c r="DU16" s="10">
        <f>IF(DR16="",WORKDAY(DQ16,DU15*$DS15),WORKDAY(DR16,DU15*$DS15))</f>
        <v>46357</v>
      </c>
      <c r="DV16" s="56"/>
      <c r="DW16" s="46"/>
      <c r="DX16" s="10">
        <f>WORKDAY(DT16,DX15*$DW15)</f>
        <v>46399</v>
      </c>
      <c r="DY16" s="10">
        <f>IF(DV16="",WORKDAY(DU16,DY15*$DW15),WORKDAY(DV16,DY15*$DW15))</f>
        <v>46399</v>
      </c>
      <c r="DZ16" s="56"/>
      <c r="EA16" s="46"/>
      <c r="EB16" s="10">
        <f>WORKDAY(DX16,EB15*$EA15)</f>
        <v>46483</v>
      </c>
      <c r="EC16" s="10">
        <f>IF(DZ16="",WORKDAY(DY16,EC15*$EA15),WORKDAY(DZ16,EC15*$EA15))</f>
        <v>46483</v>
      </c>
      <c r="ED16" s="56"/>
      <c r="EE16" s="10">
        <f>WORKDAY(EB16,EE15)</f>
        <v>46525</v>
      </c>
      <c r="EF16" s="10">
        <f>IF(ED16="",WORKDAY(EC16,EF15),WORKDAY(ED16,EF15))</f>
        <v>46525</v>
      </c>
      <c r="EG16" s="56"/>
      <c r="EH16" s="10">
        <f>IF(CR16="",WORKDAY(BF16,EH15),WORKDAY(BH16,EH15))</f>
        <v>46090</v>
      </c>
      <c r="EI16" s="10">
        <f>IF(BH16="",WORKDAY(BG16,EI15),WORKDAY(BH16,EI15))</f>
        <v>46090</v>
      </c>
      <c r="EJ16" s="56"/>
      <c r="EK16" s="27"/>
      <c r="EL16" s="27"/>
      <c r="EM16" s="27"/>
      <c r="EN16" s="10">
        <f>WORKDAY(EE16,EN15)</f>
        <v>46609</v>
      </c>
      <c r="EO16" s="10">
        <f>IF(EG16="",WORKDAY(EF16,EO15),WORKDAY(EG16,EO15))</f>
        <v>46609</v>
      </c>
      <c r="EP16" s="56"/>
      <c r="EQ16" s="10">
        <f>WORKDAY(EE16,EQ15)</f>
        <v>46609</v>
      </c>
      <c r="ER16" s="10">
        <f>IF(EG16="",WORKDAY(EF16,ER15),WORKDAY(EG16,ER15))</f>
        <v>46609</v>
      </c>
      <c r="ES16" s="56"/>
      <c r="ET16" s="10">
        <f>WORKDAY(EE16,ET15)</f>
        <v>46609</v>
      </c>
      <c r="EU16" s="10">
        <f>IF(EG16="",WORKDAY(EF16,EU15),WORKDAY(EG16,EU15))</f>
        <v>46609</v>
      </c>
      <c r="EV16" s="56"/>
      <c r="EW16" s="11">
        <f>WORKDAY(IF(EN16&gt;EQ16,(IF(EN16&gt;ET16,EN16,ET16)),IF(EQ16&gt;ET16,EQ16,ET16)),EW15)</f>
        <v>46616</v>
      </c>
      <c r="EX16" s="11">
        <f>IF(EP16="",WORKDAY(IF(EO16&gt;ER16,(IF(EO16&gt;EU16,EO16,EU16)),IF(ER16&gt;EU16,ER16,EU16)),EX15),WORKDAY(IF(EP16&gt;ES16,(IF(EP16&gt;EV16,EP16,EV16)),IF(ES16&gt;EV16,ES16,EV16)),EX15))</f>
        <v>46616</v>
      </c>
      <c r="EY16" s="56"/>
      <c r="EZ16" s="12">
        <f>WORKDAY(EW16,EZ15)</f>
        <v>46623</v>
      </c>
      <c r="FA16" s="12">
        <f>IF(EY16="",WORKDAY(EX16,FA15),WORKDAY(EY16,FA15))</f>
        <v>46623</v>
      </c>
      <c r="FB16" s="56"/>
      <c r="FC16" s="28"/>
      <c r="FD16" s="28"/>
      <c r="FE16" s="28"/>
      <c r="FF16" s="60"/>
      <c r="FG16" s="60"/>
      <c r="FH16" s="60"/>
      <c r="FI16" s="12">
        <f>WORKDAY(EZ16,FI15)</f>
        <v>46630</v>
      </c>
      <c r="FJ16" s="12">
        <f>IF(FB16="",WORKDAY(FA16,FJ15),WORKDAY(FB16,FJ15))</f>
        <v>46630</v>
      </c>
      <c r="FK16" s="56"/>
      <c r="FL16" s="10">
        <f>WORKDAY(FI16,FL15)</f>
        <v>46630</v>
      </c>
      <c r="FM16" s="10">
        <f>IF(FK16="",WORKDAY(FJ16,FM15),WORKDAY(FK16,FM15))</f>
        <v>46630</v>
      </c>
      <c r="FN16" s="56"/>
      <c r="FO16" s="10">
        <f>WORKDAY(FL16,FO15)</f>
        <v>46686</v>
      </c>
      <c r="FP16" s="10">
        <f>WORKDAY(FM16,FP15)</f>
        <v>46686</v>
      </c>
      <c r="FQ16" s="56"/>
      <c r="FR16" s="77" t="str">
        <f>IF(NETWORKDAYS(FJ16,FO16)&gt;=30,"On-Track",IF(AND(NETWORKDAYS(FJ16,FO16)&lt;30,FJ16&lt;=FO16),"At Risk","Missed TCD"))</f>
        <v>On-Track</v>
      </c>
      <c r="FS16" s="110"/>
      <c r="FT16" s="57">
        <f t="shared" ref="FT16" si="17">NETWORKDAYS(CP16,FI16)</f>
        <v>484</v>
      </c>
      <c r="FU16" s="57">
        <f t="shared" ref="FU16" si="18">NETWORKDAYS(CQ16,FJ16)</f>
        <v>484</v>
      </c>
      <c r="FV16" s="57">
        <f t="shared" ref="FV16" si="19">IF(BH16="",NETWORKDAYS(BG16,FJ16),IF(FK16="",NETWORKDAYS(BH16,FJ16),NETWORKDAYS(BH16,FK16)))</f>
        <v>507</v>
      </c>
      <c r="FW16" s="58" t="s">
        <v>467</v>
      </c>
    </row>
    <row r="17" spans="1:179" outlineLevel="1" x14ac:dyDescent="0.35">
      <c r="A17" s="23"/>
      <c r="B17" s="23"/>
      <c r="C17" s="24"/>
      <c r="D17" s="95"/>
      <c r="E17" s="24"/>
      <c r="F17" s="25" t="s">
        <v>463</v>
      </c>
      <c r="G17" s="26"/>
      <c r="H17" s="26"/>
      <c r="I17" s="27"/>
      <c r="J17" s="27"/>
      <c r="K17" s="27"/>
      <c r="L17" s="27"/>
      <c r="M17" s="4">
        <v>10</v>
      </c>
      <c r="N17" s="4">
        <v>10</v>
      </c>
      <c r="O17" s="27"/>
      <c r="P17" s="4">
        <v>21</v>
      </c>
      <c r="Q17" s="4">
        <v>21</v>
      </c>
      <c r="R17" s="27"/>
      <c r="S17" s="27"/>
      <c r="T17" s="27"/>
      <c r="U17" s="27"/>
      <c r="V17" s="4">
        <v>30</v>
      </c>
      <c r="W17" s="4">
        <v>30</v>
      </c>
      <c r="X17" s="27"/>
      <c r="Y17" s="4">
        <v>50</v>
      </c>
      <c r="Z17" s="4">
        <v>50</v>
      </c>
      <c r="AA17" s="27"/>
      <c r="AB17" s="4">
        <v>0</v>
      </c>
      <c r="AC17" s="4">
        <v>0</v>
      </c>
      <c r="AD17" s="27"/>
      <c r="AE17" s="4">
        <v>75</v>
      </c>
      <c r="AF17" s="4">
        <v>75</v>
      </c>
      <c r="AG17" s="27"/>
      <c r="AH17" s="4">
        <v>5</v>
      </c>
      <c r="AI17" s="4">
        <v>5</v>
      </c>
      <c r="AJ17" s="27"/>
      <c r="AK17" s="4">
        <v>20</v>
      </c>
      <c r="AL17" s="4">
        <v>20</v>
      </c>
      <c r="AM17" s="27"/>
      <c r="AN17" s="4">
        <v>0</v>
      </c>
      <c r="AO17" s="4">
        <v>0</v>
      </c>
      <c r="AP17" s="27"/>
      <c r="AQ17" s="4">
        <v>20</v>
      </c>
      <c r="AR17" s="4">
        <v>20</v>
      </c>
      <c r="AS17" s="27"/>
      <c r="AT17" s="4">
        <v>5</v>
      </c>
      <c r="AU17" s="4">
        <v>5</v>
      </c>
      <c r="AV17" s="27"/>
      <c r="AW17" s="4">
        <v>10</v>
      </c>
      <c r="AX17" s="4">
        <v>10</v>
      </c>
      <c r="AY17" s="27"/>
      <c r="AZ17" s="4">
        <v>30</v>
      </c>
      <c r="BA17" s="4">
        <v>30</v>
      </c>
      <c r="BB17" s="27"/>
      <c r="BC17" s="4">
        <v>5</v>
      </c>
      <c r="BD17" s="4">
        <v>5</v>
      </c>
      <c r="BE17" s="27"/>
      <c r="BF17" s="4">
        <v>5</v>
      </c>
      <c r="BG17" s="4">
        <v>5</v>
      </c>
      <c r="BH17" s="27"/>
      <c r="BI17" s="4">
        <v>5</v>
      </c>
      <c r="BJ17" s="4">
        <v>5</v>
      </c>
      <c r="BK17" s="27"/>
      <c r="BL17" s="27"/>
      <c r="BM17" s="27"/>
      <c r="BN17" s="27"/>
      <c r="BO17" s="61"/>
      <c r="BP17" s="61"/>
      <c r="BQ17" s="28"/>
      <c r="BR17" s="28"/>
      <c r="BS17" s="28"/>
      <c r="BT17" s="28"/>
      <c r="BU17" s="28"/>
      <c r="BV17" s="28"/>
      <c r="BW17" s="28"/>
      <c r="BX17" s="28"/>
      <c r="BY17" s="28"/>
      <c r="BZ17" s="28"/>
      <c r="CA17" s="28"/>
      <c r="CB17" s="28"/>
      <c r="CC17" s="28"/>
      <c r="CD17" s="28"/>
      <c r="CE17" s="28"/>
      <c r="CF17" s="28"/>
      <c r="CG17" s="28"/>
      <c r="CH17" s="28"/>
      <c r="CI17" s="28"/>
      <c r="CJ17" s="4">
        <v>10</v>
      </c>
      <c r="CK17" s="4">
        <v>10</v>
      </c>
      <c r="CL17" s="27"/>
      <c r="CM17" s="4">
        <v>3</v>
      </c>
      <c r="CN17" s="4">
        <v>3</v>
      </c>
      <c r="CO17" s="27"/>
      <c r="CP17" s="4">
        <v>5</v>
      </c>
      <c r="CQ17" s="4">
        <v>5</v>
      </c>
      <c r="CR17" s="27"/>
      <c r="CS17" s="27"/>
      <c r="CT17" s="5">
        <v>120</v>
      </c>
      <c r="CU17" s="5">
        <v>120</v>
      </c>
      <c r="CV17" s="27"/>
      <c r="CW17" s="5">
        <v>10</v>
      </c>
      <c r="CX17" s="5">
        <v>10</v>
      </c>
      <c r="CY17" s="27"/>
      <c r="CZ17" s="5">
        <v>60</v>
      </c>
      <c r="DA17" s="5">
        <v>60</v>
      </c>
      <c r="DB17" s="27"/>
      <c r="DC17" s="5">
        <v>60</v>
      </c>
      <c r="DD17" s="5">
        <v>60</v>
      </c>
      <c r="DE17" s="27"/>
      <c r="DF17" s="4">
        <v>20</v>
      </c>
      <c r="DG17" s="4">
        <v>20</v>
      </c>
      <c r="DH17" s="27"/>
      <c r="DI17" s="89">
        <v>1</v>
      </c>
      <c r="DJ17" s="4">
        <v>20</v>
      </c>
      <c r="DK17" s="4">
        <v>20</v>
      </c>
      <c r="DL17" s="27"/>
      <c r="DM17" s="4">
        <v>5</v>
      </c>
      <c r="DN17" s="4">
        <v>5</v>
      </c>
      <c r="DO17" s="27"/>
      <c r="DP17" s="4">
        <v>3</v>
      </c>
      <c r="DQ17" s="4">
        <v>3</v>
      </c>
      <c r="DR17" s="27"/>
      <c r="DS17" s="89">
        <v>1</v>
      </c>
      <c r="DT17" s="4">
        <v>60</v>
      </c>
      <c r="DU17" s="4">
        <v>60</v>
      </c>
      <c r="DV17" s="27"/>
      <c r="DW17" s="89">
        <v>1</v>
      </c>
      <c r="DX17" s="4">
        <v>30</v>
      </c>
      <c r="DY17" s="4">
        <v>30</v>
      </c>
      <c r="DZ17" s="27"/>
      <c r="EA17" s="89">
        <v>1</v>
      </c>
      <c r="EB17" s="4">
        <v>60</v>
      </c>
      <c r="EC17" s="4">
        <v>60</v>
      </c>
      <c r="ED17" s="27"/>
      <c r="EE17" s="4">
        <v>30</v>
      </c>
      <c r="EF17" s="4">
        <v>30</v>
      </c>
      <c r="EG17" s="27"/>
      <c r="EH17" s="4">
        <v>120</v>
      </c>
      <c r="EI17" s="4">
        <v>120</v>
      </c>
      <c r="EJ17" s="27"/>
      <c r="EK17" s="27"/>
      <c r="EL17" s="27"/>
      <c r="EM17" s="27"/>
      <c r="EN17" s="4">
        <v>60</v>
      </c>
      <c r="EO17" s="4">
        <v>60</v>
      </c>
      <c r="EP17" s="27"/>
      <c r="EQ17" s="4">
        <v>60</v>
      </c>
      <c r="ER17" s="4">
        <v>60</v>
      </c>
      <c r="ES17" s="27"/>
      <c r="ET17" s="4">
        <v>60</v>
      </c>
      <c r="EU17" s="4">
        <v>60</v>
      </c>
      <c r="EV17" s="27"/>
      <c r="EW17" s="4">
        <v>5</v>
      </c>
      <c r="EX17" s="4">
        <v>5</v>
      </c>
      <c r="EY17" s="27"/>
      <c r="EZ17" s="4">
        <v>5</v>
      </c>
      <c r="FA17" s="4">
        <v>5</v>
      </c>
      <c r="FB17" s="27"/>
      <c r="FC17" s="28"/>
      <c r="FD17" s="28"/>
      <c r="FE17" s="28"/>
      <c r="FF17" s="28"/>
      <c r="FG17" s="28"/>
      <c r="FH17" s="28"/>
      <c r="FI17" s="4">
        <v>5</v>
      </c>
      <c r="FJ17" s="4">
        <v>5</v>
      </c>
      <c r="FK17" s="27"/>
      <c r="FL17" s="4">
        <v>0</v>
      </c>
      <c r="FM17" s="4">
        <v>0</v>
      </c>
      <c r="FN17" s="27"/>
      <c r="FO17" s="4">
        <v>40</v>
      </c>
      <c r="FP17" s="4">
        <v>40</v>
      </c>
      <c r="FQ17" s="27"/>
      <c r="FR17" s="27"/>
      <c r="FS17" s="109"/>
      <c r="FT17" s="54">
        <f t="shared" ref="FT17" si="20">NETWORKDAYS($I18,FO18)</f>
        <v>692</v>
      </c>
      <c r="FU17" s="54">
        <f t="shared" ref="FU17" si="21">NETWORKDAYS($I18,FP18)</f>
        <v>692</v>
      </c>
      <c r="FV17" s="54">
        <f t="shared" ref="FV17" si="22">IF(FQ18="",NETWORKDAYS($I18,FP18),NETWORKDAYS($I18,FQ18))</f>
        <v>692</v>
      </c>
      <c r="FW17" s="55" t="s">
        <v>464</v>
      </c>
    </row>
    <row r="18" spans="1:179" ht="15" thickBot="1" x14ac:dyDescent="0.4">
      <c r="A18" s="23" t="s">
        <v>465</v>
      </c>
      <c r="B18" s="23">
        <v>100004</v>
      </c>
      <c r="C18" s="23">
        <v>555</v>
      </c>
      <c r="D18" s="65"/>
      <c r="E18" s="23" t="str">
        <f>IF(D18="","Unknown",IF(D18&lt;=FM18+90,"Red",IF(AND(D18&gt;FM18+90,D18&lt;=FM18+180),"Yellow",IF(AND(D18&gt;FM18+180,D18&lt;=FM18+690),"Green","Covered"))))</f>
        <v>Unknown</v>
      </c>
      <c r="F18" s="25" t="s">
        <v>471</v>
      </c>
      <c r="G18" s="26"/>
      <c r="H18" s="26" t="str">
        <f>IF(CR18="","Pre-Execution","Execution")</f>
        <v>Pre-Execution</v>
      </c>
      <c r="I18" s="13">
        <v>45717</v>
      </c>
      <c r="J18" s="28"/>
      <c r="K18" s="28"/>
      <c r="L18" s="28"/>
      <c r="M18" s="42">
        <f>WORKDAY(I18,M17)</f>
        <v>45730</v>
      </c>
      <c r="N18" s="42">
        <f>WORKDAY(I18,N17)</f>
        <v>45730</v>
      </c>
      <c r="O18" s="59"/>
      <c r="P18" s="42">
        <f>WORKDAY(M18,P17)</f>
        <v>45761</v>
      </c>
      <c r="Q18" s="42">
        <f>IF(O18="",WORKDAY(N18,Q17),WORKDAY(O18,Q17))</f>
        <v>45761</v>
      </c>
      <c r="R18" s="59"/>
      <c r="S18" s="28"/>
      <c r="T18" s="28"/>
      <c r="U18" s="28"/>
      <c r="V18" s="10">
        <f>WORKDAY(P18, V17)</f>
        <v>45803</v>
      </c>
      <c r="W18" s="10">
        <f>IF(R18="",WORKDAY(Q18,W17),WORKDAY(R18,W17))</f>
        <v>45803</v>
      </c>
      <c r="X18" s="56"/>
      <c r="Y18" s="10">
        <f>WORKDAY(P18,Y17)</f>
        <v>45831</v>
      </c>
      <c r="Z18" s="10">
        <f>IF(R18="",WORKDAY(Q18,Z17),WORKDAY(R18,Z17))</f>
        <v>45831</v>
      </c>
      <c r="AA18" s="56"/>
      <c r="AB18" s="10">
        <f>WORKDAY(I18,AB17)</f>
        <v>45717</v>
      </c>
      <c r="AC18" s="10">
        <f>WORKDAY(I18,AC17)</f>
        <v>45717</v>
      </c>
      <c r="AD18" s="56"/>
      <c r="AE18" s="10">
        <f>WORKDAY(AB18,AE17)</f>
        <v>45821</v>
      </c>
      <c r="AF18" s="10">
        <f>IF(AD18="",WORKDAY(AC18,AF17),WORKDAY(AD18,AF17))</f>
        <v>45821</v>
      </c>
      <c r="AG18" s="56"/>
      <c r="AH18" s="42">
        <f>WORKDAY(IF(Y18&gt;AE18,Y18,AE18),AH17)</f>
        <v>45838</v>
      </c>
      <c r="AI18" s="42">
        <f>WORKDAY(IF(AA18="",IF(Z18&gt;AF18,Z18,AF18),IF(AA18&gt;AG18,AA18,AG18)),AI17)</f>
        <v>45838</v>
      </c>
      <c r="AJ18" s="59"/>
      <c r="AK18" s="10">
        <f>WORKDAY(AH18,AK17)</f>
        <v>45866</v>
      </c>
      <c r="AL18" s="10">
        <f>IF(AJ18="",WORKDAY(AI18,AL17),WORKDAY(AJ18,AL17))</f>
        <v>45866</v>
      </c>
      <c r="AM18" s="56"/>
      <c r="AN18" s="10">
        <f>WORKDAY(AK18,AN17)</f>
        <v>45866</v>
      </c>
      <c r="AO18" s="10">
        <f>IF(AM18="",WORKDAY(AL18,AO17),WORKDAY(AM18,AO17))</f>
        <v>45866</v>
      </c>
      <c r="AP18" s="56"/>
      <c r="AQ18" s="42">
        <f>WORKDAY(AN18,AQ17)</f>
        <v>45894</v>
      </c>
      <c r="AR18" s="42">
        <f>IF(AP18="",WORKDAY(AO18,AR17),WORKDAY(AP18,AR17))</f>
        <v>45894</v>
      </c>
      <c r="AS18" s="59"/>
      <c r="AT18" s="10">
        <f>WORKDAY(AN18,AT17)</f>
        <v>45873</v>
      </c>
      <c r="AU18" s="10">
        <f>IF(O18="",WORKDAY(AO18,AU17),WORKDAY(AP18,AU17))</f>
        <v>45873</v>
      </c>
      <c r="AV18" s="56"/>
      <c r="AW18" s="10">
        <f>IF(AQ18&gt;AT18,WORKDAY(AQ18,AW17),WORKDAY(AT18,AW17))</f>
        <v>45908</v>
      </c>
      <c r="AX18" s="10">
        <f>IF(AS18="",IF(AR18&gt;AU18,WORKDAY(AR18,AX17),WORKDAY(AU18,AX17)),IF(AS18&gt;AV18,WORKDAY(AS18,AX17),WORKDAY(AV18,AX17)))</f>
        <v>45908</v>
      </c>
      <c r="AY18" s="56"/>
      <c r="AZ18" s="10">
        <f>WORKDAY(AN18,AZ17)</f>
        <v>45908</v>
      </c>
      <c r="BA18" s="10">
        <f>IF(AP18="",WORKDAY(AO18,BA17),WORKDAY(AP18,BA17))</f>
        <v>45908</v>
      </c>
      <c r="BB18" s="56"/>
      <c r="BC18" s="10">
        <f>IF(AW18&gt;AZ18,WORKDAY(AW18,BC17),WORKDAY(AZ18,BC17))</f>
        <v>45915</v>
      </c>
      <c r="BD18" s="10">
        <f>IF(AY18="",IF(AX18&gt;BA18,WORKDAY(AX18,BD17),WORKDAY(BA18,BD17)),IF(AY18&gt;BB18,WORKDAY(AY18,BD17),WORKDAY(BB18,BD17)))</f>
        <v>45915</v>
      </c>
      <c r="BE18" s="56"/>
      <c r="BF18" s="42">
        <f>WORKDAY(BC18,BF17)</f>
        <v>45922</v>
      </c>
      <c r="BG18" s="42">
        <f>IF(BE18="",WORKDAY(BD18,BG17),WORKDAY(BE18,BG17))</f>
        <v>45922</v>
      </c>
      <c r="BH18" s="56"/>
      <c r="BI18" s="10">
        <f>WORKDAY(BF18,BI17)</f>
        <v>45929</v>
      </c>
      <c r="BJ18" s="10">
        <f>IF(BH18="",WORKDAY(BG18,BJ17),WORKDAY(BH18,BJ17))</f>
        <v>45929</v>
      </c>
      <c r="BK18" s="56"/>
      <c r="BL18" s="28"/>
      <c r="BM18" s="28"/>
      <c r="BN18" s="28"/>
      <c r="BO18" s="28"/>
      <c r="BP18" s="28"/>
      <c r="BQ18" s="28"/>
      <c r="BR18" s="28"/>
      <c r="BS18" s="28"/>
      <c r="BT18" s="28"/>
      <c r="BU18" s="28"/>
      <c r="BV18" s="28"/>
      <c r="BW18" s="28"/>
      <c r="BX18" s="28"/>
      <c r="BY18" s="28"/>
      <c r="BZ18" s="28"/>
      <c r="CA18" s="28"/>
      <c r="CB18" s="28"/>
      <c r="CC18" s="28"/>
      <c r="CD18" s="28"/>
      <c r="CE18" s="28"/>
      <c r="CF18" s="28"/>
      <c r="CG18" s="28"/>
      <c r="CH18" s="28"/>
      <c r="CI18" s="28"/>
      <c r="CJ18" s="10">
        <f>WORKDAY(BI18,CJ17)</f>
        <v>45943</v>
      </c>
      <c r="CK18" s="10">
        <f>IF(BK18="",WORKDAY(BJ18,CK17),WORKDAY(BK18,CK17))</f>
        <v>45943</v>
      </c>
      <c r="CL18" s="56"/>
      <c r="CM18" s="42">
        <f>WORKDAY(CJ18,CM17)</f>
        <v>45946</v>
      </c>
      <c r="CN18" s="42">
        <f>IF(CL18="",WORKDAY(CK18,CN17),WORKDAY(CL18,CN17))</f>
        <v>45946</v>
      </c>
      <c r="CO18" s="56"/>
      <c r="CP18" s="42">
        <f>WORKDAY(CM18,CP17)</f>
        <v>45953</v>
      </c>
      <c r="CQ18" s="42">
        <f>IF(CO18="",WORKDAY(CN18,CQ17),WORKDAY(CO18,CQ17))</f>
        <v>45953</v>
      </c>
      <c r="CR18" s="59"/>
      <c r="CS18" s="77" t="str">
        <f>IF(CR18="","No Action: Still in Pre-Execution","Execution schedule has been re-baselined w/ FAIR PO Ack ACD. Validate your durations before publishing")</f>
        <v>No Action: Still in Pre-Execution</v>
      </c>
      <c r="CT18" s="42">
        <f>IF(CR18="",WORKDAY(CP18,CT17),WORKDAY(CR18,CT17))</f>
        <v>46121</v>
      </c>
      <c r="CU18" s="42">
        <f>IF(CR18="",WORKDAY(CQ18,CU17),WORKDAY(CR18,CU17))</f>
        <v>46121</v>
      </c>
      <c r="CV18" s="56"/>
      <c r="CW18" s="10">
        <f>WORKDAY(AZ18,CW17)</f>
        <v>45922</v>
      </c>
      <c r="CX18" s="10">
        <f>IF(BB18="",WORKDAY(BA18,CX17),WORKDAY(BB18,CX17))</f>
        <v>45922</v>
      </c>
      <c r="CY18" s="56"/>
      <c r="CZ18" s="10">
        <f>WORKDAY(CW18,CZ17)</f>
        <v>46006</v>
      </c>
      <c r="DA18" s="10">
        <f>IF(CY18="",WORKDAY(CX18,DA17),WORKDAY(CY18,DA17))</f>
        <v>46006</v>
      </c>
      <c r="DB18" s="56"/>
      <c r="DC18" s="10">
        <f>IF($CU18&gt;$DA18,WORKDAY($CU18,DC17),WORKDAY($DA18,DC17))</f>
        <v>46205</v>
      </c>
      <c r="DD18" s="10">
        <f>IF(CV18="",IF($CU18&gt;$DA18,WORKDAY($CU18,DD17),WORKDAY($DA18,DD17)),IF($CV18&gt;$DB18,WORKDAY($CV18,DD17),WORKDAY($DB18,DD17)))</f>
        <v>46205</v>
      </c>
      <c r="DE18" s="56"/>
      <c r="DF18" s="10">
        <f>WORKDAY(DC18,DF17)</f>
        <v>46233</v>
      </c>
      <c r="DG18" s="10">
        <f>IF(DE18="",WORKDAY(DD18,DG17),WORKDAY(DE18,DG17))</f>
        <v>46233</v>
      </c>
      <c r="DH18" s="56"/>
      <c r="DI18" s="46"/>
      <c r="DJ18" s="42">
        <f>WORKDAY(DF18,DJ17*DI17)</f>
        <v>46261</v>
      </c>
      <c r="DK18" s="42">
        <f>IF(DH18="",WORKDAY(DG18,DK17*DI17),WORKDAY(DH18,DK17*DI17))</f>
        <v>46261</v>
      </c>
      <c r="DL18" s="59"/>
      <c r="DM18" s="10">
        <f>WORKDAY(DJ18,DM17)</f>
        <v>46268</v>
      </c>
      <c r="DN18" s="10">
        <f>IF(DL18="",WORKDAY(DK18,DN17),WORKDAY(DL18,DN17))</f>
        <v>46268</v>
      </c>
      <c r="DO18" s="56"/>
      <c r="DP18" s="10">
        <f t="shared" ref="DP18" si="23">WORKDAY(DM18,DP17)</f>
        <v>46273</v>
      </c>
      <c r="DQ18" s="10">
        <f t="shared" ref="DQ18" si="24">IF(DO18="",WORKDAY(DN18,DQ17),WORKDAY(DO18,DQ17))</f>
        <v>46273</v>
      </c>
      <c r="DR18" s="56"/>
      <c r="DS18" s="90"/>
      <c r="DT18" s="42">
        <f>WORKDAY(DP18,DT17*$DS17)</f>
        <v>46357</v>
      </c>
      <c r="DU18" s="42">
        <f>IF(DR18="",WORKDAY(DQ18,DU17*$DS17),WORKDAY(DR18,DU17*$DS17))</f>
        <v>46357</v>
      </c>
      <c r="DV18" s="59"/>
      <c r="DW18" s="90"/>
      <c r="DX18" s="42">
        <f>WORKDAY(DT18,DX17*$DW17)</f>
        <v>46399</v>
      </c>
      <c r="DY18" s="42">
        <f>IF(DV18="",WORKDAY(DU18,DY17*$DW17),WORKDAY(DV18,DY17*$DW17))</f>
        <v>46399</v>
      </c>
      <c r="DZ18" s="59"/>
      <c r="EA18" s="90"/>
      <c r="EB18" s="10">
        <f>WORKDAY(DX18,EB17*$EA17)</f>
        <v>46483</v>
      </c>
      <c r="EC18" s="10">
        <f>IF(DZ18="",WORKDAY(DY18,EC17*$EA17),WORKDAY(DZ18,EC17*$EA17))</f>
        <v>46483</v>
      </c>
      <c r="ED18" s="56"/>
      <c r="EE18" s="10">
        <f>WORKDAY(EB18,EE17)</f>
        <v>46525</v>
      </c>
      <c r="EF18" s="10">
        <f>IF(ED18="",WORKDAY(EC18,EF17),WORKDAY(ED18,EF17))</f>
        <v>46525</v>
      </c>
      <c r="EG18" s="56"/>
      <c r="EH18" s="10">
        <f>IF(CR18="",WORKDAY(BF18,EH17),WORKDAY(BH18,EH17))</f>
        <v>46090</v>
      </c>
      <c r="EI18" s="10">
        <f>IF(BH18="",WORKDAY(BG18,EI17),WORKDAY(BH18,EI17))</f>
        <v>46090</v>
      </c>
      <c r="EJ18" s="56"/>
      <c r="EK18" s="27"/>
      <c r="EL18" s="27"/>
      <c r="EM18" s="27"/>
      <c r="EN18" s="10">
        <f>WORKDAY(EE18,EN17)</f>
        <v>46609</v>
      </c>
      <c r="EO18" s="10">
        <f>IF(EG18="",WORKDAY(EF18,EO17),WORKDAY(EG18,EO17))</f>
        <v>46609</v>
      </c>
      <c r="EP18" s="56"/>
      <c r="EQ18" s="10">
        <f>WORKDAY(EE18,EQ17)</f>
        <v>46609</v>
      </c>
      <c r="ER18" s="10">
        <f>IF(EG18="",WORKDAY(EF18,ER17),WORKDAY(EG18,ER17))</f>
        <v>46609</v>
      </c>
      <c r="ES18" s="56"/>
      <c r="ET18" s="10">
        <f>WORKDAY(EE18,ET17)</f>
        <v>46609</v>
      </c>
      <c r="EU18" s="10">
        <f>IF(EG18="",WORKDAY(EF18,EU17),WORKDAY(EG18,EU17))</f>
        <v>46609</v>
      </c>
      <c r="EV18" s="56"/>
      <c r="EW18" s="11">
        <f>WORKDAY(IF(EN18&gt;EQ18,(IF(EN18&gt;ET18,EN18,ET18)),IF(EQ18&gt;ET18,EQ18,ET18)),EW17)</f>
        <v>46616</v>
      </c>
      <c r="EX18" s="11">
        <f>IF(EP18="",WORKDAY(IF(EO18&gt;ER18,(IF(EO18&gt;EU18,EO18,EU18)),IF(ER18&gt;EU18,ER18,EU18)),EX17),WORKDAY(IF(EP18&gt;ES18,(IF(EP18&gt;EV18,EP18,EV18)),IF(ES18&gt;EV18,ES18,EV18)),EX17))</f>
        <v>46616</v>
      </c>
      <c r="EY18" s="56"/>
      <c r="EZ18" s="12">
        <f>WORKDAY(EW18,EZ17)</f>
        <v>46623</v>
      </c>
      <c r="FA18" s="12">
        <f>IF(EY18="",WORKDAY(EX18,FA17),WORKDAY(EY18,FA17))</f>
        <v>46623</v>
      </c>
      <c r="FB18" s="56"/>
      <c r="FC18" s="28"/>
      <c r="FD18" s="28"/>
      <c r="FE18" s="28"/>
      <c r="FF18" s="60"/>
      <c r="FG18" s="60"/>
      <c r="FH18" s="60"/>
      <c r="FI18" s="12">
        <f>WORKDAY(EZ18,FI17)</f>
        <v>46630</v>
      </c>
      <c r="FJ18" s="12">
        <f>IF(FB18="",WORKDAY(FA18,FJ17),WORKDAY(FB18,FJ17))</f>
        <v>46630</v>
      </c>
      <c r="FK18" s="56"/>
      <c r="FL18" s="10">
        <f>WORKDAY(FI18,FL17)</f>
        <v>46630</v>
      </c>
      <c r="FM18" s="10">
        <f>IF(FK18="",WORKDAY(FJ18,FM17),WORKDAY(FK18,FM17))</f>
        <v>46630</v>
      </c>
      <c r="FN18" s="56"/>
      <c r="FO18" s="10">
        <f>WORKDAY(FL18,FO17)</f>
        <v>46686</v>
      </c>
      <c r="FP18" s="10">
        <f>WORKDAY(FM18,FP17)</f>
        <v>46686</v>
      </c>
      <c r="FQ18" s="56"/>
      <c r="FR18" s="77" t="str">
        <f>IF(NETWORKDAYS(FJ18,FO18)&gt;=30,"On-Track",IF(AND(NETWORKDAYS(FJ18,FO18)&lt;30,FJ18&lt;=FO18),"At Risk","Missed TCD"))</f>
        <v>On-Track</v>
      </c>
      <c r="FS18" s="110"/>
      <c r="FT18" s="57">
        <f t="shared" ref="FT18:FU18" si="25">NETWORKDAYS(CP18,FI18)</f>
        <v>484</v>
      </c>
      <c r="FU18" s="57">
        <f t="shared" si="25"/>
        <v>484</v>
      </c>
      <c r="FV18" s="57">
        <f t="shared" ref="FV18" si="26">IF(BH18="",NETWORKDAYS(BG18,FJ18),IF(FK18="",NETWORKDAYS(BH18,FJ18),NETWORKDAYS(BH18,FK18)))</f>
        <v>507</v>
      </c>
      <c r="FW18" s="58" t="s">
        <v>467</v>
      </c>
    </row>
    <row r="19" spans="1:179" ht="15" thickBot="1" x14ac:dyDescent="0.4">
      <c r="A19" t="s">
        <v>472</v>
      </c>
      <c r="D19" s="9"/>
      <c r="I19" s="76" t="s">
        <v>473</v>
      </c>
      <c r="J19" s="30"/>
      <c r="M19" s="197" t="s">
        <v>474</v>
      </c>
      <c r="N19" s="198"/>
      <c r="O19" s="198"/>
      <c r="P19" s="197" t="s">
        <v>474</v>
      </c>
      <c r="Q19" s="198"/>
      <c r="R19" s="199"/>
      <c r="Y19" s="6"/>
      <c r="AH19" s="191" t="s">
        <v>475</v>
      </c>
      <c r="AI19" s="192"/>
      <c r="AJ19" s="193"/>
      <c r="AQ19" s="191" t="s">
        <v>475</v>
      </c>
      <c r="AR19" s="192"/>
      <c r="AS19" s="193"/>
      <c r="BA19" s="6"/>
      <c r="BB19" s="6"/>
      <c r="BC19" s="191" t="s">
        <v>475</v>
      </c>
      <c r="BD19" s="192"/>
      <c r="BE19" s="193"/>
      <c r="BF19" s="43"/>
      <c r="BG19" s="44"/>
      <c r="BH19" s="44"/>
      <c r="CM19" s="202" t="s">
        <v>473</v>
      </c>
      <c r="CN19" s="203"/>
      <c r="CO19" s="203"/>
      <c r="CP19" s="202" t="s">
        <v>473</v>
      </c>
      <c r="CQ19" s="203"/>
      <c r="CR19" s="203"/>
      <c r="CS19" s="204"/>
      <c r="CT19" s="191" t="s">
        <v>475</v>
      </c>
      <c r="CU19" s="192"/>
      <c r="CV19" s="193"/>
      <c r="DC19" s="200"/>
      <c r="DD19" s="200"/>
      <c r="DE19" s="200"/>
      <c r="DF19" s="191" t="s">
        <v>475</v>
      </c>
      <c r="DG19" s="192"/>
      <c r="DH19" s="193"/>
      <c r="DI19" s="194" t="s">
        <v>28</v>
      </c>
      <c r="DJ19" s="195"/>
      <c r="DK19" s="195"/>
      <c r="DL19" s="196"/>
      <c r="DS19" s="194" t="s">
        <v>28</v>
      </c>
      <c r="DT19" s="195"/>
      <c r="DU19" s="195"/>
      <c r="DV19" s="196"/>
      <c r="DW19" s="194" t="s">
        <v>28</v>
      </c>
      <c r="DX19" s="195"/>
      <c r="DY19" s="195"/>
      <c r="DZ19" s="196"/>
      <c r="EA19" s="194" t="s">
        <v>28</v>
      </c>
      <c r="EB19" s="195"/>
      <c r="EC19" s="195"/>
      <c r="ED19" s="196"/>
      <c r="EE19" s="185" t="s">
        <v>474</v>
      </c>
      <c r="EF19" s="186"/>
      <c r="EG19" s="186"/>
      <c r="EH19" s="185" t="s">
        <v>474</v>
      </c>
      <c r="EI19" s="186"/>
      <c r="EJ19" s="187"/>
      <c r="EZ19" s="185" t="s">
        <v>474</v>
      </c>
      <c r="FA19" s="186"/>
      <c r="FB19" s="187"/>
      <c r="FI19" s="188" t="s">
        <v>475</v>
      </c>
      <c r="FJ19" s="189"/>
      <c r="FK19" s="190"/>
      <c r="FL19" s="188" t="s">
        <v>475</v>
      </c>
      <c r="FM19" s="189"/>
      <c r="FN19" s="190"/>
      <c r="FO19" s="185" t="s">
        <v>474</v>
      </c>
      <c r="FP19" s="186"/>
      <c r="FQ19" s="187"/>
      <c r="FR19" s="79"/>
      <c r="FS19" s="111"/>
    </row>
    <row r="20" spans="1:179" x14ac:dyDescent="0.35">
      <c r="D20" s="9"/>
      <c r="Y20" s="6"/>
      <c r="BA20" s="6"/>
      <c r="BB20" s="6"/>
    </row>
    <row r="21" spans="1:179" x14ac:dyDescent="0.35">
      <c r="D21" s="9"/>
      <c r="F21" s="97"/>
    </row>
    <row r="22" spans="1:179" x14ac:dyDescent="0.35">
      <c r="D22" s="9"/>
      <c r="F22" s="97"/>
      <c r="Y22" s="6"/>
      <c r="BA22" s="6"/>
      <c r="BB22" s="6"/>
    </row>
    <row r="23" spans="1:179" ht="14.5" customHeight="1" x14ac:dyDescent="0.35">
      <c r="A23" s="201" t="s">
        <v>476</v>
      </c>
      <c r="B23" s="201"/>
      <c r="C23" s="201"/>
      <c r="D23" s="201"/>
      <c r="E23" s="201"/>
      <c r="Y23" s="6"/>
      <c r="BA23" s="6"/>
      <c r="BB23" s="6"/>
    </row>
    <row r="24" spans="1:179" ht="14.5" customHeight="1" x14ac:dyDescent="0.35">
      <c r="A24" s="201"/>
      <c r="B24" s="201"/>
      <c r="C24" s="201"/>
      <c r="D24" s="201"/>
      <c r="E24" s="201"/>
    </row>
    <row r="25" spans="1:179" x14ac:dyDescent="0.35">
      <c r="D25" s="9"/>
    </row>
    <row r="26" spans="1:179" ht="43.5" x14ac:dyDescent="0.35">
      <c r="A26" s="99" t="s">
        <v>466</v>
      </c>
      <c r="B26" s="100" t="s">
        <v>468</v>
      </c>
      <c r="C26" s="100" t="s">
        <v>469</v>
      </c>
      <c r="D26" s="100" t="s">
        <v>470</v>
      </c>
      <c r="E26" s="101" t="s">
        <v>471</v>
      </c>
    </row>
    <row r="27" spans="1:179" x14ac:dyDescent="0.35">
      <c r="A27" s="113"/>
      <c r="B27" s="102"/>
      <c r="C27" s="102"/>
      <c r="D27" s="103"/>
      <c r="E27" s="102"/>
    </row>
    <row r="28" spans="1:179" x14ac:dyDescent="0.35">
      <c r="A28" s="113"/>
      <c r="B28" s="102"/>
      <c r="C28" s="102"/>
      <c r="D28" s="103"/>
      <c r="E28" s="102"/>
    </row>
    <row r="29" spans="1:179" x14ac:dyDescent="0.35">
      <c r="A29" s="113"/>
      <c r="B29" s="102"/>
      <c r="C29" s="102"/>
      <c r="D29" s="103"/>
      <c r="E29" s="102"/>
    </row>
    <row r="30" spans="1:179" x14ac:dyDescent="0.35">
      <c r="A30" s="102"/>
      <c r="B30" s="102"/>
      <c r="C30" s="102"/>
      <c r="D30" s="103"/>
      <c r="E30" s="102"/>
    </row>
    <row r="31" spans="1:179" x14ac:dyDescent="0.35">
      <c r="A31" s="102"/>
      <c r="B31" s="102"/>
      <c r="C31" s="102"/>
      <c r="D31" s="103"/>
      <c r="E31" s="102"/>
    </row>
    <row r="32" spans="1:179" x14ac:dyDescent="0.35">
      <c r="A32" s="102"/>
      <c r="B32" s="102"/>
      <c r="C32" s="102"/>
      <c r="D32" s="103"/>
      <c r="E32" s="102"/>
    </row>
    <row r="33" spans="1:5" x14ac:dyDescent="0.35">
      <c r="A33" s="102"/>
      <c r="B33" s="102"/>
      <c r="C33" s="102"/>
      <c r="D33" s="103"/>
      <c r="E33" s="102"/>
    </row>
    <row r="34" spans="1:5" x14ac:dyDescent="0.35">
      <c r="A34" s="102"/>
      <c r="B34" s="102"/>
      <c r="C34" s="102"/>
      <c r="D34" s="103"/>
      <c r="E34" s="102"/>
    </row>
    <row r="35" spans="1:5" x14ac:dyDescent="0.35">
      <c r="A35" s="102"/>
      <c r="B35" s="102"/>
      <c r="C35" s="102"/>
      <c r="D35" s="103"/>
      <c r="E35" s="102"/>
    </row>
    <row r="36" spans="1:5" x14ac:dyDescent="0.35">
      <c r="A36" s="102"/>
      <c r="B36" s="102"/>
      <c r="C36" s="102"/>
      <c r="D36" s="103"/>
      <c r="E36" s="102"/>
    </row>
    <row r="37" spans="1:5" x14ac:dyDescent="0.35">
      <c r="A37" s="102"/>
      <c r="B37" s="102"/>
      <c r="C37" s="102"/>
      <c r="D37" s="103"/>
      <c r="E37" s="102"/>
    </row>
    <row r="38" spans="1:5" x14ac:dyDescent="0.35">
      <c r="A38" s="102"/>
      <c r="B38" s="102"/>
      <c r="C38" s="102"/>
      <c r="D38" s="103"/>
      <c r="E38" s="102"/>
    </row>
    <row r="39" spans="1:5" x14ac:dyDescent="0.35">
      <c r="A39" s="102"/>
      <c r="B39" s="102"/>
      <c r="C39" s="102"/>
      <c r="D39" s="103"/>
      <c r="E39" s="102"/>
    </row>
    <row r="40" spans="1:5" x14ac:dyDescent="0.35">
      <c r="A40" s="102"/>
      <c r="B40" s="102"/>
      <c r="C40" s="102"/>
      <c r="D40" s="103"/>
      <c r="E40" s="102"/>
    </row>
    <row r="41" spans="1:5" x14ac:dyDescent="0.35">
      <c r="A41" s="102"/>
      <c r="B41" s="102"/>
      <c r="C41" s="102"/>
      <c r="D41" s="103"/>
      <c r="E41" s="102"/>
    </row>
    <row r="42" spans="1:5" x14ac:dyDescent="0.35">
      <c r="A42" s="102"/>
      <c r="B42" s="102"/>
      <c r="C42" s="102"/>
      <c r="D42" s="103"/>
      <c r="E42" s="102"/>
    </row>
    <row r="43" spans="1:5" x14ac:dyDescent="0.35">
      <c r="A43" s="102"/>
      <c r="B43" s="102"/>
      <c r="C43" s="102"/>
      <c r="D43" s="103"/>
      <c r="E43" s="102"/>
    </row>
    <row r="44" spans="1:5" x14ac:dyDescent="0.35">
      <c r="A44" s="102"/>
      <c r="B44" s="102"/>
      <c r="C44" s="102"/>
      <c r="D44" s="103"/>
      <c r="E44" s="102"/>
    </row>
    <row r="45" spans="1:5" x14ac:dyDescent="0.35">
      <c r="A45" s="102"/>
      <c r="B45" s="102"/>
      <c r="C45" s="102"/>
      <c r="D45" s="103"/>
      <c r="E45" s="102"/>
    </row>
    <row r="46" spans="1:5" x14ac:dyDescent="0.35">
      <c r="A46" s="102"/>
      <c r="B46" s="102"/>
      <c r="C46" s="102"/>
      <c r="D46" s="103"/>
      <c r="E46" s="102"/>
    </row>
    <row r="47" spans="1:5" x14ac:dyDescent="0.35">
      <c r="A47" s="102"/>
      <c r="B47" s="102"/>
      <c r="C47" s="102"/>
      <c r="D47" s="103"/>
      <c r="E47" s="102"/>
    </row>
    <row r="48" spans="1:5" x14ac:dyDescent="0.35">
      <c r="A48" s="102"/>
      <c r="B48" s="102"/>
      <c r="C48" s="102"/>
      <c r="D48" s="103"/>
      <c r="E48" s="102"/>
    </row>
    <row r="49" spans="1:5" x14ac:dyDescent="0.35">
      <c r="A49" s="102"/>
      <c r="B49" s="102"/>
      <c r="C49" s="102"/>
      <c r="D49" s="103"/>
      <c r="E49" s="102"/>
    </row>
    <row r="50" spans="1:5" x14ac:dyDescent="0.35">
      <c r="A50" s="102"/>
      <c r="B50" s="102"/>
      <c r="C50" s="102"/>
      <c r="D50" s="103"/>
      <c r="E50" s="102"/>
    </row>
    <row r="51" spans="1:5" x14ac:dyDescent="0.35">
      <c r="A51" s="102"/>
      <c r="B51" s="102"/>
      <c r="C51" s="102"/>
      <c r="D51" s="103"/>
      <c r="E51" s="102"/>
    </row>
    <row r="52" spans="1:5" x14ac:dyDescent="0.35">
      <c r="A52" s="102"/>
      <c r="B52" s="102"/>
      <c r="C52" s="102"/>
      <c r="D52" s="103"/>
      <c r="E52" s="102"/>
    </row>
    <row r="53" spans="1:5" x14ac:dyDescent="0.35">
      <c r="A53" s="102"/>
      <c r="B53" s="102"/>
      <c r="C53" s="102"/>
      <c r="D53" s="103"/>
      <c r="E53" s="102"/>
    </row>
    <row r="54" spans="1:5" x14ac:dyDescent="0.35">
      <c r="A54" s="102"/>
      <c r="B54" s="102"/>
      <c r="C54" s="102"/>
      <c r="D54" s="103"/>
      <c r="E54" s="102"/>
    </row>
    <row r="55" spans="1:5" x14ac:dyDescent="0.35">
      <c r="A55" s="102"/>
      <c r="B55" s="102"/>
      <c r="C55" s="102"/>
      <c r="D55" s="103"/>
      <c r="E55" s="102"/>
    </row>
    <row r="56" spans="1:5" x14ac:dyDescent="0.35">
      <c r="A56" s="102"/>
      <c r="B56" s="102"/>
      <c r="C56" s="102"/>
      <c r="D56" s="103"/>
      <c r="E56" s="102"/>
    </row>
    <row r="57" spans="1:5" x14ac:dyDescent="0.35">
      <c r="A57" s="102"/>
      <c r="B57" s="102"/>
      <c r="C57" s="102"/>
      <c r="D57" s="103"/>
      <c r="E57" s="102"/>
    </row>
    <row r="58" spans="1:5" x14ac:dyDescent="0.35">
      <c r="A58" s="102"/>
      <c r="B58" s="102"/>
      <c r="C58" s="102"/>
      <c r="D58" s="103"/>
      <c r="E58" s="102"/>
    </row>
    <row r="59" spans="1:5" x14ac:dyDescent="0.35">
      <c r="A59" s="102"/>
      <c r="B59" s="102"/>
      <c r="C59" s="102"/>
      <c r="D59" s="103"/>
      <c r="E59" s="102"/>
    </row>
    <row r="60" spans="1:5" x14ac:dyDescent="0.35">
      <c r="A60" s="102"/>
      <c r="B60" s="102"/>
      <c r="C60" s="102"/>
      <c r="D60" s="103"/>
      <c r="E60" s="102"/>
    </row>
    <row r="61" spans="1:5" x14ac:dyDescent="0.35">
      <c r="A61" s="102"/>
      <c r="B61" s="102"/>
      <c r="C61" s="102"/>
      <c r="D61" s="103"/>
      <c r="E61" s="102"/>
    </row>
    <row r="62" spans="1:5" x14ac:dyDescent="0.35">
      <c r="A62" s="102"/>
      <c r="B62" s="102"/>
      <c r="C62" s="102"/>
      <c r="D62" s="103"/>
      <c r="E62" s="102"/>
    </row>
    <row r="63" spans="1:5" x14ac:dyDescent="0.35">
      <c r="A63" s="102"/>
      <c r="B63" s="102"/>
      <c r="C63" s="102"/>
      <c r="D63" s="103"/>
      <c r="E63" s="102"/>
    </row>
    <row r="64" spans="1:5" x14ac:dyDescent="0.35">
      <c r="A64" s="102"/>
      <c r="B64" s="102"/>
      <c r="C64" s="102"/>
      <c r="D64" s="103"/>
      <c r="E64" s="102"/>
    </row>
    <row r="65" spans="1:5" x14ac:dyDescent="0.35">
      <c r="A65" s="102"/>
      <c r="B65" s="102"/>
      <c r="C65" s="102"/>
      <c r="D65" s="103"/>
      <c r="E65" s="102"/>
    </row>
    <row r="66" spans="1:5" x14ac:dyDescent="0.35">
      <c r="A66" s="102"/>
      <c r="B66" s="102"/>
      <c r="C66" s="102"/>
      <c r="D66" s="103"/>
      <c r="E66" s="102"/>
    </row>
    <row r="67" spans="1:5" x14ac:dyDescent="0.35">
      <c r="A67" s="102"/>
      <c r="B67" s="102"/>
      <c r="C67" s="102"/>
      <c r="D67" s="103"/>
      <c r="E67" s="102"/>
    </row>
    <row r="68" spans="1:5" x14ac:dyDescent="0.35">
      <c r="A68" s="102"/>
      <c r="B68" s="102"/>
      <c r="C68" s="102"/>
      <c r="D68" s="103"/>
      <c r="E68" s="102"/>
    </row>
    <row r="69" spans="1:5" x14ac:dyDescent="0.35">
      <c r="A69" s="102"/>
      <c r="B69" s="102"/>
      <c r="C69" s="102"/>
      <c r="D69" s="103"/>
      <c r="E69" s="102"/>
    </row>
    <row r="70" spans="1:5" x14ac:dyDescent="0.35">
      <c r="A70" s="102"/>
      <c r="B70" s="102"/>
      <c r="C70" s="102"/>
      <c r="D70" s="103"/>
      <c r="E70" s="102"/>
    </row>
    <row r="71" spans="1:5" x14ac:dyDescent="0.35">
      <c r="A71" s="102"/>
      <c r="B71" s="102"/>
      <c r="C71" s="102"/>
      <c r="D71" s="103"/>
      <c r="E71" s="102"/>
    </row>
    <row r="72" spans="1:5" x14ac:dyDescent="0.35">
      <c r="A72" s="102"/>
      <c r="B72" s="102"/>
      <c r="C72" s="102"/>
      <c r="D72" s="103"/>
      <c r="E72" s="102"/>
    </row>
    <row r="73" spans="1:5" x14ac:dyDescent="0.35">
      <c r="A73" s="102"/>
      <c r="B73" s="102"/>
      <c r="C73" s="102"/>
      <c r="D73" s="103"/>
      <c r="E73" s="102"/>
    </row>
    <row r="74" spans="1:5" x14ac:dyDescent="0.35">
      <c r="A74" s="102"/>
      <c r="B74" s="102"/>
      <c r="C74" s="102"/>
      <c r="D74" s="103"/>
      <c r="E74" s="102"/>
    </row>
    <row r="75" spans="1:5" x14ac:dyDescent="0.35">
      <c r="A75" s="102"/>
      <c r="B75" s="102"/>
      <c r="C75" s="102"/>
      <c r="D75" s="103"/>
      <c r="E75" s="102"/>
    </row>
    <row r="76" spans="1:5" x14ac:dyDescent="0.35">
      <c r="A76" s="102"/>
      <c r="B76" s="102"/>
      <c r="C76" s="102"/>
      <c r="D76" s="103"/>
      <c r="E76" s="102"/>
    </row>
    <row r="77" spans="1:5" x14ac:dyDescent="0.35">
      <c r="A77" s="102"/>
      <c r="B77" s="102"/>
      <c r="C77" s="102"/>
      <c r="D77" s="103"/>
      <c r="E77" s="102"/>
    </row>
    <row r="78" spans="1:5" x14ac:dyDescent="0.35">
      <c r="A78" s="102"/>
      <c r="B78" s="102"/>
      <c r="C78" s="102"/>
      <c r="D78" s="103"/>
      <c r="E78" s="102"/>
    </row>
    <row r="79" spans="1:5" x14ac:dyDescent="0.35">
      <c r="A79" s="102"/>
      <c r="B79" s="102"/>
      <c r="C79" s="102"/>
      <c r="D79" s="103"/>
      <c r="E79" s="102"/>
    </row>
    <row r="80" spans="1:5" x14ac:dyDescent="0.35">
      <c r="A80" s="102"/>
      <c r="B80" s="102"/>
      <c r="C80" s="102"/>
      <c r="D80" s="103"/>
      <c r="E80" s="102"/>
    </row>
    <row r="81" spans="1:5" x14ac:dyDescent="0.35">
      <c r="A81" s="102"/>
      <c r="B81" s="102"/>
      <c r="C81" s="102"/>
      <c r="D81" s="103"/>
      <c r="E81" s="102"/>
    </row>
    <row r="82" spans="1:5" x14ac:dyDescent="0.35">
      <c r="A82" s="102"/>
      <c r="B82" s="102"/>
      <c r="C82" s="102"/>
      <c r="D82" s="103"/>
      <c r="E82" s="102"/>
    </row>
    <row r="83" spans="1:5" x14ac:dyDescent="0.35">
      <c r="A83" s="102"/>
      <c r="B83" s="102"/>
      <c r="C83" s="102"/>
      <c r="D83" s="103"/>
      <c r="E83" s="102"/>
    </row>
    <row r="84" spans="1:5" x14ac:dyDescent="0.35">
      <c r="A84" s="102"/>
      <c r="B84" s="102"/>
      <c r="C84" s="102"/>
      <c r="D84" s="103"/>
      <c r="E84" s="102"/>
    </row>
    <row r="85" spans="1:5" x14ac:dyDescent="0.35">
      <c r="A85" s="102"/>
      <c r="B85" s="102"/>
      <c r="C85" s="102"/>
      <c r="D85" s="103"/>
      <c r="E85" s="102"/>
    </row>
    <row r="86" spans="1:5" x14ac:dyDescent="0.35">
      <c r="A86" s="102"/>
      <c r="B86" s="102"/>
      <c r="C86" s="102"/>
      <c r="D86" s="103"/>
      <c r="E86" s="102"/>
    </row>
    <row r="87" spans="1:5" x14ac:dyDescent="0.35">
      <c r="A87" s="102"/>
      <c r="B87" s="102"/>
      <c r="C87" s="102"/>
      <c r="D87" s="103"/>
      <c r="E87" s="102"/>
    </row>
    <row r="88" spans="1:5" x14ac:dyDescent="0.35">
      <c r="A88" s="102"/>
      <c r="B88" s="102"/>
      <c r="C88" s="102"/>
      <c r="D88" s="103"/>
      <c r="E88" s="102"/>
    </row>
    <row r="89" spans="1:5" x14ac:dyDescent="0.35">
      <c r="A89" s="102"/>
      <c r="B89" s="102"/>
      <c r="C89" s="102"/>
      <c r="D89" s="103"/>
      <c r="E89" s="102"/>
    </row>
    <row r="90" spans="1:5" x14ac:dyDescent="0.35">
      <c r="A90" s="102"/>
      <c r="B90" s="102"/>
      <c r="C90" s="102"/>
      <c r="D90" s="103"/>
      <c r="E90" s="102"/>
    </row>
    <row r="91" spans="1:5" x14ac:dyDescent="0.35">
      <c r="A91" s="102"/>
      <c r="B91" s="102"/>
      <c r="C91" s="102"/>
      <c r="D91" s="103"/>
      <c r="E91" s="102"/>
    </row>
    <row r="92" spans="1:5" x14ac:dyDescent="0.35">
      <c r="A92" s="102"/>
      <c r="B92" s="102"/>
      <c r="C92" s="102"/>
      <c r="D92" s="103"/>
      <c r="E92" s="102"/>
    </row>
    <row r="93" spans="1:5" x14ac:dyDescent="0.35">
      <c r="A93" s="102"/>
      <c r="B93" s="102"/>
      <c r="C93" s="102"/>
      <c r="D93" s="103"/>
      <c r="E93" s="102"/>
    </row>
    <row r="94" spans="1:5" x14ac:dyDescent="0.35">
      <c r="A94" s="102"/>
      <c r="B94" s="102"/>
      <c r="C94" s="102"/>
      <c r="D94" s="103"/>
      <c r="E94" s="102"/>
    </row>
    <row r="95" spans="1:5" x14ac:dyDescent="0.35">
      <c r="A95" s="102"/>
      <c r="B95" s="102"/>
      <c r="C95" s="102"/>
      <c r="D95" s="103"/>
      <c r="E95" s="102"/>
    </row>
    <row r="96" spans="1:5" x14ac:dyDescent="0.35">
      <c r="A96" s="102"/>
      <c r="B96" s="102"/>
      <c r="C96" s="102"/>
      <c r="D96" s="103"/>
      <c r="E96" s="102"/>
    </row>
    <row r="97" spans="1:5" x14ac:dyDescent="0.35">
      <c r="A97" s="102"/>
      <c r="B97" s="102"/>
      <c r="C97" s="102"/>
      <c r="D97" s="103"/>
      <c r="E97" s="102"/>
    </row>
    <row r="98" spans="1:5" x14ac:dyDescent="0.35">
      <c r="A98" s="102"/>
      <c r="B98" s="102"/>
      <c r="C98" s="102"/>
      <c r="D98" s="103"/>
      <c r="E98" s="102"/>
    </row>
    <row r="99" spans="1:5" x14ac:dyDescent="0.35">
      <c r="A99" s="102"/>
      <c r="B99" s="102"/>
      <c r="C99" s="102"/>
      <c r="D99" s="103"/>
      <c r="E99" s="102"/>
    </row>
    <row r="100" spans="1:5" x14ac:dyDescent="0.35">
      <c r="A100" s="102"/>
      <c r="B100" s="102"/>
      <c r="C100" s="102"/>
      <c r="D100" s="103"/>
      <c r="E100" s="102"/>
    </row>
    <row r="101" spans="1:5" x14ac:dyDescent="0.35">
      <c r="A101" s="102"/>
      <c r="B101" s="102"/>
      <c r="C101" s="102"/>
      <c r="D101" s="103"/>
      <c r="E101" s="102"/>
    </row>
    <row r="102" spans="1:5" x14ac:dyDescent="0.35">
      <c r="A102" s="102"/>
      <c r="B102" s="102"/>
      <c r="C102" s="102"/>
      <c r="D102" s="103"/>
      <c r="E102" s="102"/>
    </row>
    <row r="103" spans="1:5" x14ac:dyDescent="0.35">
      <c r="A103" s="102"/>
      <c r="B103" s="102"/>
      <c r="C103" s="102"/>
      <c r="D103" s="103"/>
      <c r="E103" s="102"/>
    </row>
    <row r="104" spans="1:5" x14ac:dyDescent="0.35">
      <c r="A104" s="102"/>
      <c r="B104" s="102"/>
      <c r="C104" s="102"/>
      <c r="D104" s="103"/>
      <c r="E104" s="102"/>
    </row>
    <row r="105" spans="1:5" x14ac:dyDescent="0.35">
      <c r="A105" s="102"/>
      <c r="B105" s="102"/>
      <c r="C105" s="102"/>
      <c r="D105" s="103"/>
      <c r="E105" s="102"/>
    </row>
    <row r="106" spans="1:5" x14ac:dyDescent="0.35">
      <c r="A106" s="102"/>
      <c r="B106" s="102"/>
      <c r="C106" s="102"/>
      <c r="D106" s="103"/>
      <c r="E106" s="102"/>
    </row>
    <row r="107" spans="1:5" x14ac:dyDescent="0.35">
      <c r="A107" s="102"/>
      <c r="B107" s="102"/>
      <c r="C107" s="102"/>
      <c r="D107" s="103"/>
      <c r="E107" s="102"/>
    </row>
    <row r="108" spans="1:5" x14ac:dyDescent="0.35">
      <c r="A108" s="102"/>
      <c r="B108" s="102"/>
      <c r="C108" s="102"/>
      <c r="D108" s="103"/>
      <c r="E108" s="102"/>
    </row>
    <row r="109" spans="1:5" x14ac:dyDescent="0.35">
      <c r="A109" s="102"/>
      <c r="B109" s="102"/>
      <c r="C109" s="102"/>
      <c r="D109" s="103"/>
      <c r="E109" s="102"/>
    </row>
    <row r="110" spans="1:5" x14ac:dyDescent="0.35">
      <c r="A110" s="102"/>
      <c r="B110" s="102"/>
      <c r="C110" s="102"/>
      <c r="D110" s="103"/>
      <c r="E110" s="102"/>
    </row>
    <row r="111" spans="1:5" x14ac:dyDescent="0.35">
      <c r="A111" s="102"/>
      <c r="B111" s="102"/>
      <c r="C111" s="102"/>
      <c r="D111" s="103"/>
      <c r="E111" s="102"/>
    </row>
    <row r="112" spans="1:5" x14ac:dyDescent="0.35">
      <c r="A112" s="102"/>
      <c r="B112" s="102"/>
      <c r="C112" s="102"/>
      <c r="D112" s="103"/>
      <c r="E112" s="102"/>
    </row>
    <row r="113" spans="1:5" x14ac:dyDescent="0.35">
      <c r="A113" s="102"/>
      <c r="B113" s="102"/>
      <c r="C113" s="102"/>
      <c r="D113" s="103"/>
      <c r="E113" s="102"/>
    </row>
    <row r="114" spans="1:5" x14ac:dyDescent="0.35">
      <c r="A114" s="102"/>
      <c r="B114" s="102"/>
      <c r="C114" s="102"/>
      <c r="D114" s="103"/>
      <c r="E114" s="102"/>
    </row>
    <row r="115" spans="1:5" x14ac:dyDescent="0.35">
      <c r="A115" s="102"/>
      <c r="B115" s="102"/>
      <c r="C115" s="102"/>
      <c r="D115" s="103"/>
      <c r="E115" s="102"/>
    </row>
    <row r="116" spans="1:5" x14ac:dyDescent="0.35">
      <c r="A116" s="102"/>
      <c r="B116" s="102"/>
      <c r="C116" s="102"/>
      <c r="D116" s="103"/>
      <c r="E116" s="102"/>
    </row>
    <row r="117" spans="1:5" x14ac:dyDescent="0.35">
      <c r="A117" s="102"/>
      <c r="B117" s="102"/>
      <c r="C117" s="102"/>
      <c r="D117" s="103"/>
      <c r="E117" s="102"/>
    </row>
    <row r="118" spans="1:5" x14ac:dyDescent="0.35">
      <c r="A118" s="102"/>
      <c r="B118" s="102"/>
      <c r="C118" s="102"/>
      <c r="D118" s="103"/>
      <c r="E118" s="102"/>
    </row>
    <row r="119" spans="1:5" x14ac:dyDescent="0.35">
      <c r="A119" s="102"/>
      <c r="B119" s="102"/>
      <c r="C119" s="102"/>
      <c r="D119" s="103"/>
      <c r="E119" s="102"/>
    </row>
    <row r="120" spans="1:5" x14ac:dyDescent="0.35">
      <c r="A120" s="102"/>
      <c r="B120" s="102"/>
      <c r="C120" s="102"/>
      <c r="D120" s="103"/>
      <c r="E120" s="102"/>
    </row>
    <row r="121" spans="1:5" x14ac:dyDescent="0.35">
      <c r="A121" s="102"/>
      <c r="B121" s="102"/>
      <c r="C121" s="102"/>
      <c r="D121" s="103"/>
      <c r="E121" s="102"/>
    </row>
    <row r="122" spans="1:5" x14ac:dyDescent="0.35">
      <c r="A122" s="102"/>
      <c r="B122" s="102"/>
      <c r="C122" s="102"/>
      <c r="D122" s="103"/>
      <c r="E122" s="102"/>
    </row>
    <row r="123" spans="1:5" x14ac:dyDescent="0.35">
      <c r="A123" s="102"/>
      <c r="B123" s="102"/>
      <c r="C123" s="102"/>
      <c r="D123" s="103"/>
      <c r="E123" s="102"/>
    </row>
    <row r="124" spans="1:5" x14ac:dyDescent="0.35">
      <c r="A124" s="102"/>
      <c r="B124" s="102"/>
      <c r="C124" s="102"/>
      <c r="D124" s="103"/>
      <c r="E124" s="102"/>
    </row>
    <row r="125" spans="1:5" x14ac:dyDescent="0.35">
      <c r="A125" s="102"/>
      <c r="B125" s="102"/>
      <c r="C125" s="102"/>
      <c r="D125" s="103"/>
      <c r="E125" s="102"/>
    </row>
    <row r="126" spans="1:5" x14ac:dyDescent="0.35">
      <c r="A126" s="102"/>
      <c r="B126" s="102"/>
      <c r="C126" s="102"/>
      <c r="D126" s="103"/>
      <c r="E126" s="102"/>
    </row>
  </sheetData>
  <protectedRanges>
    <protectedRange sqref="A27" name="Range1" securityDescriptor="O:WDG:WDD:(A;;CC;;;S-1-5-21-3588447096-1463914-869570945-3636980)"/>
    <protectedRange sqref="A28:A29" name="Range1_1" securityDescriptor="O:WDG:WDD:(A;;CC;;;S-1-5-21-3588447096-1463914-869570945-3636980)"/>
  </protectedRanges>
  <autoFilter ref="A8:FW19" xr:uid="{7988B55A-02E0-4163-AAFE-D6E093B4BA9A}"/>
  <mergeCells count="91">
    <mergeCell ref="A23:E24"/>
    <mergeCell ref="FL7:FN7"/>
    <mergeCell ref="CP19:CS19"/>
    <mergeCell ref="CP7:CS7"/>
    <mergeCell ref="EZ4:FR4"/>
    <mergeCell ref="CM4:EY4"/>
    <mergeCell ref="DF7:DH7"/>
    <mergeCell ref="EE7:EG7"/>
    <mergeCell ref="EH7:EJ7"/>
    <mergeCell ref="EQ7:ES7"/>
    <mergeCell ref="DS7:DV7"/>
    <mergeCell ref="DW7:DZ7"/>
    <mergeCell ref="EN7:EP7"/>
    <mergeCell ref="EK7:EM7"/>
    <mergeCell ref="CM19:CO19"/>
    <mergeCell ref="CT19:CV19"/>
    <mergeCell ref="DC19:DE19"/>
    <mergeCell ref="BF4:CL4"/>
    <mergeCell ref="J4:BE4"/>
    <mergeCell ref="I5:BH6"/>
    <mergeCell ref="AZ7:BB7"/>
    <mergeCell ref="BC7:BE7"/>
    <mergeCell ref="BF7:BH7"/>
    <mergeCell ref="BI7:BK7"/>
    <mergeCell ref="BL7:BN7"/>
    <mergeCell ref="BO7:BQ7"/>
    <mergeCell ref="BU7:BW7"/>
    <mergeCell ref="V7:X7"/>
    <mergeCell ref="Y7:AA7"/>
    <mergeCell ref="AE7:AG7"/>
    <mergeCell ref="AH7:AJ7"/>
    <mergeCell ref="BR7:BT7"/>
    <mergeCell ref="H1:H2"/>
    <mergeCell ref="G1:G2"/>
    <mergeCell ref="I1:CU2"/>
    <mergeCell ref="J3:AA3"/>
    <mergeCell ref="AE3:AG3"/>
    <mergeCell ref="AH3:AP3"/>
    <mergeCell ref="AQ3:BA3"/>
    <mergeCell ref="BC3:BH3"/>
    <mergeCell ref="AK7:AM7"/>
    <mergeCell ref="AN7:AP7"/>
    <mergeCell ref="AQ7:AS7"/>
    <mergeCell ref="AT7:AV7"/>
    <mergeCell ref="AW7:AY7"/>
    <mergeCell ref="AB7:AD7"/>
    <mergeCell ref="A7:G7"/>
    <mergeCell ref="J7:L7"/>
    <mergeCell ref="M7:O7"/>
    <mergeCell ref="P7:R7"/>
    <mergeCell ref="S7:U7"/>
    <mergeCell ref="CA7:CC7"/>
    <mergeCell ref="CD7:CF7"/>
    <mergeCell ref="CG7:CI7"/>
    <mergeCell ref="CJ7:CL7"/>
    <mergeCell ref="FT5:FW7"/>
    <mergeCell ref="BI5:FK6"/>
    <mergeCell ref="EW7:EY7"/>
    <mergeCell ref="EZ7:FB7"/>
    <mergeCell ref="BX7:BZ7"/>
    <mergeCell ref="FL5:FR6"/>
    <mergeCell ref="FC7:FE7"/>
    <mergeCell ref="FF7:FH7"/>
    <mergeCell ref="FI7:FK7"/>
    <mergeCell ref="FO7:FQ7"/>
    <mergeCell ref="ET7:EV7"/>
    <mergeCell ref="DP7:DR7"/>
    <mergeCell ref="M19:O19"/>
    <mergeCell ref="P19:R19"/>
    <mergeCell ref="AH19:AJ19"/>
    <mergeCell ref="AQ19:AS19"/>
    <mergeCell ref="BC19:BE19"/>
    <mergeCell ref="CM7:CO7"/>
    <mergeCell ref="CT7:CV7"/>
    <mergeCell ref="CW7:CY7"/>
    <mergeCell ref="CZ7:DB7"/>
    <mergeCell ref="DC7:DE7"/>
    <mergeCell ref="DI7:DL7"/>
    <mergeCell ref="DS19:DV19"/>
    <mergeCell ref="DW19:DZ19"/>
    <mergeCell ref="DM7:DO7"/>
    <mergeCell ref="EA7:ED7"/>
    <mergeCell ref="FO19:FQ19"/>
    <mergeCell ref="FL19:FN19"/>
    <mergeCell ref="DF19:DH19"/>
    <mergeCell ref="DI19:DL19"/>
    <mergeCell ref="EE19:EG19"/>
    <mergeCell ref="EH19:EJ19"/>
    <mergeCell ref="EZ19:FB19"/>
    <mergeCell ref="FI19:FK19"/>
    <mergeCell ref="EA19:ED19"/>
  </mergeCells>
  <conditionalFormatting sqref="L10 O10 U10 X10 AA10 AG10 AJ10 AM10 AP10 AS10 AV10 AY10 BB10 BE10 BH10 BK10 BN10 BQ10 BT10 BW10 BZ10 CC10 CF10 CI10 CL10 CO10 CV10 CY10 DB10 DE10 DH10 DO10 DZ10:EA10 ED10 EJ10 EM10 EP10 ES10 EV10 EY10 FB10 FE10 FH10 FQ10 FK10 L12 O12 R12 U12 X12 AA12 AG12 AJ12 AM12 AP12 AS12 AV12 AY12 BB12 BE12 BH12 BK12 BN12 BQ12 BT12 BW12 BZ12 CC12 CF12 CI12 CL12 CO12 CV12 CY12 DB12 DE12 DH12 DL12 DO12 DZ12 ED12 EG12 EJ12 EM12 EP12 ES12 EV12 EY12 FB12 FE12 FH12 FQ12 FK12 L14 O14 R14 U14 X14 AA14 AG14 AJ14 AM14 AP14 AS14 AV14 AY14 BB14 BE14 BH14 BK14 BN14 BQ14 BT14 BW14 BZ14 CC14 CF14 CI14 CL14 CO14 CV14 CY14 DB14 DE14 DH14 DL14 DO14 DZ14 ED14 EG14 EJ14 EM14 EP14 ES14 EV14 EY14 FB14 FE14 FH14 FQ14 FK14 L16 O16 R16 U16 X16 AA16 AG16 AJ16 AM16 AP16 AS16 AV16 AY16 BB16 BE16 BH16 BK16 BN16 BQ16 BT16 BW16 BZ16 CC16 CF16 CI16 CL16 CO16 CV16 CY16 DB16 DE16 DH16 DL16 DO16 DZ16 ED16 EG16 EJ16 EM16 EP16 ES16 EV16 EY16 FB16 FE16 FH16 FQ16 FK16 L18 O18 R18 U18 X18 AA18 AG18 AJ18 AM18 AP18 AS18 AV18 AY18 BB18 BE18 BH18 BK18 BN18 BQ18 BT18 BW18 BZ18 CC18 CF18 CI18 CL18 CO18 CV18 CY18 DB18 DE18 DH18 DL18 DO18 DZ18 ED18 EG18 EJ18 EM18 EP18 ES18 EV18 EY18 FB18 FE18 FH18 FQ18 FK18 R10 EG10 DR10:DR18 CR18 CR16 CR14 CR12 DV10:DV18 I10:I18 AD10 AD12 AD14 AD16 AD18 CR10 FN10 FN12 FN14 FN16 FN18 DL10">
    <cfRule type="notContainsBlanks" dxfId="30" priority="34">
      <formula>LEN(TRIM(I10))&gt;0</formula>
    </cfRule>
  </conditionalFormatting>
  <conditionalFormatting sqref="E1:E22 E1048550:E1048576 E25">
    <cfRule type="cellIs" dxfId="29" priority="27" operator="equal">
      <formula>"Red"</formula>
    </cfRule>
    <cfRule type="cellIs" dxfId="28" priority="28" operator="equal">
      <formula>"Unknown"</formula>
    </cfRule>
    <cfRule type="cellIs" dxfId="27" priority="29" operator="equal">
      <formula>"Covered"</formula>
    </cfRule>
    <cfRule type="cellIs" dxfId="26" priority="30" operator="equal">
      <formula>"Green"</formula>
    </cfRule>
    <cfRule type="cellIs" dxfId="25" priority="31" operator="equal">
      <formula>"Yellow"</formula>
    </cfRule>
  </conditionalFormatting>
  <conditionalFormatting sqref="FR10:FS10 FR12:FS12 FR14:FS14 FR16:FS16 FR18:FS18">
    <cfRule type="cellIs" dxfId="24" priority="24" operator="equal">
      <formula>"Missed TCD"</formula>
    </cfRule>
    <cfRule type="cellIs" dxfId="23" priority="25" operator="equal">
      <formula>"On-Track"</formula>
    </cfRule>
    <cfRule type="cellIs" dxfId="22" priority="26" operator="equal">
      <formula>"At Risk"</formula>
    </cfRule>
  </conditionalFormatting>
  <conditionalFormatting sqref="CS10 CS12 CS14 CS16 CS18">
    <cfRule type="cellIs" dxfId="21" priority="22" operator="equal">
      <formula>"Execution schedule has been re-baselined w/ FAIR PO Ack ACD. Validate your durations before publishing"</formula>
    </cfRule>
  </conditionalFormatting>
  <conditionalFormatting sqref="E127:E1048549">
    <cfRule type="cellIs" dxfId="20" priority="17" operator="equal">
      <formula>"Red"</formula>
    </cfRule>
    <cfRule type="cellIs" dxfId="19" priority="18" operator="equal">
      <formula>"Unknown"</formula>
    </cfRule>
    <cfRule type="cellIs" dxfId="18" priority="19" operator="equal">
      <formula>"Covered"</formula>
    </cfRule>
    <cfRule type="cellIs" dxfId="17" priority="20" operator="equal">
      <formula>"Green"</formula>
    </cfRule>
    <cfRule type="cellIs" dxfId="16" priority="21" operator="equal">
      <formula>"Yellow"</formula>
    </cfRule>
  </conditionalFormatting>
  <conditionalFormatting sqref="E34:E126">
    <cfRule type="cellIs" dxfId="15" priority="12" operator="equal">
      <formula>"Red"</formula>
    </cfRule>
    <cfRule type="cellIs" dxfId="14" priority="13" operator="equal">
      <formula>"Unknown"</formula>
    </cfRule>
    <cfRule type="cellIs" dxfId="13" priority="14" operator="equal">
      <formula>"Covered"</formula>
    </cfRule>
    <cfRule type="cellIs" dxfId="12" priority="15" operator="equal">
      <formula>"Green"</formula>
    </cfRule>
    <cfRule type="cellIs" dxfId="11" priority="16" operator="equal">
      <formula>"Yellow"</formula>
    </cfRule>
  </conditionalFormatting>
  <conditionalFormatting sqref="A34:E126">
    <cfRule type="notContainsBlanks" dxfId="10" priority="11">
      <formula>LEN(TRIM(A34))&gt;0</formula>
    </cfRule>
  </conditionalFormatting>
  <conditionalFormatting sqref="E27:E33">
    <cfRule type="cellIs" dxfId="9" priority="6" operator="equal">
      <formula>"Red"</formula>
    </cfRule>
    <cfRule type="cellIs" dxfId="8" priority="7" operator="equal">
      <formula>"Unknown"</formula>
    </cfRule>
    <cfRule type="cellIs" dxfId="7" priority="8" operator="equal">
      <formula>"Covered"</formula>
    </cfRule>
    <cfRule type="cellIs" dxfId="6" priority="9" operator="equal">
      <formula>"Green"</formula>
    </cfRule>
    <cfRule type="cellIs" dxfId="5" priority="10" operator="equal">
      <formula>"Yellow"</formula>
    </cfRule>
  </conditionalFormatting>
  <conditionalFormatting sqref="A30:E33 B27:E29">
    <cfRule type="notContainsBlanks" dxfId="4" priority="5">
      <formula>LEN(TRIM(A27))&gt;0</formula>
    </cfRule>
  </conditionalFormatting>
  <conditionalFormatting sqref="A27:A29">
    <cfRule type="duplicateValues" dxfId="3" priority="1"/>
  </conditionalFormatting>
  <conditionalFormatting sqref="A27:A29">
    <cfRule type="duplicateValues" dxfId="2" priority="2"/>
  </conditionalFormatting>
  <conditionalFormatting sqref="A27:A29">
    <cfRule type="duplicateValues" dxfId="1" priority="3"/>
  </conditionalFormatting>
  <conditionalFormatting sqref="A27:A29">
    <cfRule type="duplicateValues" dxfId="0" priority="4"/>
  </conditionalFormatting>
  <dataValidations count="4">
    <dataValidation type="whole" operator="greaterThan" allowBlank="1" showInputMessage="1" showErrorMessage="1" sqref="EZ7:FB7 BC7:BE7 BA1:BE6 ET7 BI5 FL5 DC7:DE7 EZ4 CU8:CV18 EN7 EQ7 EW7 DW19 DG1 BJ7:BK18 DX1 DQ1 DT2:DU2 DT1 DT8:ED18 EB1 D9:D22 DI2:DK2 DI1:DJ1 DI7 DI19 CS8 DS7 DW7 EA7 EB2:EC2 EA19 BJ1:DF2 DX2:DY2 DZ1:EA2 DV1:DW2 DM1:DP2 CM4 BG1:BI3 AC1:AD6 ED1:FQ2 CQ8:CR18 DI8:DL18 FI7:FL1048576 FM8:FN1048576 I1:AB1048576 AE1:AZ1048576 BF1:BF1048576 BG5:BH1048576 D25 DI20:DL1048576 AC8:AD1048576 DF7:DH1048576 CQ20:CS1048576 BL7:CP1048576 DQ8:DS1048576 CT7:CT1048576 DT20:ED1048576 CU20:CV1048576 BJ20:BK1048576 EE7:EM1048576 BI7:BI1048576 FD8:FH1048576 DA8:DE1048576 DM7:DP1048576 EN8:FB1048576 BA8:BE1048576 CW7:CZ1048576 FC7:FC1048576 FO7:FQ1048576" xr:uid="{10D7D3BF-365B-45AC-8ACA-2C4D0B60A26B}">
      <formula1>-9999</formula1>
    </dataValidation>
    <dataValidation operator="greaterThan" allowBlank="1" showInputMessage="1" showErrorMessage="1" sqref="FR1:FS2 CS9:CS18 FR7:FS1048576" xr:uid="{68A6F984-C3E7-4C35-BD04-8C3B83FCE0A4}"/>
    <dataValidation type="list" allowBlank="1" showInputMessage="1" showErrorMessage="1" sqref="H6:H1048576" xr:uid="{5EDB24A8-8F5D-47DC-BB32-C53FC71867BE}">
      <formula1>"Pre-Execution,Execution"</formula1>
    </dataValidation>
    <dataValidation type="list" allowBlank="1" showInputMessage="1" showErrorMessage="1" sqref="E9:E22" xr:uid="{33AEA5D2-7AEA-4B80-BA58-5A9B676CC5DB}">
      <formula1>"Covered,Green,Yellow,Red,Unknown"</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22136-C518-4089-A549-24027D094DBC}">
  <sheetPr codeName="Sheet3">
    <tabColor rgb="FFC00000"/>
  </sheetPr>
  <dimension ref="A1:KY14"/>
  <sheetViews>
    <sheetView showGridLines="0" tabSelected="1" zoomScale="70" zoomScaleNormal="70" workbookViewId="0">
      <pane xSplit="7" ySplit="8" topLeftCell="FJ9" activePane="bottomRight" state="frozen"/>
      <selection pane="topRight" activeCell="H1" sqref="H1"/>
      <selection pane="bottomLeft" activeCell="A9" sqref="A9"/>
      <selection pane="bottomRight" activeCell="FP16" sqref="FP16"/>
    </sheetView>
  </sheetViews>
  <sheetFormatPr defaultRowHeight="14.5" outlineLevelRow="1" outlineLevelCol="1" x14ac:dyDescent="0.35"/>
  <cols>
    <col min="1" max="1" width="24.26953125" customWidth="1"/>
    <col min="2" max="2" width="8.81640625" bestFit="1" customWidth="1"/>
    <col min="3" max="3" width="16.81640625" bestFit="1" customWidth="1"/>
    <col min="4" max="4" width="12.1796875" style="9" customWidth="1"/>
    <col min="5" max="5" width="11.7265625" customWidth="1"/>
    <col min="6" max="6" width="23" customWidth="1"/>
    <col min="7" max="7" width="21" bestFit="1" customWidth="1"/>
    <col min="8" max="8" width="14.26953125" customWidth="1"/>
    <col min="9" max="9" width="11.7265625" customWidth="1"/>
    <col min="10" max="10" width="11.7265625" customWidth="1" outlineLevel="1"/>
    <col min="11" max="11" width="13.7265625" customWidth="1" outlineLevel="1"/>
    <col min="12" max="12" width="13.7265625" customWidth="1"/>
    <col min="13" max="13" width="13.7265625" customWidth="1" outlineLevel="1"/>
    <col min="14" max="14" width="13.26953125" customWidth="1" outlineLevel="1"/>
    <col min="15" max="15" width="13.26953125" customWidth="1"/>
    <col min="16" max="16" width="13" customWidth="1" outlineLevel="1"/>
    <col min="17" max="17" width="12.26953125" customWidth="1" outlineLevel="1"/>
    <col min="18" max="18" width="12.26953125" customWidth="1"/>
    <col min="19" max="20" width="10.7265625" customWidth="1" outlineLevel="1"/>
    <col min="21" max="21" width="10.7265625" customWidth="1"/>
    <col min="22" max="22" width="13" customWidth="1" outlineLevel="1"/>
    <col min="23" max="23" width="14.81640625" customWidth="1" outlineLevel="1"/>
    <col min="24" max="24" width="14.81640625" customWidth="1"/>
    <col min="25" max="25" width="10.7265625" customWidth="1" outlineLevel="1"/>
    <col min="26" max="26" width="13.453125" customWidth="1" outlineLevel="1"/>
    <col min="27" max="27" width="13.453125" customWidth="1"/>
    <col min="28" max="29" width="13.453125" customWidth="1" outlineLevel="1"/>
    <col min="30" max="30" width="13.453125" customWidth="1"/>
    <col min="31" max="32" width="13.453125" customWidth="1" outlineLevel="1"/>
    <col min="33" max="33" width="13.453125" customWidth="1"/>
    <col min="34" max="35" width="10.7265625" customWidth="1" outlineLevel="1"/>
    <col min="36" max="36" width="17.1796875" bestFit="1" customWidth="1"/>
    <col min="37" max="38" width="10.7265625" customWidth="1" outlineLevel="1"/>
    <col min="39" max="39" width="10.7265625" customWidth="1"/>
    <col min="40" max="41" width="10.7265625" customWidth="1" outlineLevel="1"/>
    <col min="42" max="42" width="10.7265625" customWidth="1"/>
    <col min="43" max="44" width="10.7265625" customWidth="1" outlineLevel="1"/>
    <col min="45" max="45" width="10.7265625" customWidth="1"/>
    <col min="46" max="47" width="10.7265625" customWidth="1" outlineLevel="1"/>
    <col min="48" max="48" width="10.7265625" customWidth="1"/>
    <col min="49" max="50" width="10.7265625" customWidth="1" outlineLevel="1"/>
    <col min="51" max="51" width="10.7265625" customWidth="1"/>
    <col min="52" max="53" width="10.7265625" customWidth="1" outlineLevel="1"/>
    <col min="54" max="54" width="10.7265625" customWidth="1"/>
    <col min="55" max="56" width="10.7265625" customWidth="1" outlineLevel="1"/>
    <col min="57" max="57" width="10.7265625" customWidth="1"/>
    <col min="58" max="59" width="10.7265625" customWidth="1" outlineLevel="1"/>
    <col min="60" max="60" width="11.26953125" customWidth="1"/>
    <col min="61" max="62" width="10.7265625" customWidth="1" outlineLevel="1"/>
    <col min="63" max="63" width="10.7265625" customWidth="1"/>
    <col min="64" max="65" width="10.7265625" customWidth="1" outlineLevel="1"/>
    <col min="66" max="66" width="10.7265625" customWidth="1"/>
    <col min="67" max="68" width="10.7265625" customWidth="1" outlineLevel="1"/>
    <col min="69" max="69" width="10.7265625" customWidth="1"/>
    <col min="70" max="71" width="10.7265625" customWidth="1" outlineLevel="1"/>
    <col min="72" max="72" width="10.7265625" customWidth="1"/>
    <col min="73" max="74" width="10.7265625" customWidth="1" outlineLevel="1"/>
    <col min="75" max="75" width="10.7265625" customWidth="1"/>
    <col min="76" max="76" width="13.26953125" customWidth="1" outlineLevel="1"/>
    <col min="77" max="77" width="13.54296875" customWidth="1" outlineLevel="1"/>
    <col min="78" max="78" width="13.54296875" customWidth="1"/>
    <col min="79" max="80" width="10.7265625" customWidth="1" outlineLevel="1"/>
    <col min="81" max="81" width="10.7265625" customWidth="1"/>
    <col min="82" max="82" width="12.7265625" customWidth="1" outlineLevel="1"/>
    <col min="83" max="83" width="13.26953125" customWidth="1" outlineLevel="1"/>
    <col min="84" max="84" width="13.26953125" customWidth="1"/>
    <col min="85" max="86" width="10.7265625" customWidth="1" outlineLevel="1"/>
    <col min="87" max="87" width="10.7265625" customWidth="1"/>
    <col min="88" max="88" width="13.26953125" customWidth="1" outlineLevel="1"/>
    <col min="89" max="89" width="14" customWidth="1" outlineLevel="1"/>
    <col min="90" max="90" width="14" customWidth="1"/>
    <col min="91" max="92" width="10.7265625" customWidth="1" outlineLevel="1"/>
    <col min="93" max="93" width="10.7265625" customWidth="1"/>
    <col min="94" max="94" width="13" customWidth="1" outlineLevel="1"/>
    <col min="95" max="95" width="12.26953125" customWidth="1" outlineLevel="1"/>
    <col min="96" max="96" width="12.26953125" customWidth="1"/>
    <col min="97" max="97" width="84" customWidth="1"/>
    <col min="98" max="99" width="10.7265625" customWidth="1" outlineLevel="1"/>
    <col min="100" max="100" width="10.7265625" customWidth="1"/>
    <col min="101" max="101" width="12.1796875" customWidth="1" outlineLevel="1"/>
    <col min="102" max="102" width="10.7265625" customWidth="1" outlineLevel="1"/>
    <col min="103" max="103" width="10.7265625" customWidth="1"/>
    <col min="104" max="105" width="10.7265625" customWidth="1" outlineLevel="1"/>
    <col min="106" max="106" width="10.7265625" customWidth="1"/>
    <col min="107" max="107" width="13.453125" customWidth="1" outlineLevel="1"/>
    <col min="108" max="108" width="12.54296875" customWidth="1" outlineLevel="1"/>
    <col min="109" max="109" width="12.54296875" customWidth="1"/>
    <col min="110" max="111" width="10.7265625" customWidth="1" outlineLevel="1"/>
    <col min="112" max="112" width="10.7265625" customWidth="1"/>
    <col min="113" max="115" width="11.7265625" customWidth="1" outlineLevel="1"/>
    <col min="116" max="116" width="12.26953125" customWidth="1"/>
    <col min="117" max="117" width="12.7265625" customWidth="1" outlineLevel="1"/>
    <col min="118" max="118" width="12.26953125" customWidth="1" outlineLevel="1"/>
    <col min="119" max="119" width="12.26953125" customWidth="1"/>
    <col min="120" max="120" width="12.26953125" customWidth="1" outlineLevel="1"/>
    <col min="121" max="121" width="10.81640625" customWidth="1" outlineLevel="1"/>
    <col min="122" max="122" width="10.81640625" customWidth="1"/>
    <col min="123" max="123" width="13" customWidth="1" outlineLevel="1"/>
    <col min="124" max="124" width="12.1796875" customWidth="1" outlineLevel="1"/>
    <col min="125" max="125" width="12.54296875" customWidth="1" outlineLevel="1"/>
    <col min="126" max="126" width="13.7265625" customWidth="1"/>
    <col min="127" max="127" width="13.7265625" customWidth="1" outlineLevel="1"/>
    <col min="128" max="129" width="12.7265625" customWidth="1" outlineLevel="1"/>
    <col min="130" max="130" width="13.81640625" customWidth="1"/>
    <col min="131" max="131" width="13.81640625" customWidth="1" outlineLevel="1"/>
    <col min="132" max="132" width="13.453125" customWidth="1" outlineLevel="1"/>
    <col min="133" max="133" width="14" customWidth="1" outlineLevel="1"/>
    <col min="134" max="134" width="14" customWidth="1"/>
    <col min="135" max="136" width="10.7265625" customWidth="1" outlineLevel="1"/>
    <col min="137" max="137" width="10.7265625" customWidth="1"/>
    <col min="138" max="139" width="10.7265625" customWidth="1" outlineLevel="1"/>
    <col min="140" max="140" width="10.7265625" customWidth="1"/>
    <col min="141" max="142" width="10.7265625" customWidth="1" outlineLevel="1"/>
    <col min="143" max="143" width="10.7265625" customWidth="1"/>
    <col min="144" max="145" width="10.7265625" customWidth="1" outlineLevel="1"/>
    <col min="146" max="146" width="10.7265625" customWidth="1"/>
    <col min="147" max="148" width="10.7265625" customWidth="1" outlineLevel="1"/>
    <col min="149" max="149" width="10.7265625" customWidth="1"/>
    <col min="150" max="151" width="10.7265625" customWidth="1" outlineLevel="1"/>
    <col min="152" max="152" width="10.7265625" customWidth="1"/>
    <col min="153" max="154" width="10.7265625" customWidth="1" outlineLevel="1"/>
    <col min="155" max="155" width="10.7265625" customWidth="1"/>
    <col min="156" max="157" width="10.7265625" customWidth="1" outlineLevel="1"/>
    <col min="158" max="158" width="17.1796875" bestFit="1" customWidth="1"/>
    <col min="159" max="159" width="13.26953125" customWidth="1" outlineLevel="1"/>
    <col min="160" max="160" width="12.81640625" customWidth="1" outlineLevel="1"/>
    <col min="161" max="161" width="12.81640625" customWidth="1"/>
    <col min="162" max="163" width="12.81640625" customWidth="1" outlineLevel="1"/>
    <col min="164" max="164" width="12.81640625" customWidth="1"/>
    <col min="165" max="165" width="10.81640625" customWidth="1" outlineLevel="1"/>
    <col min="166" max="166" width="11.453125" customWidth="1" outlineLevel="1"/>
    <col min="167" max="167" width="11.453125" customWidth="1"/>
    <col min="168" max="168" width="13.7265625" customWidth="1" outlineLevel="1"/>
    <col min="169" max="169" width="13.81640625" customWidth="1" outlineLevel="1"/>
    <col min="170" max="170" width="13.81640625" customWidth="1"/>
    <col min="171" max="171" width="12.26953125" customWidth="1" outlineLevel="1"/>
    <col min="172" max="172" width="13.7265625" customWidth="1" outlineLevel="1"/>
    <col min="173" max="173" width="13.453125" customWidth="1"/>
    <col min="174" max="174" width="17.81640625" customWidth="1"/>
    <col min="175" max="175" width="17.81640625" style="112" customWidth="1"/>
    <col min="176" max="178" width="13.81640625" customWidth="1"/>
    <col min="179" max="179" width="14.26953125" customWidth="1"/>
  </cols>
  <sheetData>
    <row r="1" spans="1:311" ht="15.75" customHeight="1" x14ac:dyDescent="0.35">
      <c r="A1" s="80" t="s">
        <v>201</v>
      </c>
      <c r="B1" s="13"/>
      <c r="C1" s="17" t="s">
        <v>202</v>
      </c>
      <c r="D1" s="94"/>
      <c r="E1" s="17"/>
      <c r="F1" s="18"/>
      <c r="G1" s="115"/>
      <c r="H1" s="115" t="s">
        <v>203</v>
      </c>
      <c r="I1" s="116" t="s">
        <v>204</v>
      </c>
      <c r="J1" s="116"/>
      <c r="K1" s="117"/>
      <c r="L1" s="117"/>
      <c r="M1" s="117"/>
      <c r="N1" s="117"/>
      <c r="O1" s="117"/>
      <c r="P1" s="117"/>
      <c r="Q1" s="117"/>
      <c r="R1" s="117"/>
      <c r="S1" s="117"/>
      <c r="T1" s="117"/>
      <c r="U1" s="117"/>
      <c r="V1" s="117"/>
      <c r="W1" s="117"/>
      <c r="X1" s="117"/>
      <c r="Y1" s="117"/>
      <c r="Z1" s="117"/>
      <c r="AA1" s="117"/>
      <c r="AB1" s="117"/>
      <c r="AC1" s="117"/>
      <c r="AD1" s="117"/>
      <c r="AE1" s="117"/>
      <c r="AF1" s="117"/>
      <c r="AG1" s="117"/>
      <c r="AH1" s="117"/>
      <c r="AI1" s="117"/>
      <c r="AJ1" s="117"/>
      <c r="AK1" s="117"/>
      <c r="AL1" s="117"/>
      <c r="AM1" s="117"/>
      <c r="AN1" s="117"/>
      <c r="AO1" s="117"/>
      <c r="AP1" s="117"/>
      <c r="AQ1" s="117"/>
      <c r="AR1" s="117"/>
      <c r="AS1" s="117"/>
      <c r="AT1" s="117"/>
      <c r="AU1" s="117"/>
      <c r="AV1" s="117"/>
      <c r="AW1" s="117"/>
      <c r="AX1" s="117"/>
      <c r="AY1" s="117"/>
      <c r="AZ1" s="117"/>
      <c r="BA1" s="117"/>
      <c r="BB1" s="117"/>
      <c r="BC1" s="117"/>
      <c r="BD1" s="117"/>
      <c r="BE1" s="117"/>
      <c r="BF1" s="117"/>
      <c r="BG1" s="117"/>
      <c r="BH1" s="117"/>
      <c r="BI1" s="117"/>
      <c r="BJ1" s="117"/>
      <c r="BK1" s="117"/>
      <c r="BL1" s="117"/>
      <c r="BM1" s="117"/>
      <c r="BN1" s="117"/>
      <c r="BO1" s="117"/>
      <c r="BP1" s="117"/>
      <c r="BQ1" s="117"/>
      <c r="BR1" s="117"/>
      <c r="BS1" s="117"/>
      <c r="BT1" s="117"/>
      <c r="BU1" s="117"/>
      <c r="BV1" s="117"/>
      <c r="BW1" s="117"/>
      <c r="BX1" s="117"/>
      <c r="BY1" s="117"/>
      <c r="BZ1" s="117"/>
      <c r="CA1" s="117"/>
      <c r="CB1" s="117"/>
      <c r="CC1" s="117"/>
      <c r="CD1" s="117"/>
      <c r="CE1" s="117"/>
      <c r="CF1" s="117"/>
      <c r="CG1" s="117"/>
      <c r="CH1" s="117"/>
      <c r="CI1" s="117"/>
      <c r="CJ1" s="117"/>
      <c r="CK1" s="117"/>
      <c r="CL1" s="117"/>
      <c r="CM1" s="117"/>
      <c r="CN1" s="117"/>
      <c r="CO1" s="117"/>
      <c r="CP1" s="117"/>
      <c r="CQ1" s="117"/>
      <c r="CR1" s="117"/>
      <c r="CS1" s="117"/>
      <c r="CT1" s="117"/>
      <c r="CU1" s="117"/>
      <c r="CV1" s="48"/>
      <c r="CW1" s="39"/>
      <c r="CX1" s="39"/>
      <c r="CY1" s="39"/>
      <c r="CZ1" s="39"/>
      <c r="DA1" s="39"/>
      <c r="DB1" s="39"/>
      <c r="DC1" s="39"/>
      <c r="DD1" s="39"/>
      <c r="DE1" s="39"/>
      <c r="DF1" s="1"/>
      <c r="DG1" s="86"/>
      <c r="DH1" s="86"/>
      <c r="DI1" s="87"/>
      <c r="DJ1" s="87"/>
      <c r="DK1" s="87"/>
      <c r="DM1" s="1"/>
      <c r="DN1" s="1"/>
      <c r="DO1" s="1"/>
      <c r="DP1" s="1"/>
      <c r="DQ1" s="86"/>
      <c r="DR1" s="86"/>
      <c r="DS1" s="91"/>
      <c r="DT1" s="87"/>
      <c r="DU1" s="87"/>
      <c r="DV1" s="1"/>
      <c r="DW1" s="1"/>
      <c r="DX1" s="87"/>
      <c r="DY1" s="87"/>
      <c r="DZ1" s="1"/>
      <c r="EA1" s="1"/>
      <c r="EB1" s="87"/>
      <c r="EC1" s="87"/>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21"/>
      <c r="FT1" s="1"/>
      <c r="FU1" s="1"/>
      <c r="FV1" s="1"/>
      <c r="FW1" s="40"/>
    </row>
    <row r="2" spans="1:311" ht="15.75" customHeight="1" x14ac:dyDescent="0.35">
      <c r="A2" s="18"/>
      <c r="B2" s="4"/>
      <c r="C2" s="17" t="s">
        <v>205</v>
      </c>
      <c r="D2" s="94"/>
      <c r="E2" s="17"/>
      <c r="F2" s="18"/>
      <c r="G2" s="115"/>
      <c r="H2" s="115"/>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7"/>
      <c r="AN2" s="117"/>
      <c r="AO2" s="117"/>
      <c r="AP2" s="117"/>
      <c r="AQ2" s="117"/>
      <c r="AR2" s="117"/>
      <c r="AS2" s="117"/>
      <c r="AT2" s="117"/>
      <c r="AU2" s="117"/>
      <c r="AV2" s="117"/>
      <c r="AW2" s="117"/>
      <c r="AX2" s="117"/>
      <c r="AY2" s="117"/>
      <c r="AZ2" s="117"/>
      <c r="BA2" s="117"/>
      <c r="BB2" s="117"/>
      <c r="BC2" s="117"/>
      <c r="BD2" s="117"/>
      <c r="BE2" s="117"/>
      <c r="BF2" s="117"/>
      <c r="BG2" s="117"/>
      <c r="BH2" s="117"/>
      <c r="BI2" s="117"/>
      <c r="BJ2" s="117"/>
      <c r="BK2" s="117"/>
      <c r="BL2" s="117"/>
      <c r="BM2" s="117"/>
      <c r="BN2" s="117"/>
      <c r="BO2" s="117"/>
      <c r="BP2" s="117"/>
      <c r="BQ2" s="117"/>
      <c r="BR2" s="117"/>
      <c r="BS2" s="117"/>
      <c r="BT2" s="117"/>
      <c r="BU2" s="117"/>
      <c r="BV2" s="117"/>
      <c r="BW2" s="117"/>
      <c r="BX2" s="117"/>
      <c r="BY2" s="117"/>
      <c r="BZ2" s="117"/>
      <c r="CA2" s="117"/>
      <c r="CB2" s="117"/>
      <c r="CC2" s="117"/>
      <c r="CD2" s="117"/>
      <c r="CE2" s="117"/>
      <c r="CF2" s="117"/>
      <c r="CG2" s="117"/>
      <c r="CH2" s="117"/>
      <c r="CI2" s="117"/>
      <c r="CJ2" s="117"/>
      <c r="CK2" s="117"/>
      <c r="CL2" s="117"/>
      <c r="CM2" s="117"/>
      <c r="CN2" s="117"/>
      <c r="CO2" s="117"/>
      <c r="CP2" s="117"/>
      <c r="CQ2" s="117"/>
      <c r="CR2" s="117"/>
      <c r="CS2" s="117"/>
      <c r="CT2" s="117"/>
      <c r="CU2" s="117"/>
      <c r="CV2" s="48"/>
      <c r="CW2" s="39"/>
      <c r="CX2" s="39"/>
      <c r="CY2" s="39"/>
      <c r="CZ2" s="39"/>
      <c r="DA2" s="39"/>
      <c r="DB2" s="39"/>
      <c r="DC2" s="39"/>
      <c r="DD2" s="39"/>
      <c r="DE2" s="39"/>
      <c r="DF2" s="1"/>
      <c r="DG2" s="86"/>
      <c r="DH2" s="86"/>
      <c r="DI2" s="88"/>
      <c r="DJ2" s="88"/>
      <c r="DK2" s="88"/>
      <c r="DM2" s="1"/>
      <c r="DN2" s="1"/>
      <c r="DO2" s="1"/>
      <c r="DP2" s="1"/>
      <c r="DQ2" s="86"/>
      <c r="DR2" s="86"/>
      <c r="DS2" s="91"/>
      <c r="DT2" s="88"/>
      <c r="DU2" s="88"/>
      <c r="DV2" s="1"/>
      <c r="DW2" s="1"/>
      <c r="DX2" s="88"/>
      <c r="DY2" s="88"/>
      <c r="DZ2" s="1"/>
      <c r="EA2" s="1"/>
      <c r="EB2" s="88"/>
      <c r="EC2" s="88"/>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21"/>
      <c r="FT2" s="2"/>
      <c r="FU2" s="2"/>
      <c r="FV2" s="2"/>
      <c r="FW2" s="41"/>
      <c r="FX2" s="36"/>
      <c r="FY2" s="36"/>
      <c r="FZ2" s="36"/>
      <c r="GA2" s="36"/>
      <c r="GB2" s="36"/>
      <c r="GC2" s="36"/>
      <c r="GD2" s="36"/>
    </row>
    <row r="3" spans="1:311" ht="16" x14ac:dyDescent="0.35">
      <c r="A3" s="18"/>
      <c r="B3" s="10"/>
      <c r="C3" s="17" t="s">
        <v>206</v>
      </c>
      <c r="D3" s="94"/>
      <c r="E3" s="17"/>
      <c r="F3" s="19"/>
      <c r="G3" s="20"/>
      <c r="H3" s="20" t="s">
        <v>207</v>
      </c>
      <c r="I3" s="38" t="s">
        <v>208</v>
      </c>
      <c r="J3" s="118" t="s">
        <v>209</v>
      </c>
      <c r="K3" s="118"/>
      <c r="L3" s="118"/>
      <c r="M3" s="118"/>
      <c r="N3" s="118"/>
      <c r="O3" s="118"/>
      <c r="P3" s="118"/>
      <c r="Q3" s="118"/>
      <c r="R3" s="118"/>
      <c r="S3" s="118"/>
      <c r="T3" s="118"/>
      <c r="U3" s="118"/>
      <c r="V3" s="118"/>
      <c r="W3" s="118"/>
      <c r="X3" s="118"/>
      <c r="Y3" s="118"/>
      <c r="Z3" s="118"/>
      <c r="AA3" s="118"/>
      <c r="AB3" s="96"/>
      <c r="AC3" s="96"/>
      <c r="AD3" s="96"/>
      <c r="AE3" s="119" t="s">
        <v>210</v>
      </c>
      <c r="AF3" s="119"/>
      <c r="AG3" s="119"/>
      <c r="AH3" s="120" t="s">
        <v>211</v>
      </c>
      <c r="AI3" s="120"/>
      <c r="AJ3" s="120"/>
      <c r="AK3" s="120"/>
      <c r="AL3" s="120"/>
      <c r="AM3" s="120"/>
      <c r="AN3" s="120"/>
      <c r="AO3" s="120"/>
      <c r="AP3" s="120"/>
      <c r="AQ3" s="121" t="s">
        <v>212</v>
      </c>
      <c r="AR3" s="121"/>
      <c r="AS3" s="121"/>
      <c r="AT3" s="121"/>
      <c r="AU3" s="121"/>
      <c r="AV3" s="121"/>
      <c r="AW3" s="121"/>
      <c r="AX3" s="121"/>
      <c r="AY3" s="121"/>
      <c r="AZ3" s="121"/>
      <c r="BA3" s="121"/>
      <c r="BB3" s="50"/>
      <c r="BC3" s="122" t="s">
        <v>213</v>
      </c>
      <c r="BD3" s="122"/>
      <c r="BE3" s="122"/>
      <c r="BF3" s="122"/>
      <c r="BG3" s="122"/>
      <c r="BH3" s="122"/>
      <c r="BI3" s="98" t="s">
        <v>214</v>
      </c>
      <c r="BJ3" s="98"/>
      <c r="BK3" s="98"/>
      <c r="BL3" s="98"/>
      <c r="BM3" s="98"/>
      <c r="BN3" s="98"/>
      <c r="BO3" s="98"/>
      <c r="BP3" s="98"/>
      <c r="BQ3" s="98"/>
      <c r="BR3" s="98"/>
      <c r="BS3" s="98"/>
      <c r="BT3" s="98"/>
      <c r="BU3" s="98"/>
      <c r="BV3" s="98"/>
      <c r="BW3" s="98"/>
      <c r="BX3" s="98"/>
      <c r="BY3" s="98"/>
      <c r="BZ3" s="98"/>
      <c r="CA3" s="98"/>
      <c r="CB3" s="98"/>
      <c r="CC3" s="98"/>
      <c r="CD3" s="98"/>
      <c r="CE3" s="98"/>
      <c r="CF3" s="98"/>
      <c r="CG3" s="98"/>
      <c r="CH3" s="98"/>
      <c r="CI3" s="98"/>
      <c r="CJ3" s="98"/>
      <c r="CK3" s="98"/>
      <c r="CL3" s="98"/>
      <c r="CM3" s="98"/>
      <c r="CN3" s="98"/>
      <c r="CO3" s="98"/>
      <c r="CP3" s="98"/>
      <c r="CQ3" s="98"/>
      <c r="CR3" s="98"/>
      <c r="CS3" s="98"/>
      <c r="CT3" s="98"/>
      <c r="CU3" s="98"/>
      <c r="CV3" s="98"/>
      <c r="CW3" s="98"/>
      <c r="CX3" s="98"/>
      <c r="CY3" s="98"/>
      <c r="CZ3" s="98"/>
      <c r="DA3" s="98"/>
      <c r="DB3" s="98"/>
      <c r="DC3" s="98"/>
      <c r="DD3" s="98"/>
      <c r="DE3" s="98"/>
      <c r="DF3" s="98"/>
      <c r="DG3" s="98"/>
      <c r="DH3" s="98"/>
      <c r="DI3" s="98"/>
      <c r="DJ3" s="98"/>
      <c r="DK3" s="98"/>
      <c r="DL3" s="98"/>
      <c r="DM3" s="98"/>
      <c r="DN3" s="98"/>
      <c r="DO3" s="98"/>
      <c r="DP3" s="98"/>
      <c r="DQ3" s="98"/>
      <c r="DR3" s="98"/>
      <c r="DS3" s="98"/>
      <c r="DT3" s="98"/>
      <c r="DU3" s="98"/>
      <c r="DV3" s="98"/>
      <c r="DW3" s="98"/>
      <c r="DX3" s="98"/>
      <c r="DY3" s="98"/>
      <c r="DZ3" s="98"/>
      <c r="EA3" s="98"/>
      <c r="EB3" s="98"/>
      <c r="EC3" s="98"/>
      <c r="ED3" s="98"/>
      <c r="EE3" s="98"/>
      <c r="EF3" s="98"/>
      <c r="EG3" s="98"/>
      <c r="EH3" s="98"/>
      <c r="EI3" s="98"/>
      <c r="EJ3" s="98"/>
      <c r="EK3" s="98"/>
      <c r="EL3" s="98"/>
      <c r="EM3" s="98"/>
      <c r="EN3" s="98"/>
      <c r="EO3" s="98"/>
      <c r="EP3" s="98"/>
      <c r="EQ3" s="98"/>
      <c r="ER3" s="98"/>
      <c r="ES3" s="98"/>
      <c r="ET3" s="98"/>
      <c r="EU3" s="98"/>
      <c r="EV3" s="98"/>
      <c r="EW3" s="98"/>
      <c r="EX3" s="98"/>
      <c r="EY3" s="98"/>
      <c r="EZ3" s="98"/>
      <c r="FA3" s="98"/>
      <c r="FB3" s="98"/>
      <c r="FC3" s="98"/>
      <c r="FD3" s="98"/>
      <c r="FE3" s="98"/>
      <c r="FF3" s="98"/>
      <c r="FG3" s="98"/>
      <c r="FH3" s="98"/>
      <c r="FI3" s="98"/>
      <c r="FJ3" s="98"/>
      <c r="FK3" s="98"/>
      <c r="FL3" s="98"/>
      <c r="FM3" s="98"/>
      <c r="FN3" s="98"/>
      <c r="FO3" s="98"/>
      <c r="FP3" s="98"/>
      <c r="FQ3" s="98"/>
      <c r="FR3" s="98"/>
      <c r="FS3" s="105"/>
      <c r="FT3" s="2"/>
      <c r="FU3" s="2"/>
      <c r="FV3" s="2"/>
      <c r="FW3" s="41"/>
      <c r="FX3" s="36"/>
      <c r="FY3" s="36"/>
      <c r="FZ3" s="36"/>
      <c r="GA3" s="36"/>
      <c r="GB3" s="36"/>
      <c r="GC3" s="36"/>
      <c r="GD3" s="36"/>
    </row>
    <row r="4" spans="1:311" x14ac:dyDescent="0.35">
      <c r="A4" s="21"/>
      <c r="B4" s="27"/>
      <c r="C4" s="17" t="s">
        <v>215</v>
      </c>
      <c r="D4" s="94"/>
      <c r="E4" s="17"/>
      <c r="F4" s="19"/>
      <c r="G4" s="20"/>
      <c r="H4" s="20" t="s">
        <v>216</v>
      </c>
      <c r="I4" s="32" t="s">
        <v>217</v>
      </c>
      <c r="J4" s="123" t="s">
        <v>218</v>
      </c>
      <c r="K4" s="123"/>
      <c r="L4" s="123"/>
      <c r="M4" s="123"/>
      <c r="N4" s="123"/>
      <c r="O4" s="123"/>
      <c r="P4" s="123"/>
      <c r="Q4" s="123"/>
      <c r="R4" s="123"/>
      <c r="S4" s="123"/>
      <c r="T4" s="123"/>
      <c r="U4" s="123"/>
      <c r="V4" s="123"/>
      <c r="W4" s="123"/>
      <c r="X4" s="123"/>
      <c r="Y4" s="123"/>
      <c r="Z4" s="123"/>
      <c r="AA4" s="123"/>
      <c r="AB4" s="123"/>
      <c r="AC4" s="123"/>
      <c r="AD4" s="123"/>
      <c r="AE4" s="123"/>
      <c r="AF4" s="123"/>
      <c r="AG4" s="123"/>
      <c r="AH4" s="123"/>
      <c r="AI4" s="123"/>
      <c r="AJ4" s="123"/>
      <c r="AK4" s="123"/>
      <c r="AL4" s="123"/>
      <c r="AM4" s="123"/>
      <c r="AN4" s="123"/>
      <c r="AO4" s="123"/>
      <c r="AP4" s="123"/>
      <c r="AQ4" s="123"/>
      <c r="AR4" s="123"/>
      <c r="AS4" s="123"/>
      <c r="AT4" s="123"/>
      <c r="AU4" s="123"/>
      <c r="AV4" s="123"/>
      <c r="AW4" s="123"/>
      <c r="AX4" s="123"/>
      <c r="AY4" s="123"/>
      <c r="AZ4" s="123"/>
      <c r="BA4" s="123"/>
      <c r="BB4" s="123"/>
      <c r="BC4" s="123"/>
      <c r="BD4" s="123"/>
      <c r="BE4" s="123"/>
      <c r="BF4" s="124" t="s">
        <v>219</v>
      </c>
      <c r="BG4" s="124"/>
      <c r="BH4" s="124"/>
      <c r="BI4" s="124"/>
      <c r="BJ4" s="124"/>
      <c r="BK4" s="124"/>
      <c r="BL4" s="124"/>
      <c r="BM4" s="124"/>
      <c r="BN4" s="124"/>
      <c r="BO4" s="124"/>
      <c r="BP4" s="124"/>
      <c r="BQ4" s="124"/>
      <c r="BR4" s="124"/>
      <c r="BS4" s="124"/>
      <c r="BT4" s="124"/>
      <c r="BU4" s="124"/>
      <c r="BV4" s="124"/>
      <c r="BW4" s="124"/>
      <c r="BX4" s="124"/>
      <c r="BY4" s="124"/>
      <c r="BZ4" s="124"/>
      <c r="CA4" s="124"/>
      <c r="CB4" s="124"/>
      <c r="CC4" s="124"/>
      <c r="CD4" s="124"/>
      <c r="CE4" s="124"/>
      <c r="CF4" s="124"/>
      <c r="CG4" s="124"/>
      <c r="CH4" s="124"/>
      <c r="CI4" s="124"/>
      <c r="CJ4" s="124"/>
      <c r="CK4" s="124"/>
      <c r="CL4" s="124"/>
      <c r="CM4" s="125" t="s">
        <v>220</v>
      </c>
      <c r="CN4" s="125"/>
      <c r="CO4" s="125"/>
      <c r="CP4" s="125"/>
      <c r="CQ4" s="125"/>
      <c r="CR4" s="125"/>
      <c r="CS4" s="125"/>
      <c r="CT4" s="125"/>
      <c r="CU4" s="125"/>
      <c r="CV4" s="125"/>
      <c r="CW4" s="125"/>
      <c r="CX4" s="125"/>
      <c r="CY4" s="125"/>
      <c r="CZ4" s="125"/>
      <c r="DA4" s="125"/>
      <c r="DB4" s="125"/>
      <c r="DC4" s="125"/>
      <c r="DD4" s="125"/>
      <c r="DE4" s="125"/>
      <c r="DF4" s="125"/>
      <c r="DG4" s="125"/>
      <c r="DH4" s="125"/>
      <c r="DI4" s="125"/>
      <c r="DJ4" s="125"/>
      <c r="DK4" s="125"/>
      <c r="DL4" s="125"/>
      <c r="DM4" s="125"/>
      <c r="DN4" s="125"/>
      <c r="DO4" s="125"/>
      <c r="DP4" s="125"/>
      <c r="DQ4" s="125"/>
      <c r="DR4" s="125"/>
      <c r="DS4" s="125"/>
      <c r="DT4" s="125"/>
      <c r="DU4" s="125"/>
      <c r="DV4" s="125"/>
      <c r="DW4" s="125"/>
      <c r="DX4" s="125"/>
      <c r="DY4" s="125"/>
      <c r="DZ4" s="125"/>
      <c r="EA4" s="125"/>
      <c r="EB4" s="125"/>
      <c r="EC4" s="125"/>
      <c r="ED4" s="125"/>
      <c r="EE4" s="125"/>
      <c r="EF4" s="125"/>
      <c r="EG4" s="125"/>
      <c r="EH4" s="125"/>
      <c r="EI4" s="125"/>
      <c r="EJ4" s="125"/>
      <c r="EK4" s="125"/>
      <c r="EL4" s="125"/>
      <c r="EM4" s="125"/>
      <c r="EN4" s="125"/>
      <c r="EO4" s="125"/>
      <c r="EP4" s="125"/>
      <c r="EQ4" s="125"/>
      <c r="ER4" s="125"/>
      <c r="ES4" s="125"/>
      <c r="ET4" s="125"/>
      <c r="EU4" s="125"/>
      <c r="EV4" s="125"/>
      <c r="EW4" s="125"/>
      <c r="EX4" s="125"/>
      <c r="EY4" s="125"/>
      <c r="EZ4" s="126" t="s">
        <v>221</v>
      </c>
      <c r="FA4" s="126"/>
      <c r="FB4" s="126"/>
      <c r="FC4" s="126"/>
      <c r="FD4" s="126"/>
      <c r="FE4" s="126"/>
      <c r="FF4" s="126"/>
      <c r="FG4" s="126"/>
      <c r="FH4" s="126"/>
      <c r="FI4" s="126"/>
      <c r="FJ4" s="126"/>
      <c r="FK4" s="126"/>
      <c r="FL4" s="126"/>
      <c r="FM4" s="126"/>
      <c r="FN4" s="126"/>
      <c r="FO4" s="126"/>
      <c r="FP4" s="126"/>
      <c r="FQ4" s="126"/>
      <c r="FR4" s="126"/>
      <c r="FS4" s="106"/>
      <c r="FT4" s="2"/>
      <c r="FU4" s="2"/>
      <c r="FV4" s="2"/>
      <c r="FW4" s="41"/>
      <c r="FX4" s="36"/>
      <c r="FY4" s="36"/>
      <c r="FZ4" s="36"/>
      <c r="GA4" s="36"/>
      <c r="GB4" s="36"/>
      <c r="GC4" s="36"/>
      <c r="GD4" s="36"/>
    </row>
    <row r="5" spans="1:311" x14ac:dyDescent="0.35">
      <c r="A5" s="21"/>
      <c r="B5" s="51"/>
      <c r="C5" s="17" t="s">
        <v>222</v>
      </c>
      <c r="D5" s="94"/>
      <c r="E5" s="17"/>
      <c r="F5" s="20"/>
      <c r="G5" s="20"/>
      <c r="H5" s="20" t="s">
        <v>223</v>
      </c>
      <c r="I5" s="127" t="s">
        <v>224</v>
      </c>
      <c r="J5" s="128"/>
      <c r="K5" s="128"/>
      <c r="L5" s="128"/>
      <c r="M5" s="128"/>
      <c r="N5" s="128"/>
      <c r="O5" s="128"/>
      <c r="P5" s="128"/>
      <c r="Q5" s="128"/>
      <c r="R5" s="128"/>
      <c r="S5" s="128"/>
      <c r="T5" s="128"/>
      <c r="U5" s="128"/>
      <c r="V5" s="128"/>
      <c r="W5" s="128"/>
      <c r="X5" s="128"/>
      <c r="Y5" s="128"/>
      <c r="Z5" s="128"/>
      <c r="AA5" s="128"/>
      <c r="AB5" s="128"/>
      <c r="AC5" s="128"/>
      <c r="AD5" s="128"/>
      <c r="AE5" s="128"/>
      <c r="AF5" s="128"/>
      <c r="AG5" s="128"/>
      <c r="AH5" s="128"/>
      <c r="AI5" s="128"/>
      <c r="AJ5" s="128"/>
      <c r="AK5" s="128"/>
      <c r="AL5" s="128"/>
      <c r="AM5" s="128"/>
      <c r="AN5" s="128"/>
      <c r="AO5" s="128"/>
      <c r="AP5" s="128"/>
      <c r="AQ5" s="128"/>
      <c r="AR5" s="128"/>
      <c r="AS5" s="128"/>
      <c r="AT5" s="128"/>
      <c r="AU5" s="128"/>
      <c r="AV5" s="128"/>
      <c r="AW5" s="128"/>
      <c r="AX5" s="128"/>
      <c r="AY5" s="128"/>
      <c r="AZ5" s="128"/>
      <c r="BA5" s="128"/>
      <c r="BB5" s="128"/>
      <c r="BC5" s="128"/>
      <c r="BD5" s="128"/>
      <c r="BE5" s="128"/>
      <c r="BF5" s="128"/>
      <c r="BG5" s="128"/>
      <c r="BH5" s="128"/>
      <c r="BI5" s="131" t="s">
        <v>225</v>
      </c>
      <c r="BJ5" s="132"/>
      <c r="BK5" s="132"/>
      <c r="BL5" s="132"/>
      <c r="BM5" s="132"/>
      <c r="BN5" s="132"/>
      <c r="BO5" s="132"/>
      <c r="BP5" s="132"/>
      <c r="BQ5" s="132"/>
      <c r="BR5" s="132"/>
      <c r="BS5" s="132"/>
      <c r="BT5" s="132"/>
      <c r="BU5" s="132"/>
      <c r="BV5" s="132"/>
      <c r="BW5" s="132"/>
      <c r="BX5" s="132"/>
      <c r="BY5" s="132"/>
      <c r="BZ5" s="132"/>
      <c r="CA5" s="132"/>
      <c r="CB5" s="132"/>
      <c r="CC5" s="132"/>
      <c r="CD5" s="132"/>
      <c r="CE5" s="132"/>
      <c r="CF5" s="132"/>
      <c r="CG5" s="132"/>
      <c r="CH5" s="132"/>
      <c r="CI5" s="132"/>
      <c r="CJ5" s="132"/>
      <c r="CK5" s="132"/>
      <c r="CL5" s="132"/>
      <c r="CM5" s="132"/>
      <c r="CN5" s="132"/>
      <c r="CO5" s="132"/>
      <c r="CP5" s="132"/>
      <c r="CQ5" s="132"/>
      <c r="CR5" s="132"/>
      <c r="CS5" s="132"/>
      <c r="CT5" s="132"/>
      <c r="CU5" s="132"/>
      <c r="CV5" s="132"/>
      <c r="CW5" s="132"/>
      <c r="CX5" s="132"/>
      <c r="CY5" s="132"/>
      <c r="CZ5" s="132"/>
      <c r="DA5" s="132"/>
      <c r="DB5" s="132"/>
      <c r="DC5" s="132"/>
      <c r="DD5" s="132"/>
      <c r="DE5" s="132"/>
      <c r="DF5" s="132"/>
      <c r="DG5" s="132"/>
      <c r="DH5" s="132"/>
      <c r="DI5" s="132"/>
      <c r="DJ5" s="132"/>
      <c r="DK5" s="132"/>
      <c r="DL5" s="132"/>
      <c r="DM5" s="132"/>
      <c r="DN5" s="132"/>
      <c r="DO5" s="132"/>
      <c r="DP5" s="132"/>
      <c r="DQ5" s="132"/>
      <c r="DR5" s="132"/>
      <c r="DS5" s="132"/>
      <c r="DT5" s="132"/>
      <c r="DU5" s="132"/>
      <c r="DV5" s="132"/>
      <c r="DW5" s="132"/>
      <c r="DX5" s="132"/>
      <c r="DY5" s="132"/>
      <c r="DZ5" s="132"/>
      <c r="EA5" s="132"/>
      <c r="EB5" s="132"/>
      <c r="EC5" s="132"/>
      <c r="ED5" s="132"/>
      <c r="EE5" s="132"/>
      <c r="EF5" s="132"/>
      <c r="EG5" s="132"/>
      <c r="EH5" s="132"/>
      <c r="EI5" s="132"/>
      <c r="EJ5" s="132"/>
      <c r="EK5" s="132"/>
      <c r="EL5" s="132"/>
      <c r="EM5" s="132"/>
      <c r="EN5" s="132"/>
      <c r="EO5" s="132"/>
      <c r="EP5" s="132"/>
      <c r="EQ5" s="132"/>
      <c r="ER5" s="132"/>
      <c r="ES5" s="132"/>
      <c r="ET5" s="132"/>
      <c r="EU5" s="132"/>
      <c r="EV5" s="132"/>
      <c r="EW5" s="132"/>
      <c r="EX5" s="132"/>
      <c r="EY5" s="132"/>
      <c r="EZ5" s="132"/>
      <c r="FA5" s="132"/>
      <c r="FB5" s="132"/>
      <c r="FC5" s="132"/>
      <c r="FD5" s="132"/>
      <c r="FE5" s="132"/>
      <c r="FF5" s="132"/>
      <c r="FG5" s="132"/>
      <c r="FH5" s="132"/>
      <c r="FI5" s="132"/>
      <c r="FJ5" s="132"/>
      <c r="FK5" s="133"/>
      <c r="FL5" s="137" t="s">
        <v>226</v>
      </c>
      <c r="FM5" s="138"/>
      <c r="FN5" s="138"/>
      <c r="FO5" s="138"/>
      <c r="FP5" s="138"/>
      <c r="FQ5" s="138"/>
      <c r="FR5" s="139"/>
      <c r="FS5" s="107"/>
      <c r="FT5" s="143" t="s">
        <v>477</v>
      </c>
      <c r="FU5" s="143"/>
      <c r="FV5" s="143"/>
      <c r="FW5" s="143"/>
      <c r="FX5" s="36"/>
      <c r="FY5" s="36"/>
      <c r="FZ5" s="36"/>
      <c r="GA5" s="36"/>
      <c r="GB5" s="36"/>
      <c r="GC5" s="36"/>
      <c r="GD5" s="36"/>
    </row>
    <row r="6" spans="1:311" x14ac:dyDescent="0.35">
      <c r="A6" s="22"/>
      <c r="B6" s="92"/>
      <c r="C6" s="17" t="s">
        <v>228</v>
      </c>
      <c r="D6" s="94"/>
      <c r="E6" s="17"/>
      <c r="F6" s="20"/>
      <c r="G6" s="20"/>
      <c r="H6" s="20"/>
      <c r="I6" s="129"/>
      <c r="J6" s="130"/>
      <c r="K6" s="130"/>
      <c r="L6" s="130"/>
      <c r="M6" s="130"/>
      <c r="N6" s="130"/>
      <c r="O6" s="130"/>
      <c r="P6" s="130"/>
      <c r="Q6" s="130"/>
      <c r="R6" s="130"/>
      <c r="S6" s="130"/>
      <c r="T6" s="130"/>
      <c r="U6" s="130"/>
      <c r="V6" s="130"/>
      <c r="W6" s="130"/>
      <c r="X6" s="130"/>
      <c r="Y6" s="130"/>
      <c r="Z6" s="130"/>
      <c r="AA6" s="130"/>
      <c r="AB6" s="130"/>
      <c r="AC6" s="130"/>
      <c r="AD6" s="130"/>
      <c r="AE6" s="130"/>
      <c r="AF6" s="130"/>
      <c r="AG6" s="130"/>
      <c r="AH6" s="130"/>
      <c r="AI6" s="130"/>
      <c r="AJ6" s="130"/>
      <c r="AK6" s="130"/>
      <c r="AL6" s="130"/>
      <c r="AM6" s="130"/>
      <c r="AN6" s="130"/>
      <c r="AO6" s="130"/>
      <c r="AP6" s="130"/>
      <c r="AQ6" s="130"/>
      <c r="AR6" s="130"/>
      <c r="AS6" s="130"/>
      <c r="AT6" s="130"/>
      <c r="AU6" s="130"/>
      <c r="AV6" s="130"/>
      <c r="AW6" s="130"/>
      <c r="AX6" s="130"/>
      <c r="AY6" s="130"/>
      <c r="AZ6" s="130"/>
      <c r="BA6" s="130"/>
      <c r="BB6" s="130"/>
      <c r="BC6" s="130"/>
      <c r="BD6" s="130"/>
      <c r="BE6" s="130"/>
      <c r="BF6" s="130"/>
      <c r="BG6" s="130"/>
      <c r="BH6" s="130"/>
      <c r="BI6" s="134"/>
      <c r="BJ6" s="135"/>
      <c r="BK6" s="135"/>
      <c r="BL6" s="135"/>
      <c r="BM6" s="135"/>
      <c r="BN6" s="135"/>
      <c r="BO6" s="135"/>
      <c r="BP6" s="135"/>
      <c r="BQ6" s="135"/>
      <c r="BR6" s="135"/>
      <c r="BS6" s="135"/>
      <c r="BT6" s="135"/>
      <c r="BU6" s="135"/>
      <c r="BV6" s="135"/>
      <c r="BW6" s="135"/>
      <c r="BX6" s="135"/>
      <c r="BY6" s="135"/>
      <c r="BZ6" s="135"/>
      <c r="CA6" s="135"/>
      <c r="CB6" s="135"/>
      <c r="CC6" s="135"/>
      <c r="CD6" s="135"/>
      <c r="CE6" s="135"/>
      <c r="CF6" s="135"/>
      <c r="CG6" s="135"/>
      <c r="CH6" s="135"/>
      <c r="CI6" s="135"/>
      <c r="CJ6" s="135"/>
      <c r="CK6" s="135"/>
      <c r="CL6" s="135"/>
      <c r="CM6" s="135"/>
      <c r="CN6" s="135"/>
      <c r="CO6" s="135"/>
      <c r="CP6" s="135"/>
      <c r="CQ6" s="135"/>
      <c r="CR6" s="135"/>
      <c r="CS6" s="135"/>
      <c r="CT6" s="135"/>
      <c r="CU6" s="135"/>
      <c r="CV6" s="135"/>
      <c r="CW6" s="135"/>
      <c r="CX6" s="135"/>
      <c r="CY6" s="135"/>
      <c r="CZ6" s="135"/>
      <c r="DA6" s="135"/>
      <c r="DB6" s="135"/>
      <c r="DC6" s="135"/>
      <c r="DD6" s="135"/>
      <c r="DE6" s="135"/>
      <c r="DF6" s="135"/>
      <c r="DG6" s="135"/>
      <c r="DH6" s="135"/>
      <c r="DI6" s="135"/>
      <c r="DJ6" s="135"/>
      <c r="DK6" s="135"/>
      <c r="DL6" s="135"/>
      <c r="DM6" s="135"/>
      <c r="DN6" s="135"/>
      <c r="DO6" s="135"/>
      <c r="DP6" s="135"/>
      <c r="DQ6" s="135"/>
      <c r="DR6" s="135"/>
      <c r="DS6" s="135"/>
      <c r="DT6" s="135"/>
      <c r="DU6" s="135"/>
      <c r="DV6" s="135"/>
      <c r="DW6" s="135"/>
      <c r="DX6" s="135"/>
      <c r="DY6" s="135"/>
      <c r="DZ6" s="135"/>
      <c r="EA6" s="135"/>
      <c r="EB6" s="135"/>
      <c r="EC6" s="135"/>
      <c r="ED6" s="135"/>
      <c r="EE6" s="135"/>
      <c r="EF6" s="135"/>
      <c r="EG6" s="135"/>
      <c r="EH6" s="135"/>
      <c r="EI6" s="135"/>
      <c r="EJ6" s="135"/>
      <c r="EK6" s="135"/>
      <c r="EL6" s="135"/>
      <c r="EM6" s="135"/>
      <c r="EN6" s="135"/>
      <c r="EO6" s="135"/>
      <c r="EP6" s="135"/>
      <c r="EQ6" s="135"/>
      <c r="ER6" s="135"/>
      <c r="ES6" s="135"/>
      <c r="ET6" s="135"/>
      <c r="EU6" s="135"/>
      <c r="EV6" s="135"/>
      <c r="EW6" s="135"/>
      <c r="EX6" s="135"/>
      <c r="EY6" s="135"/>
      <c r="EZ6" s="135"/>
      <c r="FA6" s="135"/>
      <c r="FB6" s="135"/>
      <c r="FC6" s="135"/>
      <c r="FD6" s="135"/>
      <c r="FE6" s="135"/>
      <c r="FF6" s="135"/>
      <c r="FG6" s="135"/>
      <c r="FH6" s="135"/>
      <c r="FI6" s="135"/>
      <c r="FJ6" s="135"/>
      <c r="FK6" s="136"/>
      <c r="FL6" s="140"/>
      <c r="FM6" s="141"/>
      <c r="FN6" s="141"/>
      <c r="FO6" s="141"/>
      <c r="FP6" s="141"/>
      <c r="FQ6" s="141"/>
      <c r="FR6" s="142"/>
      <c r="FS6" s="108"/>
      <c r="FT6" s="143"/>
      <c r="FU6" s="143"/>
      <c r="FV6" s="143"/>
      <c r="FW6" s="143"/>
      <c r="FX6" s="36"/>
      <c r="FY6" s="36"/>
      <c r="FZ6" s="36"/>
      <c r="GA6" s="36"/>
      <c r="GB6" s="36"/>
      <c r="GC6" s="36"/>
      <c r="GD6" s="36"/>
    </row>
    <row r="7" spans="1:311" s="23" customFormat="1" ht="38.25" customHeight="1" x14ac:dyDescent="0.35">
      <c r="A7" s="144" t="s">
        <v>229</v>
      </c>
      <c r="B7" s="144"/>
      <c r="C7" s="144"/>
      <c r="D7" s="144"/>
      <c r="E7" s="144"/>
      <c r="F7" s="144"/>
      <c r="G7" s="144"/>
      <c r="H7" s="52"/>
      <c r="I7" s="37" t="s">
        <v>230</v>
      </c>
      <c r="J7" s="145" t="s">
        <v>231</v>
      </c>
      <c r="K7" s="145"/>
      <c r="L7" s="145"/>
      <c r="M7" s="146" t="s">
        <v>232</v>
      </c>
      <c r="N7" s="146"/>
      <c r="O7" s="146"/>
      <c r="P7" s="146" t="s">
        <v>233</v>
      </c>
      <c r="Q7" s="146"/>
      <c r="R7" s="147"/>
      <c r="S7" s="145" t="s">
        <v>234</v>
      </c>
      <c r="T7" s="145"/>
      <c r="U7" s="145"/>
      <c r="V7" s="145" t="s">
        <v>235</v>
      </c>
      <c r="W7" s="145" t="s">
        <v>235</v>
      </c>
      <c r="X7" s="145"/>
      <c r="Y7" s="145" t="s">
        <v>236</v>
      </c>
      <c r="Z7" s="145" t="s">
        <v>236</v>
      </c>
      <c r="AA7" s="148"/>
      <c r="AB7" s="145" t="s">
        <v>237</v>
      </c>
      <c r="AC7" s="145"/>
      <c r="AD7" s="145"/>
      <c r="AE7" s="145" t="s">
        <v>238</v>
      </c>
      <c r="AF7" s="145" t="s">
        <v>239</v>
      </c>
      <c r="AG7" s="145"/>
      <c r="AH7" s="149" t="s">
        <v>240</v>
      </c>
      <c r="AI7" s="149" t="s">
        <v>241</v>
      </c>
      <c r="AJ7" s="150"/>
      <c r="AK7" s="145" t="s">
        <v>242</v>
      </c>
      <c r="AL7" s="145" t="s">
        <v>243</v>
      </c>
      <c r="AM7" s="145"/>
      <c r="AN7" s="145" t="s">
        <v>244</v>
      </c>
      <c r="AO7" s="145" t="s">
        <v>244</v>
      </c>
      <c r="AP7" s="145"/>
      <c r="AQ7" s="149" t="s">
        <v>245</v>
      </c>
      <c r="AR7" s="149" t="s">
        <v>245</v>
      </c>
      <c r="AS7" s="150"/>
      <c r="AT7" s="145" t="s">
        <v>246</v>
      </c>
      <c r="AU7" s="145" t="s">
        <v>246</v>
      </c>
      <c r="AV7" s="145"/>
      <c r="AW7" s="145" t="s">
        <v>247</v>
      </c>
      <c r="AX7" s="145" t="s">
        <v>247</v>
      </c>
      <c r="AY7" s="145"/>
      <c r="AZ7" s="151" t="s">
        <v>248</v>
      </c>
      <c r="BA7" s="151"/>
      <c r="BB7" s="151"/>
      <c r="BC7" s="149" t="s">
        <v>249</v>
      </c>
      <c r="BD7" s="149"/>
      <c r="BE7" s="150"/>
      <c r="BF7" s="145" t="s">
        <v>250</v>
      </c>
      <c r="BG7" s="145" t="s">
        <v>250</v>
      </c>
      <c r="BH7" s="145"/>
      <c r="BI7" s="145" t="s">
        <v>251</v>
      </c>
      <c r="BJ7" s="145" t="s">
        <v>251</v>
      </c>
      <c r="BK7" s="145"/>
      <c r="BL7" s="145" t="s">
        <v>252</v>
      </c>
      <c r="BM7" s="145" t="s">
        <v>252</v>
      </c>
      <c r="BN7" s="145"/>
      <c r="BO7" s="145" t="s">
        <v>253</v>
      </c>
      <c r="BP7" s="145" t="s">
        <v>253</v>
      </c>
      <c r="BQ7" s="145"/>
      <c r="BR7" s="145" t="s">
        <v>254</v>
      </c>
      <c r="BS7" s="145" t="s">
        <v>254</v>
      </c>
      <c r="BT7" s="145"/>
      <c r="BU7" s="145" t="s">
        <v>255</v>
      </c>
      <c r="BV7" s="145" t="s">
        <v>255</v>
      </c>
      <c r="BW7" s="145"/>
      <c r="BX7" s="145" t="s">
        <v>256</v>
      </c>
      <c r="BY7" s="145" t="s">
        <v>256</v>
      </c>
      <c r="BZ7" s="145"/>
      <c r="CA7" s="145" t="s">
        <v>257</v>
      </c>
      <c r="CB7" s="145" t="s">
        <v>257</v>
      </c>
      <c r="CC7" s="145"/>
      <c r="CD7" s="145" t="s">
        <v>258</v>
      </c>
      <c r="CE7" s="145" t="s">
        <v>258</v>
      </c>
      <c r="CF7" s="145"/>
      <c r="CG7" s="145" t="s">
        <v>259</v>
      </c>
      <c r="CH7" s="145" t="s">
        <v>259</v>
      </c>
      <c r="CI7" s="145"/>
      <c r="CJ7" s="145" t="s">
        <v>260</v>
      </c>
      <c r="CK7" s="145" t="s">
        <v>260</v>
      </c>
      <c r="CL7" s="145"/>
      <c r="CM7" s="152" t="s">
        <v>261</v>
      </c>
      <c r="CN7" s="152"/>
      <c r="CO7" s="153"/>
      <c r="CP7" s="153" t="s">
        <v>262</v>
      </c>
      <c r="CQ7" s="154"/>
      <c r="CR7" s="154"/>
      <c r="CS7" s="155"/>
      <c r="CT7" s="149" t="s">
        <v>263</v>
      </c>
      <c r="CU7" s="149"/>
      <c r="CV7" s="150"/>
      <c r="CW7" s="156" t="s">
        <v>264</v>
      </c>
      <c r="CX7" s="156"/>
      <c r="CY7" s="156"/>
      <c r="CZ7" s="145" t="s">
        <v>265</v>
      </c>
      <c r="DA7" s="145"/>
      <c r="DB7" s="145"/>
      <c r="DC7" s="157" t="s">
        <v>266</v>
      </c>
      <c r="DD7" s="157"/>
      <c r="DE7" s="157"/>
      <c r="DF7" s="158" t="s">
        <v>267</v>
      </c>
      <c r="DG7" s="158"/>
      <c r="DH7" s="158"/>
      <c r="DI7" s="159" t="s">
        <v>268</v>
      </c>
      <c r="DJ7" s="160"/>
      <c r="DK7" s="160"/>
      <c r="DL7" s="161"/>
      <c r="DM7" s="156" t="s">
        <v>269</v>
      </c>
      <c r="DN7" s="156"/>
      <c r="DO7" s="156"/>
      <c r="DP7" s="145" t="s">
        <v>270</v>
      </c>
      <c r="DQ7" s="145"/>
      <c r="DR7" s="145"/>
      <c r="DS7" s="162" t="s">
        <v>271</v>
      </c>
      <c r="DT7" s="163"/>
      <c r="DU7" s="163"/>
      <c r="DV7" s="164"/>
      <c r="DW7" s="162" t="s">
        <v>272</v>
      </c>
      <c r="DX7" s="163"/>
      <c r="DY7" s="163"/>
      <c r="DZ7" s="164"/>
      <c r="EA7" s="162" t="s">
        <v>273</v>
      </c>
      <c r="EB7" s="163"/>
      <c r="EC7" s="163"/>
      <c r="ED7" s="164"/>
      <c r="EE7" s="146" t="s">
        <v>274</v>
      </c>
      <c r="EF7" s="146"/>
      <c r="EG7" s="146"/>
      <c r="EH7" s="146" t="s">
        <v>275</v>
      </c>
      <c r="EI7" s="146"/>
      <c r="EJ7" s="147"/>
      <c r="EK7" s="156" t="s">
        <v>276</v>
      </c>
      <c r="EL7" s="156"/>
      <c r="EM7" s="156"/>
      <c r="EN7" s="145" t="s">
        <v>277</v>
      </c>
      <c r="EO7" s="145"/>
      <c r="EP7" s="145"/>
      <c r="EQ7" s="145" t="s">
        <v>278</v>
      </c>
      <c r="ER7" s="145"/>
      <c r="ES7" s="145"/>
      <c r="ET7" s="145" t="s">
        <v>279</v>
      </c>
      <c r="EU7" s="145"/>
      <c r="EV7" s="145"/>
      <c r="EW7" s="145" t="s">
        <v>280</v>
      </c>
      <c r="EX7" s="145"/>
      <c r="EY7" s="145"/>
      <c r="EZ7" s="167" t="s">
        <v>281</v>
      </c>
      <c r="FA7" s="167" t="s">
        <v>281</v>
      </c>
      <c r="FB7" s="167"/>
      <c r="FC7" s="145" t="s">
        <v>282</v>
      </c>
      <c r="FD7" s="145"/>
      <c r="FE7" s="145"/>
      <c r="FF7" s="148" t="s">
        <v>283</v>
      </c>
      <c r="FG7" s="168"/>
      <c r="FH7" s="168"/>
      <c r="FI7" s="165" t="s">
        <v>284</v>
      </c>
      <c r="FJ7" s="165"/>
      <c r="FK7" s="165"/>
      <c r="FL7" s="149" t="s">
        <v>285</v>
      </c>
      <c r="FM7" s="149"/>
      <c r="FN7" s="149"/>
      <c r="FO7" s="166" t="s">
        <v>286</v>
      </c>
      <c r="FP7" s="166"/>
      <c r="FQ7" s="166"/>
      <c r="FR7" s="75" t="s">
        <v>287</v>
      </c>
      <c r="FS7" s="75" t="s">
        <v>288</v>
      </c>
      <c r="FT7" s="143"/>
      <c r="FU7" s="143"/>
      <c r="FV7" s="143"/>
      <c r="FW7" s="143"/>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row>
    <row r="8" spans="1:311" s="3" customFormat="1" ht="115.9" customHeight="1" x14ac:dyDescent="0.35">
      <c r="A8" s="33" t="s">
        <v>3</v>
      </c>
      <c r="B8" s="33" t="s">
        <v>36</v>
      </c>
      <c r="C8" s="33" t="s">
        <v>289</v>
      </c>
      <c r="D8" s="35" t="s">
        <v>290</v>
      </c>
      <c r="E8" s="33" t="s">
        <v>291</v>
      </c>
      <c r="F8" s="34" t="s">
        <v>292</v>
      </c>
      <c r="G8" s="34" t="s">
        <v>293</v>
      </c>
      <c r="H8" s="53" t="s">
        <v>294</v>
      </c>
      <c r="I8" s="33" t="s">
        <v>295</v>
      </c>
      <c r="J8" s="34" t="s">
        <v>296</v>
      </c>
      <c r="K8" s="34" t="s">
        <v>297</v>
      </c>
      <c r="L8" s="34" t="s">
        <v>298</v>
      </c>
      <c r="M8" s="33" t="s">
        <v>299</v>
      </c>
      <c r="N8" s="33" t="s">
        <v>300</v>
      </c>
      <c r="O8" s="33" t="s">
        <v>301</v>
      </c>
      <c r="P8" s="33" t="s">
        <v>302</v>
      </c>
      <c r="Q8" s="33" t="s">
        <v>303</v>
      </c>
      <c r="R8" s="33" t="s">
        <v>304</v>
      </c>
      <c r="S8" s="34" t="s">
        <v>305</v>
      </c>
      <c r="T8" s="34" t="s">
        <v>306</v>
      </c>
      <c r="U8" s="34" t="s">
        <v>307</v>
      </c>
      <c r="V8" s="34" t="s">
        <v>308</v>
      </c>
      <c r="W8" s="34" t="s">
        <v>309</v>
      </c>
      <c r="X8" s="34" t="s">
        <v>310</v>
      </c>
      <c r="Y8" s="34" t="s">
        <v>311</v>
      </c>
      <c r="Z8" s="34" t="s">
        <v>312</v>
      </c>
      <c r="AA8" s="34" t="s">
        <v>313</v>
      </c>
      <c r="AB8" s="34" t="s">
        <v>314</v>
      </c>
      <c r="AC8" s="34" t="s">
        <v>315</v>
      </c>
      <c r="AD8" s="34" t="s">
        <v>316</v>
      </c>
      <c r="AE8" s="34" t="s">
        <v>317</v>
      </c>
      <c r="AF8" s="34" t="s">
        <v>318</v>
      </c>
      <c r="AG8" s="34" t="s">
        <v>319</v>
      </c>
      <c r="AH8" s="33" t="s">
        <v>320</v>
      </c>
      <c r="AI8" s="33" t="s">
        <v>321</v>
      </c>
      <c r="AJ8" s="33" t="s">
        <v>322</v>
      </c>
      <c r="AK8" s="34" t="s">
        <v>323</v>
      </c>
      <c r="AL8" s="34" t="s">
        <v>324</v>
      </c>
      <c r="AM8" s="34" t="s">
        <v>325</v>
      </c>
      <c r="AN8" s="34" t="s">
        <v>326</v>
      </c>
      <c r="AO8" s="34" t="s">
        <v>327</v>
      </c>
      <c r="AP8" s="34" t="s">
        <v>328</v>
      </c>
      <c r="AQ8" s="33" t="s">
        <v>329</v>
      </c>
      <c r="AR8" s="33" t="s">
        <v>330</v>
      </c>
      <c r="AS8" s="33" t="s">
        <v>331</v>
      </c>
      <c r="AT8" s="34" t="s">
        <v>332</v>
      </c>
      <c r="AU8" s="34" t="s">
        <v>333</v>
      </c>
      <c r="AV8" s="34" t="s">
        <v>334</v>
      </c>
      <c r="AW8" s="34" t="s">
        <v>335</v>
      </c>
      <c r="AX8" s="34" t="s">
        <v>336</v>
      </c>
      <c r="AY8" s="34" t="s">
        <v>337</v>
      </c>
      <c r="AZ8" s="34" t="s">
        <v>338</v>
      </c>
      <c r="BA8" s="34" t="s">
        <v>339</v>
      </c>
      <c r="BB8" s="34" t="s">
        <v>340</v>
      </c>
      <c r="BC8" s="33" t="s">
        <v>341</v>
      </c>
      <c r="BD8" s="33" t="s">
        <v>342</v>
      </c>
      <c r="BE8" s="33" t="s">
        <v>343</v>
      </c>
      <c r="BF8" s="34" t="s">
        <v>344</v>
      </c>
      <c r="BG8" s="34" t="s">
        <v>345</v>
      </c>
      <c r="BH8" s="34" t="s">
        <v>346</v>
      </c>
      <c r="BI8" s="34" t="s">
        <v>347</v>
      </c>
      <c r="BJ8" s="34" t="s">
        <v>348</v>
      </c>
      <c r="BK8" s="34" t="s">
        <v>349</v>
      </c>
      <c r="BL8" s="34" t="s">
        <v>350</v>
      </c>
      <c r="BM8" s="34" t="s">
        <v>351</v>
      </c>
      <c r="BN8" s="34" t="s">
        <v>352</v>
      </c>
      <c r="BO8" s="34" t="s">
        <v>353</v>
      </c>
      <c r="BP8" s="34" t="s">
        <v>354</v>
      </c>
      <c r="BQ8" s="34" t="s">
        <v>355</v>
      </c>
      <c r="BR8" s="34" t="s">
        <v>356</v>
      </c>
      <c r="BS8" s="34" t="s">
        <v>357</v>
      </c>
      <c r="BT8" s="34" t="s">
        <v>358</v>
      </c>
      <c r="BU8" s="34" t="s">
        <v>359</v>
      </c>
      <c r="BV8" s="34" t="s">
        <v>360</v>
      </c>
      <c r="BW8" s="34" t="s">
        <v>361</v>
      </c>
      <c r="BX8" s="34" t="s">
        <v>362</v>
      </c>
      <c r="BY8" s="34" t="s">
        <v>362</v>
      </c>
      <c r="BZ8" s="34" t="s">
        <v>363</v>
      </c>
      <c r="CA8" s="34" t="s">
        <v>364</v>
      </c>
      <c r="CB8" s="34" t="s">
        <v>364</v>
      </c>
      <c r="CC8" s="34" t="s">
        <v>365</v>
      </c>
      <c r="CD8" s="34" t="s">
        <v>366</v>
      </c>
      <c r="CE8" s="34" t="s">
        <v>367</v>
      </c>
      <c r="CF8" s="34" t="s">
        <v>368</v>
      </c>
      <c r="CG8" s="34" t="s">
        <v>369</v>
      </c>
      <c r="CH8" s="34" t="s">
        <v>370</v>
      </c>
      <c r="CI8" s="34" t="s">
        <v>371</v>
      </c>
      <c r="CJ8" s="34" t="s">
        <v>372</v>
      </c>
      <c r="CK8" s="34" t="s">
        <v>373</v>
      </c>
      <c r="CL8" s="34" t="s">
        <v>374</v>
      </c>
      <c r="CM8" s="33" t="s">
        <v>375</v>
      </c>
      <c r="CN8" s="33" t="s">
        <v>376</v>
      </c>
      <c r="CO8" s="33" t="s">
        <v>377</v>
      </c>
      <c r="CP8" s="33" t="s">
        <v>378</v>
      </c>
      <c r="CQ8" s="33" t="s">
        <v>379</v>
      </c>
      <c r="CR8" s="33" t="s">
        <v>380</v>
      </c>
      <c r="CS8" s="78" t="s">
        <v>381</v>
      </c>
      <c r="CT8" s="33" t="s">
        <v>382</v>
      </c>
      <c r="CU8" s="33" t="s">
        <v>383</v>
      </c>
      <c r="CV8" s="33" t="s">
        <v>384</v>
      </c>
      <c r="CW8" s="34" t="s">
        <v>385</v>
      </c>
      <c r="CX8" s="34" t="s">
        <v>386</v>
      </c>
      <c r="CY8" s="34" t="s">
        <v>387</v>
      </c>
      <c r="CZ8" s="34" t="s">
        <v>388</v>
      </c>
      <c r="DA8" s="34" t="s">
        <v>389</v>
      </c>
      <c r="DB8" s="34" t="s">
        <v>390</v>
      </c>
      <c r="DC8" s="34" t="s">
        <v>391</v>
      </c>
      <c r="DD8" s="34" t="s">
        <v>392</v>
      </c>
      <c r="DE8" s="34" t="s">
        <v>393</v>
      </c>
      <c r="DF8" s="33" t="s">
        <v>394</v>
      </c>
      <c r="DG8" s="33" t="s">
        <v>395</v>
      </c>
      <c r="DH8" s="33" t="s">
        <v>396</v>
      </c>
      <c r="DI8" s="34" t="s">
        <v>397</v>
      </c>
      <c r="DJ8" s="34" t="s">
        <v>398</v>
      </c>
      <c r="DK8" s="34" t="s">
        <v>399</v>
      </c>
      <c r="DL8" s="34" t="s">
        <v>400</v>
      </c>
      <c r="DM8" s="34" t="s">
        <v>401</v>
      </c>
      <c r="DN8" s="34" t="s">
        <v>402</v>
      </c>
      <c r="DO8" s="34" t="s">
        <v>403</v>
      </c>
      <c r="DP8" s="34" t="s">
        <v>404</v>
      </c>
      <c r="DQ8" s="34" t="s">
        <v>405</v>
      </c>
      <c r="DR8" s="34" t="s">
        <v>406</v>
      </c>
      <c r="DS8" s="34" t="s">
        <v>407</v>
      </c>
      <c r="DT8" s="34" t="s">
        <v>408</v>
      </c>
      <c r="DU8" s="34" t="s">
        <v>409</v>
      </c>
      <c r="DV8" s="34" t="s">
        <v>410</v>
      </c>
      <c r="DW8" s="34" t="s">
        <v>411</v>
      </c>
      <c r="DX8" s="34" t="s">
        <v>412</v>
      </c>
      <c r="DY8" s="34" t="s">
        <v>413</v>
      </c>
      <c r="DZ8" s="34" t="s">
        <v>414</v>
      </c>
      <c r="EA8" s="34" t="s">
        <v>415</v>
      </c>
      <c r="EB8" s="34" t="s">
        <v>416</v>
      </c>
      <c r="EC8" s="34" t="s">
        <v>417</v>
      </c>
      <c r="ED8" s="34" t="s">
        <v>418</v>
      </c>
      <c r="EE8" s="33" t="s">
        <v>419</v>
      </c>
      <c r="EF8" s="33" t="s">
        <v>420</v>
      </c>
      <c r="EG8" s="33" t="s">
        <v>421</v>
      </c>
      <c r="EH8" s="33" t="s">
        <v>422</v>
      </c>
      <c r="EI8" s="33" t="s">
        <v>423</v>
      </c>
      <c r="EJ8" s="33" t="s">
        <v>424</v>
      </c>
      <c r="EK8" s="34" t="s">
        <v>425</v>
      </c>
      <c r="EL8" s="34" t="s">
        <v>426</v>
      </c>
      <c r="EM8" s="34" t="s">
        <v>427</v>
      </c>
      <c r="EN8" s="34" t="s">
        <v>428</v>
      </c>
      <c r="EO8" s="34" t="s">
        <v>429</v>
      </c>
      <c r="EP8" s="34" t="s">
        <v>430</v>
      </c>
      <c r="EQ8" s="34" t="s">
        <v>431</v>
      </c>
      <c r="ER8" s="34" t="s">
        <v>432</v>
      </c>
      <c r="ES8" s="34" t="s">
        <v>433</v>
      </c>
      <c r="ET8" s="34" t="s">
        <v>434</v>
      </c>
      <c r="EU8" s="34" t="s">
        <v>435</v>
      </c>
      <c r="EV8" s="34" t="s">
        <v>436</v>
      </c>
      <c r="EW8" s="34" t="s">
        <v>437</v>
      </c>
      <c r="EX8" s="34" t="s">
        <v>438</v>
      </c>
      <c r="EY8" s="34" t="s">
        <v>439</v>
      </c>
      <c r="EZ8" s="33" t="s">
        <v>440</v>
      </c>
      <c r="FA8" s="33" t="s">
        <v>441</v>
      </c>
      <c r="FB8" s="33" t="s">
        <v>442</v>
      </c>
      <c r="FC8" s="34" t="s">
        <v>443</v>
      </c>
      <c r="FD8" s="34" t="s">
        <v>444</v>
      </c>
      <c r="FE8" s="34" t="s">
        <v>445</v>
      </c>
      <c r="FF8" s="34" t="s">
        <v>446</v>
      </c>
      <c r="FG8" s="34" t="s">
        <v>447</v>
      </c>
      <c r="FH8" s="34" t="s">
        <v>448</v>
      </c>
      <c r="FI8" s="34" t="s">
        <v>449</v>
      </c>
      <c r="FJ8" s="34" t="s">
        <v>450</v>
      </c>
      <c r="FK8" s="34" t="s">
        <v>451</v>
      </c>
      <c r="FL8" s="33" t="s">
        <v>452</v>
      </c>
      <c r="FM8" s="33" t="s">
        <v>453</v>
      </c>
      <c r="FN8" s="33" t="s">
        <v>454</v>
      </c>
      <c r="FO8" s="33" t="s">
        <v>455</v>
      </c>
      <c r="FP8" s="33" t="s">
        <v>456</v>
      </c>
      <c r="FQ8" s="33" t="s">
        <v>457</v>
      </c>
      <c r="FR8" s="78" t="s">
        <v>287</v>
      </c>
      <c r="FS8" s="78" t="s">
        <v>458</v>
      </c>
      <c r="FT8" s="35" t="s">
        <v>459</v>
      </c>
      <c r="FU8" s="35" t="s">
        <v>460</v>
      </c>
      <c r="FV8" s="35" t="s">
        <v>461</v>
      </c>
      <c r="FW8" s="35" t="s">
        <v>462</v>
      </c>
    </row>
    <row r="9" spans="1:311" outlineLevel="1" x14ac:dyDescent="0.35">
      <c r="A9" s="23" t="s">
        <v>4</v>
      </c>
      <c r="B9" s="23">
        <v>107551</v>
      </c>
      <c r="C9" s="114" t="s">
        <v>478</v>
      </c>
      <c r="D9" s="95"/>
      <c r="E9" s="24"/>
      <c r="F9" s="25" t="s">
        <v>463</v>
      </c>
      <c r="G9" s="26"/>
      <c r="H9" s="26"/>
      <c r="I9" s="27"/>
      <c r="J9" s="27"/>
      <c r="K9" s="27"/>
      <c r="L9" s="27"/>
      <c r="M9" s="4">
        <v>27</v>
      </c>
      <c r="N9" s="4">
        <v>27</v>
      </c>
      <c r="O9" s="27"/>
      <c r="P9" s="4">
        <v>0</v>
      </c>
      <c r="Q9" s="4">
        <v>0</v>
      </c>
      <c r="R9" s="27"/>
      <c r="S9" s="27"/>
      <c r="T9" s="27"/>
      <c r="U9" s="27"/>
      <c r="V9" s="4">
        <v>30</v>
      </c>
      <c r="W9" s="4">
        <v>30</v>
      </c>
      <c r="X9" s="27"/>
      <c r="Y9" s="4">
        <v>70</v>
      </c>
      <c r="Z9" s="4">
        <v>70</v>
      </c>
      <c r="AA9" s="27"/>
      <c r="AB9" s="4">
        <v>0</v>
      </c>
      <c r="AC9" s="4">
        <v>0</v>
      </c>
      <c r="AD9" s="27"/>
      <c r="AE9" s="4">
        <v>75</v>
      </c>
      <c r="AF9" s="4">
        <v>75</v>
      </c>
      <c r="AG9" s="27"/>
      <c r="AH9" s="4">
        <v>5</v>
      </c>
      <c r="AI9" s="4">
        <v>5</v>
      </c>
      <c r="AJ9" s="27"/>
      <c r="AK9" s="4">
        <v>20</v>
      </c>
      <c r="AL9" s="4">
        <v>20</v>
      </c>
      <c r="AM9" s="27"/>
      <c r="AN9" s="4">
        <v>0</v>
      </c>
      <c r="AO9" s="4">
        <v>0</v>
      </c>
      <c r="AP9" s="27"/>
      <c r="AQ9" s="4">
        <v>20</v>
      </c>
      <c r="AR9" s="4">
        <v>20</v>
      </c>
      <c r="AS9" s="27"/>
      <c r="AT9" s="4">
        <v>5</v>
      </c>
      <c r="AU9" s="4">
        <v>5</v>
      </c>
      <c r="AV9" s="27"/>
      <c r="AW9" s="4">
        <v>10</v>
      </c>
      <c r="AX9" s="4">
        <v>10</v>
      </c>
      <c r="AY9" s="27"/>
      <c r="AZ9" s="4">
        <v>30</v>
      </c>
      <c r="BA9" s="4">
        <v>30</v>
      </c>
      <c r="BB9" s="27"/>
      <c r="BC9" s="4">
        <v>5</v>
      </c>
      <c r="BD9" s="4">
        <v>5</v>
      </c>
      <c r="BE9" s="27"/>
      <c r="BF9" s="4">
        <v>5</v>
      </c>
      <c r="BG9" s="4">
        <v>5</v>
      </c>
      <c r="BH9" s="27"/>
      <c r="BI9" s="4">
        <v>5</v>
      </c>
      <c r="BJ9" s="4">
        <v>5</v>
      </c>
      <c r="BK9" s="27"/>
      <c r="BL9" s="27"/>
      <c r="BM9" s="27"/>
      <c r="BN9" s="27"/>
      <c r="BO9" s="27"/>
      <c r="BP9" s="27"/>
      <c r="BQ9" s="27"/>
      <c r="BR9" s="27"/>
      <c r="BS9" s="27"/>
      <c r="BT9" s="27"/>
      <c r="BU9" s="27"/>
      <c r="BV9" s="27"/>
      <c r="BW9" s="27"/>
      <c r="BX9" s="27"/>
      <c r="BY9" s="27"/>
      <c r="BZ9" s="27"/>
      <c r="CA9" s="27"/>
      <c r="CB9" s="27"/>
      <c r="CC9" s="27"/>
      <c r="CD9" s="27"/>
      <c r="CE9" s="27"/>
      <c r="CF9" s="27"/>
      <c r="CG9" s="27"/>
      <c r="CH9" s="27"/>
      <c r="CI9" s="27"/>
      <c r="CJ9" s="27"/>
      <c r="CK9" s="27"/>
      <c r="CL9" s="27"/>
      <c r="CM9" s="4">
        <v>3</v>
      </c>
      <c r="CN9" s="4">
        <v>3</v>
      </c>
      <c r="CO9" s="27"/>
      <c r="CP9" s="4">
        <v>5</v>
      </c>
      <c r="CQ9" s="4">
        <v>5</v>
      </c>
      <c r="CR9" s="27"/>
      <c r="CS9" s="27"/>
      <c r="CT9" s="5">
        <v>120</v>
      </c>
      <c r="CU9" s="5">
        <v>120</v>
      </c>
      <c r="CV9" s="27"/>
      <c r="CW9" s="5">
        <v>10</v>
      </c>
      <c r="CX9" s="5">
        <v>10</v>
      </c>
      <c r="CY9" s="27"/>
      <c r="CZ9" s="5">
        <v>0</v>
      </c>
      <c r="DA9" s="5">
        <v>0</v>
      </c>
      <c r="DB9" s="27"/>
      <c r="DC9" s="31"/>
      <c r="DD9" s="31"/>
      <c r="DE9" s="31"/>
      <c r="DF9" s="4">
        <v>20</v>
      </c>
      <c r="DG9" s="4">
        <v>20</v>
      </c>
      <c r="DH9" s="27"/>
      <c r="DI9" s="89">
        <v>1</v>
      </c>
      <c r="DJ9" s="4">
        <v>20</v>
      </c>
      <c r="DK9" s="4">
        <v>20</v>
      </c>
      <c r="DL9" s="27"/>
      <c r="DM9" s="27"/>
      <c r="DN9" s="27"/>
      <c r="DO9" s="27"/>
      <c r="DP9" s="27"/>
      <c r="DQ9" s="27"/>
      <c r="DR9" s="27"/>
      <c r="DS9" s="27"/>
      <c r="DT9" s="27"/>
      <c r="DU9" s="27"/>
      <c r="DV9" s="27"/>
      <c r="DW9" s="27"/>
      <c r="DX9" s="27"/>
      <c r="DY9" s="27"/>
      <c r="DZ9" s="27"/>
      <c r="EA9" s="27"/>
      <c r="EB9" s="27"/>
      <c r="EC9" s="27"/>
      <c r="ED9" s="27"/>
      <c r="EE9" s="4">
        <v>0</v>
      </c>
      <c r="EF9" s="4">
        <v>0</v>
      </c>
      <c r="EG9" s="27"/>
      <c r="EH9" s="4">
        <v>30</v>
      </c>
      <c r="EI9" s="4">
        <v>30</v>
      </c>
      <c r="EJ9" s="27"/>
      <c r="EK9" s="27"/>
      <c r="EL9" s="27"/>
      <c r="EM9" s="27"/>
      <c r="EN9" s="27"/>
      <c r="EO9" s="27"/>
      <c r="EP9" s="27"/>
      <c r="EQ9" s="27"/>
      <c r="ER9" s="27"/>
      <c r="ES9" s="27"/>
      <c r="ET9" s="27"/>
      <c r="EU9" s="27"/>
      <c r="EV9" s="27"/>
      <c r="EW9" s="27"/>
      <c r="EX9" s="27"/>
      <c r="EY9" s="27"/>
      <c r="EZ9" s="4">
        <v>5</v>
      </c>
      <c r="FA9" s="4">
        <v>5</v>
      </c>
      <c r="FB9" s="27"/>
      <c r="FC9" s="27"/>
      <c r="FD9" s="27"/>
      <c r="FE9" s="27"/>
      <c r="FF9" s="27"/>
      <c r="FG9" s="27"/>
      <c r="FH9" s="27"/>
      <c r="FI9" s="4">
        <v>15</v>
      </c>
      <c r="FJ9" s="4">
        <v>15</v>
      </c>
      <c r="FK9" s="27"/>
      <c r="FL9" s="4">
        <v>0</v>
      </c>
      <c r="FM9" s="4">
        <v>0</v>
      </c>
      <c r="FN9" s="27"/>
      <c r="FO9" s="4">
        <v>40</v>
      </c>
      <c r="FP9" s="4">
        <v>40</v>
      </c>
      <c r="FQ9" s="27"/>
      <c r="FR9" s="27"/>
      <c r="FS9" s="109"/>
      <c r="FT9" s="54">
        <f>NETWORKDAYS($I10,FO10)</f>
        <v>552</v>
      </c>
      <c r="FU9" s="54">
        <f>NETWORKDAYS($I10,FP10)</f>
        <v>552</v>
      </c>
      <c r="FV9" s="54">
        <f>IF(FQ10="",NETWORKDAYS($I10,FP10),NETWORKDAYS($I10,FQ10))</f>
        <v>552</v>
      </c>
      <c r="FW9" s="55" t="s">
        <v>464</v>
      </c>
    </row>
    <row r="10" spans="1:311" x14ac:dyDescent="0.35">
      <c r="A10" s="23" t="s">
        <v>4</v>
      </c>
      <c r="B10" s="23">
        <v>107551</v>
      </c>
      <c r="C10" s="114" t="s">
        <v>478</v>
      </c>
      <c r="D10" s="65"/>
      <c r="E10" s="23" t="str">
        <f>IF(D10="","Unknown",IF(D10&lt;=FM10+90,"Red",IF(AND(D10&gt;FM10+90,D10&lt;=FM10+180),"Yellow",IF(AND(D10&gt;FM10+180,D10&lt;=FM10+690),"Green","Covered"))))</f>
        <v>Unknown</v>
      </c>
      <c r="F10" s="25" t="s">
        <v>466</v>
      </c>
      <c r="G10" s="26"/>
      <c r="H10" s="26" t="str">
        <f>IF(CR10="","Pre-Execution","Execution")</f>
        <v>Execution</v>
      </c>
      <c r="I10" s="13">
        <v>45463</v>
      </c>
      <c r="J10" s="28"/>
      <c r="K10" s="28"/>
      <c r="L10" s="28"/>
      <c r="M10" s="10">
        <v>45502</v>
      </c>
      <c r="N10" s="10">
        <f>WORKDAY(I10,N9)</f>
        <v>45502</v>
      </c>
      <c r="O10" s="10">
        <v>45502</v>
      </c>
      <c r="P10" s="10">
        <v>45502</v>
      </c>
      <c r="Q10" s="10">
        <f>IF(O10="",WORKDAY(N10,Q9),WORKDAY(O10,Q9))</f>
        <v>45502</v>
      </c>
      <c r="R10" s="56">
        <v>45502</v>
      </c>
      <c r="S10" s="28"/>
      <c r="T10" s="28"/>
      <c r="U10" s="28"/>
      <c r="V10" s="10">
        <v>45544</v>
      </c>
      <c r="W10" s="10">
        <f>IF(R10="",WORKDAY(Q10,W9),WORKDAY(R10,W9))</f>
        <v>45544</v>
      </c>
      <c r="X10" s="56">
        <v>45544</v>
      </c>
      <c r="Y10" s="10">
        <v>45600</v>
      </c>
      <c r="Z10" s="10">
        <f>IF(R10="",WORKDAY(Q10,Z9),WORKDAY(R10,Z9))</f>
        <v>45600</v>
      </c>
      <c r="AA10" s="56">
        <v>45600</v>
      </c>
      <c r="AB10" s="10">
        <v>45463</v>
      </c>
      <c r="AC10" s="10">
        <f>WORKDAY(I10,AC9)</f>
        <v>45463</v>
      </c>
      <c r="AD10" s="56">
        <v>45463</v>
      </c>
      <c r="AE10" s="10">
        <v>45568</v>
      </c>
      <c r="AF10" s="10">
        <f>IF(AD10="",WORKDAY(AC10,AF9),WORKDAY(AD10,AF9))</f>
        <v>45568</v>
      </c>
      <c r="AG10" s="56">
        <v>45568</v>
      </c>
      <c r="AH10" s="10">
        <v>45607</v>
      </c>
      <c r="AI10" s="10">
        <f>WORKDAY(IF(AA10="",IF(Z10&gt;AF10,Z10,AF10),IF(AA10&gt;AG10,AA10,AG10)),AI9)</f>
        <v>45607</v>
      </c>
      <c r="AJ10" s="56">
        <v>45607</v>
      </c>
      <c r="AK10" s="10">
        <v>45635</v>
      </c>
      <c r="AL10" s="10">
        <f>IF(AJ10="",WORKDAY(AI10,AL9),WORKDAY(AJ10,AL9))</f>
        <v>45635</v>
      </c>
      <c r="AM10" s="56">
        <v>45635</v>
      </c>
      <c r="AN10" s="10">
        <v>45635</v>
      </c>
      <c r="AO10" s="10">
        <f>IF(AM10="",WORKDAY(AL10,AO9),WORKDAY(AM10,AO9))</f>
        <v>45635</v>
      </c>
      <c r="AP10" s="56">
        <v>45635</v>
      </c>
      <c r="AQ10" s="10">
        <v>45663</v>
      </c>
      <c r="AR10" s="10">
        <f>IF(AP10="",WORKDAY(AO10,AR9),WORKDAY(AP10,AR9))</f>
        <v>45663</v>
      </c>
      <c r="AS10" s="56">
        <v>45663</v>
      </c>
      <c r="AT10" s="10">
        <v>45642</v>
      </c>
      <c r="AU10" s="10">
        <f>IF(O10="",WORKDAY(AO10,AU9),WORKDAY(AP10,AU9))</f>
        <v>45642</v>
      </c>
      <c r="AV10" s="56">
        <v>45642</v>
      </c>
      <c r="AW10" s="10">
        <v>45677</v>
      </c>
      <c r="AX10" s="10">
        <f>IF(AS10="",IF(AR10&gt;AU10,WORKDAY(AR10,AX9),WORKDAY(AU10,AX9)),IF(AS10&gt;AV10,WORKDAY(AS10,AX9),WORKDAY(AV10,AX9)))</f>
        <v>45677</v>
      </c>
      <c r="AY10" s="56">
        <v>45677</v>
      </c>
      <c r="AZ10" s="10">
        <v>45677</v>
      </c>
      <c r="BA10" s="10">
        <f>IF(AP10="",WORKDAY(AO10,BA9),WORKDAY(AP10,BA9))</f>
        <v>45677</v>
      </c>
      <c r="BB10" s="56">
        <v>45677</v>
      </c>
      <c r="BC10" s="10">
        <v>45684</v>
      </c>
      <c r="BD10" s="10">
        <f>IF(AY10="",IF(AX10&gt;BA10,WORKDAY(AX10,BD9),WORKDAY(BA10,BD9)),IF(AY10&gt;BB10,WORKDAY(AY10,BD9),WORKDAY(BB10,BD9)))</f>
        <v>45684</v>
      </c>
      <c r="BE10" s="56">
        <v>45684</v>
      </c>
      <c r="BF10" s="10">
        <v>45691</v>
      </c>
      <c r="BG10" s="10">
        <f>IF(BE10="",WORKDAY(BD10,BG9),WORKDAY(BE10,BG9))</f>
        <v>45691</v>
      </c>
      <c r="BH10" s="56">
        <v>45691</v>
      </c>
      <c r="BI10" s="10">
        <v>45698</v>
      </c>
      <c r="BJ10" s="10">
        <f>IF(BH10="",WORKDAY(BG10,BJ9),WORKDAY(BH10,BJ9))</f>
        <v>45698</v>
      </c>
      <c r="BK10" s="56">
        <v>45698</v>
      </c>
      <c r="BL10" s="28"/>
      <c r="BM10" s="28"/>
      <c r="BN10" s="28"/>
      <c r="BO10" s="28"/>
      <c r="BP10" s="28"/>
      <c r="BQ10" s="28"/>
      <c r="BR10" s="28"/>
      <c r="BS10" s="28"/>
      <c r="BT10" s="28"/>
      <c r="BU10" s="28"/>
      <c r="BV10" s="28"/>
      <c r="BW10" s="28"/>
      <c r="BX10" s="46"/>
      <c r="BY10" s="28"/>
      <c r="BZ10" s="28"/>
      <c r="CA10" s="28"/>
      <c r="CB10" s="28"/>
      <c r="CC10" s="28"/>
      <c r="CD10" s="28"/>
      <c r="CE10" s="28"/>
      <c r="CF10" s="28"/>
      <c r="CG10" s="28"/>
      <c r="CH10" s="28"/>
      <c r="CI10" s="28"/>
      <c r="CJ10" s="28"/>
      <c r="CK10" s="28"/>
      <c r="CL10" s="28"/>
      <c r="CM10" s="10">
        <v>45701</v>
      </c>
      <c r="CN10" s="10">
        <f>IF(BK10="",WORKDAY(BJ10,CN9),WORKDAY(BK10,CN9))</f>
        <v>45701</v>
      </c>
      <c r="CO10" s="56">
        <v>45701</v>
      </c>
      <c r="CP10" s="10">
        <v>45708</v>
      </c>
      <c r="CQ10" s="10">
        <f>IF(CO10="",WORKDAY(CN10,CQ9),WORKDAY(CO10,CQ9))</f>
        <v>45708</v>
      </c>
      <c r="CR10" s="56">
        <v>45708</v>
      </c>
      <c r="CS10" s="77" t="s">
        <v>479</v>
      </c>
      <c r="CT10" s="10">
        <v>45876</v>
      </c>
      <c r="CU10" s="10">
        <f>IF(CR10="",WORKDAY(CQ10,CU9),WORKDAY(CR10,CU9))</f>
        <v>45876</v>
      </c>
      <c r="CV10" s="56">
        <v>45876</v>
      </c>
      <c r="CW10" s="10">
        <v>45691</v>
      </c>
      <c r="CX10" s="10">
        <f>IF(BB10="",WORKDAY(BA10,CX9),WORKDAY(BB10,CX9))</f>
        <v>45691</v>
      </c>
      <c r="CY10" s="56">
        <v>45691</v>
      </c>
      <c r="CZ10" s="10">
        <v>45691</v>
      </c>
      <c r="DA10" s="10">
        <f>IF(CY10="",WORKDAY(CX10,DA9),WORKDAY(CY10,DA9))</f>
        <v>45691</v>
      </c>
      <c r="DB10" s="56">
        <v>45691</v>
      </c>
      <c r="DC10" s="45"/>
      <c r="DD10" s="45"/>
      <c r="DE10" s="45"/>
      <c r="DF10" s="10">
        <v>45904</v>
      </c>
      <c r="DG10" s="10">
        <f>IF($CV10="",IF($CU10&gt;$DA10,WORKDAY($CU10,DG9),WORKDAY($DA10,DG9)),IF($CV10&gt;$DB10,WORKDAY($CV10,DG9),WORKDAY($DB10,DG9)))</f>
        <v>45904</v>
      </c>
      <c r="DH10" s="56">
        <v>45904</v>
      </c>
      <c r="DI10" s="46"/>
      <c r="DJ10" s="10">
        <v>45932</v>
      </c>
      <c r="DK10" s="10">
        <f>IF(DH10="",WORKDAY(DG10,DK9*$DI9),WORKDAY(DH10,DK9*$DI9))</f>
        <v>45932</v>
      </c>
      <c r="DL10" s="56">
        <v>45932</v>
      </c>
      <c r="DM10" s="46"/>
      <c r="DN10" s="46"/>
      <c r="DO10" s="46"/>
      <c r="DP10" s="46"/>
      <c r="DQ10" s="46"/>
      <c r="DR10" s="46"/>
      <c r="DS10" s="46"/>
      <c r="DT10" s="46"/>
      <c r="DU10" s="46"/>
      <c r="DV10" s="46"/>
      <c r="DW10" s="46"/>
      <c r="DX10" s="46"/>
      <c r="DY10" s="46"/>
      <c r="DZ10" s="46"/>
      <c r="EA10" s="46"/>
      <c r="EB10" s="46"/>
      <c r="EC10" s="46"/>
      <c r="ED10" s="46"/>
      <c r="EE10" s="10">
        <v>45932</v>
      </c>
      <c r="EF10" s="10">
        <f>IF(DL10="",WORKDAY(DK10,EF9),WORKDAY(DL10,EF9))</f>
        <v>45932</v>
      </c>
      <c r="EG10" s="56">
        <v>45932</v>
      </c>
      <c r="EH10" s="10">
        <v>45733</v>
      </c>
      <c r="EI10" s="10">
        <f>IF(BH10="",WORKDAY(BG10,EI9),WORKDAY(BH10,EI9))</f>
        <v>45733</v>
      </c>
      <c r="EJ10" s="56">
        <v>45733</v>
      </c>
      <c r="EK10" s="27"/>
      <c r="EL10" s="27"/>
      <c r="EM10" s="27"/>
      <c r="EN10" s="27"/>
      <c r="EO10" s="28"/>
      <c r="EP10" s="28"/>
      <c r="EQ10" s="28"/>
      <c r="ER10" s="28"/>
      <c r="ES10" s="28"/>
      <c r="ET10" s="28"/>
      <c r="EU10" s="28"/>
      <c r="EV10" s="28"/>
      <c r="EW10" s="28"/>
      <c r="EX10" s="28"/>
      <c r="EY10" s="28"/>
      <c r="EZ10" s="10">
        <v>45939</v>
      </c>
      <c r="FA10" s="10">
        <f>IF(EG10="",WORKDAY(EF10,FA9),WORKDAY(EG10,FA9))</f>
        <v>45939</v>
      </c>
      <c r="FB10" s="56">
        <v>45939</v>
      </c>
      <c r="FC10" s="28"/>
      <c r="FD10" s="28"/>
      <c r="FE10" s="28"/>
      <c r="FF10" s="28"/>
      <c r="FG10" s="28"/>
      <c r="FH10" s="28"/>
      <c r="FI10" s="56">
        <v>46179</v>
      </c>
      <c r="FJ10" s="10">
        <f>FI10</f>
        <v>46179</v>
      </c>
      <c r="FK10" s="56"/>
      <c r="FL10" s="10">
        <v>46179</v>
      </c>
      <c r="FM10" s="10">
        <f>FL10</f>
        <v>46179</v>
      </c>
      <c r="FN10" s="10"/>
      <c r="FO10" s="10">
        <v>46234</v>
      </c>
      <c r="FP10" s="10">
        <f>FO10</f>
        <v>46234</v>
      </c>
      <c r="FQ10" s="56"/>
      <c r="FR10" s="77" t="str">
        <f>IF(NETWORKDAYS(FJ10,FO10)&gt;=30,"On-Track",IF(AND(NETWORKDAYS(FJ10,FO10)&lt;30,FJ10&lt;=FO10),"At Risk","Missed TCD"))</f>
        <v>On-Track</v>
      </c>
      <c r="FS10" s="110" t="s">
        <v>480</v>
      </c>
      <c r="FT10" s="57">
        <f>NETWORKDAYS(CP10,FI10)</f>
        <v>337</v>
      </c>
      <c r="FU10" s="57">
        <f>NETWORKDAYS(CQ10,FJ10)</f>
        <v>337</v>
      </c>
      <c r="FV10" s="57">
        <f>IF(BH10="",NETWORKDAYS(BG10,FJ10),IF(FK10="",NETWORKDAYS(BH10,FJ10),NETWORKDAYS(BH10,FK10)))</f>
        <v>350</v>
      </c>
      <c r="FW10" s="58" t="s">
        <v>467</v>
      </c>
    </row>
    <row r="11" spans="1:311" outlineLevel="1" x14ac:dyDescent="0.35">
      <c r="A11" s="23" t="s">
        <v>4</v>
      </c>
      <c r="B11" s="23">
        <v>107556</v>
      </c>
      <c r="C11" s="114" t="s">
        <v>481</v>
      </c>
      <c r="D11" s="95"/>
      <c r="E11" s="24"/>
      <c r="F11" s="25" t="s">
        <v>463</v>
      </c>
      <c r="G11" s="26"/>
      <c r="H11" s="26"/>
      <c r="I11" s="27"/>
      <c r="J11" s="27"/>
      <c r="K11" s="27"/>
      <c r="L11" s="27"/>
      <c r="M11" s="4">
        <v>27</v>
      </c>
      <c r="N11" s="4">
        <v>27</v>
      </c>
      <c r="O11" s="27">
        <v>45502</v>
      </c>
      <c r="P11" s="4">
        <v>0</v>
      </c>
      <c r="Q11" s="4">
        <v>0</v>
      </c>
      <c r="R11" s="27">
        <v>45502</v>
      </c>
      <c r="S11" s="27"/>
      <c r="T11" s="27"/>
      <c r="U11" s="27"/>
      <c r="V11" s="4">
        <v>30</v>
      </c>
      <c r="W11" s="4">
        <v>30</v>
      </c>
      <c r="X11" s="27">
        <v>45544</v>
      </c>
      <c r="Y11" s="4">
        <v>70</v>
      </c>
      <c r="Z11" s="4">
        <v>70</v>
      </c>
      <c r="AA11" s="27">
        <v>45600</v>
      </c>
      <c r="AB11" s="4">
        <v>0</v>
      </c>
      <c r="AC11" s="4">
        <v>0</v>
      </c>
      <c r="AD11" s="27">
        <v>45463</v>
      </c>
      <c r="AE11" s="4">
        <v>75</v>
      </c>
      <c r="AF11" s="4">
        <v>75</v>
      </c>
      <c r="AG11" s="27">
        <v>45568</v>
      </c>
      <c r="AH11" s="4">
        <v>5</v>
      </c>
      <c r="AI11" s="4">
        <v>5</v>
      </c>
      <c r="AJ11" s="27">
        <v>45607</v>
      </c>
      <c r="AK11" s="4">
        <v>20</v>
      </c>
      <c r="AL11" s="4">
        <v>20</v>
      </c>
      <c r="AM11" s="27">
        <v>45635</v>
      </c>
      <c r="AN11" s="4">
        <v>0</v>
      </c>
      <c r="AO11" s="4">
        <v>0</v>
      </c>
      <c r="AP11" s="27">
        <v>45635</v>
      </c>
      <c r="AQ11" s="4">
        <v>20</v>
      </c>
      <c r="AR11" s="4">
        <v>20</v>
      </c>
      <c r="AS11" s="27">
        <v>45663</v>
      </c>
      <c r="AT11" s="4">
        <v>5</v>
      </c>
      <c r="AU11" s="4">
        <v>5</v>
      </c>
      <c r="AV11" s="27">
        <v>45642</v>
      </c>
      <c r="AW11" s="4">
        <v>10</v>
      </c>
      <c r="AX11" s="4">
        <v>10</v>
      </c>
      <c r="AY11" s="27">
        <v>45677</v>
      </c>
      <c r="AZ11" s="4">
        <v>30</v>
      </c>
      <c r="BA11" s="4">
        <v>30</v>
      </c>
      <c r="BB11" s="27">
        <v>45677</v>
      </c>
      <c r="BC11" s="4">
        <v>5</v>
      </c>
      <c r="BD11" s="4">
        <v>5</v>
      </c>
      <c r="BE11" s="27">
        <v>45684</v>
      </c>
      <c r="BF11" s="4">
        <v>5</v>
      </c>
      <c r="BG11" s="4">
        <v>5</v>
      </c>
      <c r="BH11" s="27">
        <v>45691</v>
      </c>
      <c r="BI11" s="4">
        <v>5</v>
      </c>
      <c r="BJ11" s="4">
        <v>5</v>
      </c>
      <c r="BK11" s="27">
        <v>45698</v>
      </c>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4">
        <v>3</v>
      </c>
      <c r="CN11" s="4">
        <v>3</v>
      </c>
      <c r="CO11" s="27">
        <v>45701</v>
      </c>
      <c r="CP11" s="4">
        <v>5</v>
      </c>
      <c r="CQ11" s="4">
        <v>5</v>
      </c>
      <c r="CR11" s="27">
        <v>45708</v>
      </c>
      <c r="CS11" s="27"/>
      <c r="CT11" s="5">
        <v>120</v>
      </c>
      <c r="CU11" s="5">
        <v>120</v>
      </c>
      <c r="CV11" s="27">
        <v>45876</v>
      </c>
      <c r="CW11" s="5">
        <v>10</v>
      </c>
      <c r="CX11" s="5">
        <v>10</v>
      </c>
      <c r="CY11" s="27">
        <v>45691</v>
      </c>
      <c r="CZ11" s="5">
        <v>0</v>
      </c>
      <c r="DA11" s="5">
        <v>0</v>
      </c>
      <c r="DB11" s="27">
        <v>45691</v>
      </c>
      <c r="DC11" s="31"/>
      <c r="DD11" s="31"/>
      <c r="DE11" s="31"/>
      <c r="DF11" s="4">
        <v>20</v>
      </c>
      <c r="DG11" s="4">
        <v>20</v>
      </c>
      <c r="DH11" s="27">
        <v>45904</v>
      </c>
      <c r="DI11" s="89">
        <v>1</v>
      </c>
      <c r="DJ11" s="4">
        <v>20</v>
      </c>
      <c r="DK11" s="4">
        <v>20</v>
      </c>
      <c r="DL11" s="27">
        <v>45932</v>
      </c>
      <c r="DM11" s="27"/>
      <c r="DN11" s="27"/>
      <c r="DO11" s="27"/>
      <c r="DP11" s="27"/>
      <c r="DQ11" s="27"/>
      <c r="DR11" s="27"/>
      <c r="DS11" s="27"/>
      <c r="DT11" s="27"/>
      <c r="DU11" s="27"/>
      <c r="DV11" s="27"/>
      <c r="DW11" s="27"/>
      <c r="DX11" s="27"/>
      <c r="DY11" s="27"/>
      <c r="DZ11" s="27"/>
      <c r="EA11" s="27"/>
      <c r="EB11" s="27"/>
      <c r="EC11" s="27"/>
      <c r="ED11" s="27"/>
      <c r="EE11" s="4">
        <v>0</v>
      </c>
      <c r="EF11" s="4">
        <v>0</v>
      </c>
      <c r="EG11" s="27">
        <v>45932</v>
      </c>
      <c r="EH11" s="4">
        <v>30</v>
      </c>
      <c r="EI11" s="4">
        <v>30</v>
      </c>
      <c r="EJ11" s="27">
        <v>45733</v>
      </c>
      <c r="EK11" s="27"/>
      <c r="EL11" s="27"/>
      <c r="EM11" s="27"/>
      <c r="EN11" s="27"/>
      <c r="EO11" s="27"/>
      <c r="EP11" s="27"/>
      <c r="EQ11" s="27"/>
      <c r="ER11" s="27"/>
      <c r="ES11" s="27"/>
      <c r="ET11" s="27"/>
      <c r="EU11" s="27"/>
      <c r="EV11" s="27"/>
      <c r="EW11" s="27"/>
      <c r="EX11" s="27"/>
      <c r="EY11" s="27"/>
      <c r="EZ11" s="4">
        <v>5</v>
      </c>
      <c r="FA11" s="4">
        <v>5</v>
      </c>
      <c r="FB11" s="27">
        <v>45939</v>
      </c>
      <c r="FC11" s="27"/>
      <c r="FD11" s="27"/>
      <c r="FE11" s="27"/>
      <c r="FF11" s="27"/>
      <c r="FG11" s="27"/>
      <c r="FH11" s="27"/>
      <c r="FI11" s="4">
        <v>15</v>
      </c>
      <c r="FJ11" s="4">
        <v>15</v>
      </c>
      <c r="FK11" s="27"/>
      <c r="FL11" s="4">
        <v>0</v>
      </c>
      <c r="FM11" s="4">
        <v>0</v>
      </c>
      <c r="FN11" s="27"/>
      <c r="FO11" s="4">
        <v>40</v>
      </c>
      <c r="FP11" s="4">
        <v>40</v>
      </c>
      <c r="FQ11" s="27"/>
      <c r="FR11" s="27"/>
      <c r="FS11" s="109"/>
      <c r="FT11" s="54">
        <f>NETWORKDAYS($I12,FO12)</f>
        <v>552</v>
      </c>
      <c r="FU11" s="54">
        <f>NETWORKDAYS($I12,FP12)</f>
        <v>552</v>
      </c>
      <c r="FV11" s="54">
        <f>IF(FQ12="",NETWORKDAYS($I12,FP12),NETWORKDAYS($I12,FQ12))</f>
        <v>552</v>
      </c>
      <c r="FW11" s="55" t="s">
        <v>464</v>
      </c>
    </row>
    <row r="12" spans="1:311" x14ac:dyDescent="0.35">
      <c r="A12" s="23" t="s">
        <v>4</v>
      </c>
      <c r="B12" s="23">
        <v>107556</v>
      </c>
      <c r="C12" s="114" t="s">
        <v>481</v>
      </c>
      <c r="D12" s="65"/>
      <c r="E12" s="23" t="str">
        <f>IF(D12="","Unknown",IF(D12&lt;=FM12+90,"Red",IF(AND(D12&gt;FM12+90,D12&lt;=FM12+180),"Yellow",IF(AND(D12&gt;FM12+180,D12&lt;=FM12+690),"Green","Covered"))))</f>
        <v>Unknown</v>
      </c>
      <c r="F12" s="25" t="s">
        <v>466</v>
      </c>
      <c r="G12" s="26"/>
      <c r="H12" s="26" t="str">
        <f>IF(CR12="","Pre-Execution","Execution")</f>
        <v>Execution</v>
      </c>
      <c r="I12" s="13">
        <v>45463</v>
      </c>
      <c r="J12" s="28"/>
      <c r="K12" s="28"/>
      <c r="L12" s="28"/>
      <c r="M12" s="10">
        <v>45502</v>
      </c>
      <c r="N12" s="10">
        <f>WORKDAY(I12,N11)</f>
        <v>45502</v>
      </c>
      <c r="O12" s="10">
        <v>45502</v>
      </c>
      <c r="P12" s="10">
        <v>45502</v>
      </c>
      <c r="Q12" s="10">
        <f>IF(O12="",WORKDAY(N12,Q11),WORKDAY(O12,Q11))</f>
        <v>45502</v>
      </c>
      <c r="R12" s="56">
        <v>45502</v>
      </c>
      <c r="S12" s="28"/>
      <c r="T12" s="28"/>
      <c r="U12" s="28"/>
      <c r="V12" s="10">
        <v>45544</v>
      </c>
      <c r="W12" s="10">
        <f>IF(R12="",WORKDAY(Q12,W11),WORKDAY(R12,W11))</f>
        <v>45544</v>
      </c>
      <c r="X12" s="56">
        <v>45544</v>
      </c>
      <c r="Y12" s="10">
        <v>45600</v>
      </c>
      <c r="Z12" s="10">
        <f>IF(R12="",WORKDAY(Q12,Z11),WORKDAY(R12,Z11))</f>
        <v>45600</v>
      </c>
      <c r="AA12" s="56">
        <v>45600</v>
      </c>
      <c r="AB12" s="10">
        <v>45463</v>
      </c>
      <c r="AC12" s="10">
        <f>WORKDAY(I12,AC11)</f>
        <v>45463</v>
      </c>
      <c r="AD12" s="56">
        <v>45463</v>
      </c>
      <c r="AE12" s="10">
        <v>45568</v>
      </c>
      <c r="AF12" s="10">
        <f>IF(AD12="",WORKDAY(AC12,AF11),WORKDAY(AD12,AF11))</f>
        <v>45568</v>
      </c>
      <c r="AG12" s="56">
        <v>45568</v>
      </c>
      <c r="AH12" s="10">
        <v>45607</v>
      </c>
      <c r="AI12" s="10">
        <f>WORKDAY(IF(AA12="",IF(Z12&gt;AF12,Z12,AF12),IF(AA12&gt;AG12,AA12,AG12)),AI11)</f>
        <v>45607</v>
      </c>
      <c r="AJ12" s="56">
        <v>45607</v>
      </c>
      <c r="AK12" s="10">
        <v>45635</v>
      </c>
      <c r="AL12" s="10">
        <f>IF(AJ12="",WORKDAY(AI12,AL11),WORKDAY(AJ12,AL11))</f>
        <v>45635</v>
      </c>
      <c r="AM12" s="56">
        <v>45635</v>
      </c>
      <c r="AN12" s="10">
        <v>45635</v>
      </c>
      <c r="AO12" s="10">
        <f>IF(AM12="",WORKDAY(AL12,AO11),WORKDAY(AM12,AO11))</f>
        <v>45635</v>
      </c>
      <c r="AP12" s="56">
        <v>45635</v>
      </c>
      <c r="AQ12" s="10">
        <v>45663</v>
      </c>
      <c r="AR12" s="10">
        <f>IF(AP12="",WORKDAY(AO12,AR11),WORKDAY(AP12,AR11))</f>
        <v>45663</v>
      </c>
      <c r="AS12" s="56">
        <v>45663</v>
      </c>
      <c r="AT12" s="10">
        <v>45642</v>
      </c>
      <c r="AU12" s="10">
        <f>IF(O12="",WORKDAY(AO12,AU11),WORKDAY(AP12,AU11))</f>
        <v>45642</v>
      </c>
      <c r="AV12" s="56">
        <v>45642</v>
      </c>
      <c r="AW12" s="10">
        <v>45677</v>
      </c>
      <c r="AX12" s="10">
        <f>IF(AS12="",IF(AR12&gt;AU12,WORKDAY(AR12,AX11),WORKDAY(AU12,AX11)),IF(AS12&gt;AV12,WORKDAY(AS12,AX11),WORKDAY(AV12,AX11)))</f>
        <v>45677</v>
      </c>
      <c r="AY12" s="56">
        <v>45677</v>
      </c>
      <c r="AZ12" s="10">
        <v>45677</v>
      </c>
      <c r="BA12" s="10">
        <f>IF(AP12="",WORKDAY(AO12,BA11),WORKDAY(AP12,BA11))</f>
        <v>45677</v>
      </c>
      <c r="BB12" s="56">
        <v>45677</v>
      </c>
      <c r="BC12" s="10">
        <v>45684</v>
      </c>
      <c r="BD12" s="10">
        <f>IF(AY12="",IF(AX12&gt;BA12,WORKDAY(AX12,BD11),WORKDAY(BA12,BD11)),IF(AY12&gt;BB12,WORKDAY(AY12,BD11),WORKDAY(BB12,BD11)))</f>
        <v>45684</v>
      </c>
      <c r="BE12" s="56">
        <v>45684</v>
      </c>
      <c r="BF12" s="10">
        <v>45691</v>
      </c>
      <c r="BG12" s="10">
        <f>IF(BE12="",WORKDAY(BD12,BG11),WORKDAY(BE12,BG11))</f>
        <v>45691</v>
      </c>
      <c r="BH12" s="56">
        <v>45691</v>
      </c>
      <c r="BI12" s="10">
        <v>45698</v>
      </c>
      <c r="BJ12" s="10">
        <f>IF(BH12="",WORKDAY(BG12,BJ11),WORKDAY(BH12,BJ11))</f>
        <v>45698</v>
      </c>
      <c r="BK12" s="56">
        <v>45698</v>
      </c>
      <c r="BL12" s="28"/>
      <c r="BM12" s="28"/>
      <c r="BN12" s="28"/>
      <c r="BO12" s="28"/>
      <c r="BP12" s="28"/>
      <c r="BQ12" s="28"/>
      <c r="BR12" s="28"/>
      <c r="BS12" s="28"/>
      <c r="BT12" s="28"/>
      <c r="BU12" s="28"/>
      <c r="BV12" s="28"/>
      <c r="BW12" s="28"/>
      <c r="BX12" s="46"/>
      <c r="BY12" s="28"/>
      <c r="BZ12" s="28"/>
      <c r="CA12" s="28"/>
      <c r="CB12" s="28"/>
      <c r="CC12" s="28"/>
      <c r="CD12" s="28"/>
      <c r="CE12" s="28"/>
      <c r="CF12" s="28"/>
      <c r="CG12" s="28"/>
      <c r="CH12" s="28"/>
      <c r="CI12" s="28"/>
      <c r="CJ12" s="28"/>
      <c r="CK12" s="28"/>
      <c r="CL12" s="28"/>
      <c r="CM12" s="10">
        <v>45701</v>
      </c>
      <c r="CN12" s="10">
        <f>IF(BK12="",WORKDAY(BJ12,CN11),WORKDAY(BK12,CN11))</f>
        <v>45701</v>
      </c>
      <c r="CO12" s="56">
        <v>45701</v>
      </c>
      <c r="CP12" s="10">
        <v>45708</v>
      </c>
      <c r="CQ12" s="10">
        <f>IF(CO12="",WORKDAY(CN12,CQ11),WORKDAY(CO12,CQ11))</f>
        <v>45708</v>
      </c>
      <c r="CR12" s="56">
        <v>45708</v>
      </c>
      <c r="CS12" s="77" t="s">
        <v>479</v>
      </c>
      <c r="CT12" s="10">
        <v>45876</v>
      </c>
      <c r="CU12" s="10">
        <f>IF(CR12="",WORKDAY(CQ12,CU11),WORKDAY(CR12,CU11))</f>
        <v>45876</v>
      </c>
      <c r="CV12" s="56">
        <v>45876</v>
      </c>
      <c r="CW12" s="10">
        <v>45691</v>
      </c>
      <c r="CX12" s="10">
        <f>IF(BB12="",WORKDAY(BA12,CX11),WORKDAY(BB12,CX11))</f>
        <v>45691</v>
      </c>
      <c r="CY12" s="56">
        <v>45691</v>
      </c>
      <c r="CZ12" s="10">
        <v>45691</v>
      </c>
      <c r="DA12" s="10">
        <f>IF(CY12="",WORKDAY(CX12,DA11),WORKDAY(CY12,DA11))</f>
        <v>45691</v>
      </c>
      <c r="DB12" s="56">
        <v>45691</v>
      </c>
      <c r="DC12" s="45"/>
      <c r="DD12" s="45"/>
      <c r="DE12" s="45"/>
      <c r="DF12" s="10">
        <v>45904</v>
      </c>
      <c r="DG12" s="10">
        <f>IF($CV12="",IF($CU12&gt;$DA12,WORKDAY($CU12,DG11),WORKDAY($DA12,DG11)),IF($CV12&gt;$DB12,WORKDAY($CV12,DG11),WORKDAY($DB12,DG11)))</f>
        <v>45904</v>
      </c>
      <c r="DH12" s="56">
        <v>45904</v>
      </c>
      <c r="DI12" s="46"/>
      <c r="DJ12" s="10">
        <v>45932</v>
      </c>
      <c r="DK12" s="10">
        <f>IF(DH12="",WORKDAY(DG12,DK11*$DI11),WORKDAY(DH12,DK11*$DI11))</f>
        <v>45932</v>
      </c>
      <c r="DL12" s="56">
        <v>45932</v>
      </c>
      <c r="DM12" s="46"/>
      <c r="DN12" s="46"/>
      <c r="DO12" s="46"/>
      <c r="DP12" s="46"/>
      <c r="DQ12" s="46"/>
      <c r="DR12" s="46"/>
      <c r="DS12" s="46"/>
      <c r="DT12" s="46"/>
      <c r="DU12" s="46"/>
      <c r="DV12" s="46"/>
      <c r="DW12" s="46"/>
      <c r="DX12" s="46"/>
      <c r="DY12" s="46"/>
      <c r="DZ12" s="46"/>
      <c r="EA12" s="46"/>
      <c r="EB12" s="46"/>
      <c r="EC12" s="46"/>
      <c r="ED12" s="46"/>
      <c r="EE12" s="10">
        <v>45932</v>
      </c>
      <c r="EF12" s="10">
        <f>IF(DL12="",WORKDAY(DK12,EF11),WORKDAY(DL12,EF11))</f>
        <v>45932</v>
      </c>
      <c r="EG12" s="56">
        <v>45932</v>
      </c>
      <c r="EH12" s="10">
        <v>45733</v>
      </c>
      <c r="EI12" s="10">
        <f>IF(BH12="",WORKDAY(BG12,EI11),WORKDAY(BH12,EI11))</f>
        <v>45733</v>
      </c>
      <c r="EJ12" s="56">
        <v>45733</v>
      </c>
      <c r="EK12" s="27"/>
      <c r="EL12" s="27"/>
      <c r="EM12" s="27"/>
      <c r="EN12" s="27"/>
      <c r="EO12" s="28"/>
      <c r="EP12" s="28"/>
      <c r="EQ12" s="28"/>
      <c r="ER12" s="28"/>
      <c r="ES12" s="28"/>
      <c r="ET12" s="28"/>
      <c r="EU12" s="28"/>
      <c r="EV12" s="28"/>
      <c r="EW12" s="28"/>
      <c r="EX12" s="28"/>
      <c r="EY12" s="28"/>
      <c r="EZ12" s="10">
        <v>45939</v>
      </c>
      <c r="FA12" s="10">
        <f>IF(EG12="",WORKDAY(EF12,FA11),WORKDAY(EG12,FA11))</f>
        <v>45939</v>
      </c>
      <c r="FB12" s="56">
        <v>45939</v>
      </c>
      <c r="FC12" s="28"/>
      <c r="FD12" s="28"/>
      <c r="FE12" s="28"/>
      <c r="FF12" s="28"/>
      <c r="FG12" s="28"/>
      <c r="FH12" s="28"/>
      <c r="FI12" s="56">
        <v>46179</v>
      </c>
      <c r="FJ12" s="10">
        <f>FI12</f>
        <v>46179</v>
      </c>
      <c r="FK12" s="56"/>
      <c r="FL12" s="10">
        <v>46179</v>
      </c>
      <c r="FM12" s="10">
        <f>FL12</f>
        <v>46179</v>
      </c>
      <c r="FN12" s="10"/>
      <c r="FO12" s="10">
        <v>46234</v>
      </c>
      <c r="FP12" s="10">
        <f>FO12</f>
        <v>46234</v>
      </c>
      <c r="FQ12" s="56"/>
      <c r="FR12" s="77" t="str">
        <f>IF(NETWORKDAYS(FJ12,FO12)&gt;=30,"On-Track",IF(AND(NETWORKDAYS(FJ12,FO12)&lt;30,FJ12&lt;=FO12),"At Risk","Missed TCD"))</f>
        <v>On-Track</v>
      </c>
      <c r="FS12" s="110" t="s">
        <v>480</v>
      </c>
      <c r="FT12" s="57">
        <f>NETWORKDAYS(CP12,FI12)</f>
        <v>337</v>
      </c>
      <c r="FU12" s="57">
        <f>NETWORKDAYS(CQ12,FJ12)</f>
        <v>337</v>
      </c>
      <c r="FV12" s="57">
        <f>IF(BH12="",NETWORKDAYS(BG12,FJ12),IF(FK12="",NETWORKDAYS(BH12,FJ12),NETWORKDAYS(BH12,FK12)))</f>
        <v>350</v>
      </c>
      <c r="FW12" s="58" t="s">
        <v>467</v>
      </c>
    </row>
    <row r="13" spans="1:311" outlineLevel="1" x14ac:dyDescent="0.35">
      <c r="A13" s="23" t="s">
        <v>4</v>
      </c>
      <c r="B13" s="23">
        <v>107557</v>
      </c>
      <c r="C13" s="114" t="s">
        <v>482</v>
      </c>
      <c r="D13" s="95"/>
      <c r="E13" s="24"/>
      <c r="F13" s="25" t="s">
        <v>463</v>
      </c>
      <c r="G13" s="26"/>
      <c r="H13" s="26"/>
      <c r="I13" s="27"/>
      <c r="J13" s="27"/>
      <c r="K13" s="27"/>
      <c r="L13" s="27"/>
      <c r="M13" s="4">
        <v>27</v>
      </c>
      <c r="N13" s="4">
        <v>27</v>
      </c>
      <c r="O13" s="27">
        <v>45502</v>
      </c>
      <c r="P13" s="4">
        <v>0</v>
      </c>
      <c r="Q13" s="4">
        <v>0</v>
      </c>
      <c r="R13" s="27">
        <v>45502</v>
      </c>
      <c r="S13" s="27"/>
      <c r="T13" s="27"/>
      <c r="U13" s="27"/>
      <c r="V13" s="4">
        <v>30</v>
      </c>
      <c r="W13" s="4">
        <v>30</v>
      </c>
      <c r="X13" s="27">
        <v>45544</v>
      </c>
      <c r="Y13" s="4">
        <v>70</v>
      </c>
      <c r="Z13" s="4">
        <v>70</v>
      </c>
      <c r="AA13" s="27">
        <v>45600</v>
      </c>
      <c r="AB13" s="4">
        <v>0</v>
      </c>
      <c r="AC13" s="4">
        <v>0</v>
      </c>
      <c r="AD13" s="27">
        <v>45463</v>
      </c>
      <c r="AE13" s="4">
        <v>75</v>
      </c>
      <c r="AF13" s="4">
        <v>75</v>
      </c>
      <c r="AG13" s="27">
        <v>45568</v>
      </c>
      <c r="AH13" s="4">
        <v>5</v>
      </c>
      <c r="AI13" s="4">
        <v>5</v>
      </c>
      <c r="AJ13" s="27">
        <v>45607</v>
      </c>
      <c r="AK13" s="4">
        <v>20</v>
      </c>
      <c r="AL13" s="4">
        <v>20</v>
      </c>
      <c r="AM13" s="27">
        <v>45635</v>
      </c>
      <c r="AN13" s="4">
        <v>0</v>
      </c>
      <c r="AO13" s="4">
        <v>0</v>
      </c>
      <c r="AP13" s="27">
        <v>45635</v>
      </c>
      <c r="AQ13" s="4">
        <v>20</v>
      </c>
      <c r="AR13" s="4">
        <v>20</v>
      </c>
      <c r="AS13" s="27">
        <v>45663</v>
      </c>
      <c r="AT13" s="4">
        <v>5</v>
      </c>
      <c r="AU13" s="4">
        <v>5</v>
      </c>
      <c r="AV13" s="27">
        <v>45642</v>
      </c>
      <c r="AW13" s="4">
        <v>10</v>
      </c>
      <c r="AX13" s="4">
        <v>10</v>
      </c>
      <c r="AY13" s="27">
        <v>45677</v>
      </c>
      <c r="AZ13" s="4">
        <v>30</v>
      </c>
      <c r="BA13" s="4">
        <v>30</v>
      </c>
      <c r="BB13" s="27">
        <v>45677</v>
      </c>
      <c r="BC13" s="4">
        <v>5</v>
      </c>
      <c r="BD13" s="4">
        <v>5</v>
      </c>
      <c r="BE13" s="27">
        <v>45684</v>
      </c>
      <c r="BF13" s="4">
        <v>5</v>
      </c>
      <c r="BG13" s="4">
        <v>5</v>
      </c>
      <c r="BH13" s="27">
        <v>45691</v>
      </c>
      <c r="BI13" s="4">
        <v>5</v>
      </c>
      <c r="BJ13" s="4">
        <v>5</v>
      </c>
      <c r="BK13" s="27">
        <v>45698</v>
      </c>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4">
        <v>3</v>
      </c>
      <c r="CN13" s="4">
        <v>3</v>
      </c>
      <c r="CO13" s="27">
        <v>45701</v>
      </c>
      <c r="CP13" s="4">
        <v>5</v>
      </c>
      <c r="CQ13" s="4">
        <v>5</v>
      </c>
      <c r="CR13" s="27">
        <v>45708</v>
      </c>
      <c r="CS13" s="27"/>
      <c r="CT13" s="5">
        <v>120</v>
      </c>
      <c r="CU13" s="5">
        <v>120</v>
      </c>
      <c r="CV13" s="27">
        <v>45876</v>
      </c>
      <c r="CW13" s="5">
        <v>10</v>
      </c>
      <c r="CX13" s="5">
        <v>10</v>
      </c>
      <c r="CY13" s="27">
        <v>45691</v>
      </c>
      <c r="CZ13" s="5">
        <v>0</v>
      </c>
      <c r="DA13" s="5">
        <v>0</v>
      </c>
      <c r="DB13" s="27">
        <v>45691</v>
      </c>
      <c r="DC13" s="31"/>
      <c r="DD13" s="31"/>
      <c r="DE13" s="31"/>
      <c r="DF13" s="4">
        <v>20</v>
      </c>
      <c r="DG13" s="4">
        <v>20</v>
      </c>
      <c r="DH13" s="27">
        <v>45904</v>
      </c>
      <c r="DI13" s="89">
        <v>1</v>
      </c>
      <c r="DJ13" s="4">
        <v>20</v>
      </c>
      <c r="DK13" s="4">
        <v>20</v>
      </c>
      <c r="DL13" s="27">
        <v>45932</v>
      </c>
      <c r="DM13" s="27"/>
      <c r="DN13" s="27"/>
      <c r="DO13" s="27"/>
      <c r="DP13" s="27"/>
      <c r="DQ13" s="27"/>
      <c r="DR13" s="27"/>
      <c r="DS13" s="27"/>
      <c r="DT13" s="27"/>
      <c r="DU13" s="27"/>
      <c r="DV13" s="27"/>
      <c r="DW13" s="27"/>
      <c r="DX13" s="27"/>
      <c r="DY13" s="27"/>
      <c r="DZ13" s="27"/>
      <c r="EA13" s="27"/>
      <c r="EB13" s="27"/>
      <c r="EC13" s="27"/>
      <c r="ED13" s="27"/>
      <c r="EE13" s="4">
        <v>0</v>
      </c>
      <c r="EF13" s="4">
        <v>0</v>
      </c>
      <c r="EG13" s="27">
        <v>45932</v>
      </c>
      <c r="EH13" s="4">
        <v>30</v>
      </c>
      <c r="EI13" s="4">
        <v>30</v>
      </c>
      <c r="EJ13" s="27">
        <v>45733</v>
      </c>
      <c r="EK13" s="27"/>
      <c r="EL13" s="27"/>
      <c r="EM13" s="27"/>
      <c r="EN13" s="27"/>
      <c r="EO13" s="27"/>
      <c r="EP13" s="27"/>
      <c r="EQ13" s="27"/>
      <c r="ER13" s="27"/>
      <c r="ES13" s="27"/>
      <c r="ET13" s="27"/>
      <c r="EU13" s="27"/>
      <c r="EV13" s="27"/>
      <c r="EW13" s="27"/>
      <c r="EX13" s="27"/>
      <c r="EY13" s="27"/>
      <c r="EZ13" s="4">
        <v>5</v>
      </c>
      <c r="FA13" s="4">
        <v>5</v>
      </c>
      <c r="FB13" s="27">
        <v>45939</v>
      </c>
      <c r="FC13" s="27"/>
      <c r="FD13" s="27"/>
      <c r="FE13" s="27"/>
      <c r="FF13" s="27"/>
      <c r="FG13" s="27"/>
      <c r="FH13" s="27"/>
      <c r="FI13" s="4">
        <v>15</v>
      </c>
      <c r="FJ13" s="4"/>
      <c r="FK13" s="27"/>
      <c r="FL13" s="4">
        <v>0</v>
      </c>
      <c r="FM13" s="4">
        <v>0</v>
      </c>
      <c r="FN13" s="27"/>
      <c r="FO13" s="4">
        <v>40</v>
      </c>
      <c r="FP13" s="4">
        <v>40</v>
      </c>
      <c r="FQ13" s="27"/>
      <c r="FR13" s="27"/>
      <c r="FS13" s="109"/>
      <c r="FT13" s="54">
        <f>NETWORKDAYS($I14,FO14)</f>
        <v>552</v>
      </c>
      <c r="FU13" s="54">
        <f>NETWORKDAYS($I14,FP14)</f>
        <v>552</v>
      </c>
      <c r="FV13" s="54">
        <f>IF(FQ14="",NETWORKDAYS($I14,FP14),NETWORKDAYS($I14,FQ14))</f>
        <v>552</v>
      </c>
      <c r="FW13" s="55" t="s">
        <v>464</v>
      </c>
    </row>
    <row r="14" spans="1:311" x14ac:dyDescent="0.35">
      <c r="A14" s="23" t="s">
        <v>4</v>
      </c>
      <c r="B14" s="23">
        <v>107557</v>
      </c>
      <c r="C14" s="114" t="s">
        <v>482</v>
      </c>
      <c r="D14" s="65"/>
      <c r="E14" s="23" t="str">
        <f>IF(D14="","Unknown",IF(D14&lt;=FM14+90,"Red",IF(AND(D14&gt;FM14+90,D14&lt;=FM14+180),"Yellow",IF(AND(D14&gt;FM14+180,D14&lt;=FM14+690),"Green","Covered"))))</f>
        <v>Unknown</v>
      </c>
      <c r="F14" s="25" t="s">
        <v>466</v>
      </c>
      <c r="G14" s="26"/>
      <c r="H14" s="26" t="str">
        <f>IF(CR14="","Pre-Execution","Execution")</f>
        <v>Execution</v>
      </c>
      <c r="I14" s="13">
        <v>45463</v>
      </c>
      <c r="J14" s="28"/>
      <c r="K14" s="28"/>
      <c r="L14" s="28"/>
      <c r="M14" s="10">
        <v>45502</v>
      </c>
      <c r="N14" s="10">
        <f>WORKDAY(I14,N13)</f>
        <v>45502</v>
      </c>
      <c r="O14" s="10">
        <v>45502</v>
      </c>
      <c r="P14" s="10">
        <v>45502</v>
      </c>
      <c r="Q14" s="10">
        <f>IF(O14="",WORKDAY(N14,Q13),WORKDAY(O14,Q13))</f>
        <v>45502</v>
      </c>
      <c r="R14" s="56">
        <v>45502</v>
      </c>
      <c r="S14" s="28"/>
      <c r="T14" s="28"/>
      <c r="U14" s="28"/>
      <c r="V14" s="10">
        <v>45544</v>
      </c>
      <c r="W14" s="10">
        <f>IF(R14="",WORKDAY(Q14,W13),WORKDAY(R14,W13))</f>
        <v>45544</v>
      </c>
      <c r="X14" s="56">
        <v>45544</v>
      </c>
      <c r="Y14" s="10">
        <v>45600</v>
      </c>
      <c r="Z14" s="10">
        <f>IF(R14="",WORKDAY(Q14,Z13),WORKDAY(R14,Z13))</f>
        <v>45600</v>
      </c>
      <c r="AA14" s="56">
        <v>45600</v>
      </c>
      <c r="AB14" s="10">
        <v>45463</v>
      </c>
      <c r="AC14" s="10">
        <f>WORKDAY(I14,AC13)</f>
        <v>45463</v>
      </c>
      <c r="AD14" s="56">
        <v>45463</v>
      </c>
      <c r="AE14" s="10">
        <v>45568</v>
      </c>
      <c r="AF14" s="10">
        <f>IF(AD14="",WORKDAY(AC14,AF13),WORKDAY(AD14,AF13))</f>
        <v>45568</v>
      </c>
      <c r="AG14" s="56">
        <v>45568</v>
      </c>
      <c r="AH14" s="10">
        <v>45607</v>
      </c>
      <c r="AI14" s="10">
        <f>WORKDAY(IF(AA14="",IF(Z14&gt;AF14,Z14,AF14),IF(AA14&gt;AG14,AA14,AG14)),AI13)</f>
        <v>45607</v>
      </c>
      <c r="AJ14" s="56">
        <v>45607</v>
      </c>
      <c r="AK14" s="10">
        <v>45635</v>
      </c>
      <c r="AL14" s="10">
        <f>IF(AJ14="",WORKDAY(AI14,AL13),WORKDAY(AJ14,AL13))</f>
        <v>45635</v>
      </c>
      <c r="AM14" s="56">
        <v>45635</v>
      </c>
      <c r="AN14" s="10">
        <v>45635</v>
      </c>
      <c r="AO14" s="10">
        <f>IF(AM14="",WORKDAY(AL14,AO13),WORKDAY(AM14,AO13))</f>
        <v>45635</v>
      </c>
      <c r="AP14" s="56">
        <v>45635</v>
      </c>
      <c r="AQ14" s="10">
        <v>45663</v>
      </c>
      <c r="AR14" s="10">
        <f>IF(AP14="",WORKDAY(AO14,AR13),WORKDAY(AP14,AR13))</f>
        <v>45663</v>
      </c>
      <c r="AS14" s="56">
        <v>45663</v>
      </c>
      <c r="AT14" s="10">
        <v>45642</v>
      </c>
      <c r="AU14" s="10">
        <f>IF(O14="",WORKDAY(AO14,AU13),WORKDAY(AP14,AU13))</f>
        <v>45642</v>
      </c>
      <c r="AV14" s="56">
        <v>45642</v>
      </c>
      <c r="AW14" s="10">
        <v>45677</v>
      </c>
      <c r="AX14" s="10">
        <f>IF(AS14="",IF(AR14&gt;AU14,WORKDAY(AR14,AX13),WORKDAY(AU14,AX13)),IF(AS14&gt;AV14,WORKDAY(AS14,AX13),WORKDAY(AV14,AX13)))</f>
        <v>45677</v>
      </c>
      <c r="AY14" s="56">
        <v>45677</v>
      </c>
      <c r="AZ14" s="10">
        <v>45677</v>
      </c>
      <c r="BA14" s="10">
        <f>IF(AP14="",WORKDAY(AO14,BA13),WORKDAY(AP14,BA13))</f>
        <v>45677</v>
      </c>
      <c r="BB14" s="56">
        <v>45677</v>
      </c>
      <c r="BC14" s="10">
        <v>45684</v>
      </c>
      <c r="BD14" s="10">
        <f>IF(AY14="",IF(AX14&gt;BA14,WORKDAY(AX14,BD13),WORKDAY(BA14,BD13)),IF(AY14&gt;BB14,WORKDAY(AY14,BD13),WORKDAY(BB14,BD13)))</f>
        <v>45684</v>
      </c>
      <c r="BE14" s="56">
        <v>45684</v>
      </c>
      <c r="BF14" s="10">
        <v>45691</v>
      </c>
      <c r="BG14" s="10">
        <f>IF(BE14="",WORKDAY(BD14,BG13),WORKDAY(BE14,BG13))</f>
        <v>45691</v>
      </c>
      <c r="BH14" s="56">
        <v>45691</v>
      </c>
      <c r="BI14" s="10">
        <v>45698</v>
      </c>
      <c r="BJ14" s="10">
        <f>IF(BH14="",WORKDAY(BG14,BJ13),WORKDAY(BH14,BJ13))</f>
        <v>45698</v>
      </c>
      <c r="BK14" s="56">
        <v>45698</v>
      </c>
      <c r="BL14" s="28"/>
      <c r="BM14" s="28"/>
      <c r="BN14" s="28"/>
      <c r="BO14" s="28"/>
      <c r="BP14" s="28"/>
      <c r="BQ14" s="28"/>
      <c r="BR14" s="28"/>
      <c r="BS14" s="28"/>
      <c r="BT14" s="28"/>
      <c r="BU14" s="28"/>
      <c r="BV14" s="28"/>
      <c r="BW14" s="28"/>
      <c r="BX14" s="46"/>
      <c r="BY14" s="28"/>
      <c r="BZ14" s="28"/>
      <c r="CA14" s="28"/>
      <c r="CB14" s="28"/>
      <c r="CC14" s="28"/>
      <c r="CD14" s="28"/>
      <c r="CE14" s="28"/>
      <c r="CF14" s="28"/>
      <c r="CG14" s="28"/>
      <c r="CH14" s="28"/>
      <c r="CI14" s="28"/>
      <c r="CJ14" s="28"/>
      <c r="CK14" s="28"/>
      <c r="CL14" s="28"/>
      <c r="CM14" s="10">
        <v>45701</v>
      </c>
      <c r="CN14" s="10">
        <f>IF(BK14="",WORKDAY(BJ14,CN13),WORKDAY(BK14,CN13))</f>
        <v>45701</v>
      </c>
      <c r="CO14" s="56">
        <v>45701</v>
      </c>
      <c r="CP14" s="10">
        <v>45708</v>
      </c>
      <c r="CQ14" s="10">
        <f>IF(CO14="",WORKDAY(CN14,CQ13),WORKDAY(CO14,CQ13))</f>
        <v>45708</v>
      </c>
      <c r="CR14" s="56">
        <v>45708</v>
      </c>
      <c r="CS14" s="77" t="s">
        <v>479</v>
      </c>
      <c r="CT14" s="10">
        <v>45876</v>
      </c>
      <c r="CU14" s="10">
        <f>IF(CR14="",WORKDAY(CQ14,CU13),WORKDAY(CR14,CU13))</f>
        <v>45876</v>
      </c>
      <c r="CV14" s="56">
        <v>45876</v>
      </c>
      <c r="CW14" s="10">
        <v>45691</v>
      </c>
      <c r="CX14" s="10">
        <f>IF(BB14="",WORKDAY(BA14,CX13),WORKDAY(BB14,CX13))</f>
        <v>45691</v>
      </c>
      <c r="CY14" s="56">
        <v>45691</v>
      </c>
      <c r="CZ14" s="10">
        <v>45691</v>
      </c>
      <c r="DA14" s="10">
        <f>IF(CY14="",WORKDAY(CX14,DA13),WORKDAY(CY14,DA13))</f>
        <v>45691</v>
      </c>
      <c r="DB14" s="56">
        <v>45691</v>
      </c>
      <c r="DC14" s="45"/>
      <c r="DD14" s="45"/>
      <c r="DE14" s="45"/>
      <c r="DF14" s="10">
        <v>45904</v>
      </c>
      <c r="DG14" s="10">
        <f>IF($CV14="",IF($CU14&gt;$DA14,WORKDAY($CU14,DG13),WORKDAY($DA14,DG13)),IF($CV14&gt;$DB14,WORKDAY($CV14,DG13),WORKDAY($DB14,DG13)))</f>
        <v>45904</v>
      </c>
      <c r="DH14" s="56">
        <v>45904</v>
      </c>
      <c r="DI14" s="46"/>
      <c r="DJ14" s="10">
        <v>45932</v>
      </c>
      <c r="DK14" s="10">
        <f>IF(DH14="",WORKDAY(DG14,DK13*$DI13),WORKDAY(DH14,DK13*$DI13))</f>
        <v>45932</v>
      </c>
      <c r="DL14" s="56">
        <v>45932</v>
      </c>
      <c r="DM14" s="46"/>
      <c r="DN14" s="46"/>
      <c r="DO14" s="46"/>
      <c r="DP14" s="46"/>
      <c r="DQ14" s="46"/>
      <c r="DR14" s="46"/>
      <c r="DS14" s="46"/>
      <c r="DT14" s="46"/>
      <c r="DU14" s="46"/>
      <c r="DV14" s="46"/>
      <c r="DW14" s="46"/>
      <c r="DX14" s="46"/>
      <c r="DY14" s="46"/>
      <c r="DZ14" s="46"/>
      <c r="EA14" s="46"/>
      <c r="EB14" s="46"/>
      <c r="EC14" s="46"/>
      <c r="ED14" s="46"/>
      <c r="EE14" s="10">
        <v>45932</v>
      </c>
      <c r="EF14" s="10">
        <f>IF(DL14="",WORKDAY(DK14,EF13),WORKDAY(DL14,EF13))</f>
        <v>45932</v>
      </c>
      <c r="EG14" s="56">
        <v>45932</v>
      </c>
      <c r="EH14" s="10">
        <v>45733</v>
      </c>
      <c r="EI14" s="10">
        <f>IF(BH14="",WORKDAY(BG14,EI13),WORKDAY(BH14,EI13))</f>
        <v>45733</v>
      </c>
      <c r="EJ14" s="56">
        <v>45733</v>
      </c>
      <c r="EK14" s="27"/>
      <c r="EL14" s="27"/>
      <c r="EM14" s="27"/>
      <c r="EN14" s="27"/>
      <c r="EO14" s="28"/>
      <c r="EP14" s="28"/>
      <c r="EQ14" s="28"/>
      <c r="ER14" s="28"/>
      <c r="ES14" s="28"/>
      <c r="ET14" s="28"/>
      <c r="EU14" s="28"/>
      <c r="EV14" s="28"/>
      <c r="EW14" s="28"/>
      <c r="EX14" s="28"/>
      <c r="EY14" s="28"/>
      <c r="EZ14" s="10">
        <v>45939</v>
      </c>
      <c r="FA14" s="10">
        <f>IF(EG14="",WORKDAY(EF14,FA13),WORKDAY(EG14,FA13))</f>
        <v>45939</v>
      </c>
      <c r="FB14" s="56">
        <v>45939</v>
      </c>
      <c r="FC14" s="28"/>
      <c r="FD14" s="28"/>
      <c r="FE14" s="28"/>
      <c r="FF14" s="28"/>
      <c r="FG14" s="28"/>
      <c r="FH14" s="28"/>
      <c r="FI14" s="56">
        <v>46179</v>
      </c>
      <c r="FJ14" s="10">
        <f>FI14</f>
        <v>46179</v>
      </c>
      <c r="FK14" s="56"/>
      <c r="FL14" s="10">
        <v>46179</v>
      </c>
      <c r="FM14" s="10">
        <f>FL14</f>
        <v>46179</v>
      </c>
      <c r="FN14" s="10"/>
      <c r="FO14" s="10">
        <v>46234</v>
      </c>
      <c r="FP14" s="10">
        <f>FO14</f>
        <v>46234</v>
      </c>
      <c r="FQ14" s="56"/>
      <c r="FR14" s="77" t="str">
        <f>IF(NETWORKDAYS(FJ14,FO14)&gt;=30,"On-Track",IF(AND(NETWORKDAYS(FJ14,FO14)&lt;30,FJ14&lt;=FO14),"At Risk","Missed TCD"))</f>
        <v>On-Track</v>
      </c>
      <c r="FS14" s="110" t="s">
        <v>480</v>
      </c>
      <c r="FT14" s="57">
        <f>NETWORKDAYS(CP14,FI14)</f>
        <v>337</v>
      </c>
      <c r="FU14" s="57">
        <f>NETWORKDAYS(CQ14,FJ14)</f>
        <v>337</v>
      </c>
      <c r="FV14" s="57">
        <f>IF(BH14="",NETWORKDAYS(BG14,FJ14),IF(FK14="",NETWORKDAYS(BH14,FJ14),NETWORKDAYS(BH14,FK14)))</f>
        <v>350</v>
      </c>
      <c r="FW14" s="58" t="s">
        <v>467</v>
      </c>
    </row>
  </sheetData>
  <protectedRanges>
    <protectedRange sqref="C9" name="Range1" securityDescriptor="O:WDG:WDD:(A;;CC;;;S-1-5-21-3588447096-1463914-869570945-3636980)"/>
    <protectedRange sqref="C10" name="Range1_1" securityDescriptor="O:WDG:WDD:(A;;CC;;;S-1-5-21-3588447096-1463914-869570945-3636980)"/>
    <protectedRange sqref="C11" name="Range1_2" securityDescriptor="O:WDG:WDD:(A;;CC;;;S-1-5-21-3588447096-1463914-869570945-3636980)"/>
    <protectedRange sqref="C12" name="Range1_3" securityDescriptor="O:WDG:WDD:(A;;CC;;;S-1-5-21-3588447096-1463914-869570945-3636980)"/>
    <protectedRange sqref="C13" name="Range1_4" securityDescriptor="O:WDG:WDD:(A;;CC;;;S-1-5-21-3588447096-1463914-869570945-3636980)"/>
    <protectedRange sqref="C14" name="Range1_5" securityDescriptor="O:WDG:WDD:(A;;CC;;;S-1-5-21-3588447096-1463914-869570945-3636980)"/>
  </protectedRanges>
  <autoFilter ref="A8:FW8" xr:uid="{F4E22136-C518-4089-A549-24027D094DBC}"/>
  <mergeCells count="70">
    <mergeCell ref="FI7:FK7"/>
    <mergeCell ref="FL7:FN7"/>
    <mergeCell ref="FO7:FQ7"/>
    <mergeCell ref="EQ7:ES7"/>
    <mergeCell ref="ET7:EV7"/>
    <mergeCell ref="EW7:EY7"/>
    <mergeCell ref="EZ7:FB7"/>
    <mergeCell ref="FC7:FE7"/>
    <mergeCell ref="FF7:FH7"/>
    <mergeCell ref="EN7:EP7"/>
    <mergeCell ref="DC7:DE7"/>
    <mergeCell ref="DF7:DH7"/>
    <mergeCell ref="DI7:DL7"/>
    <mergeCell ref="DM7:DO7"/>
    <mergeCell ref="DP7:DR7"/>
    <mergeCell ref="DS7:DV7"/>
    <mergeCell ref="DW7:DZ7"/>
    <mergeCell ref="EA7:ED7"/>
    <mergeCell ref="EE7:EG7"/>
    <mergeCell ref="EH7:EJ7"/>
    <mergeCell ref="EK7:EM7"/>
    <mergeCell ref="BL7:BN7"/>
    <mergeCell ref="CZ7:DB7"/>
    <mergeCell ref="BR7:BT7"/>
    <mergeCell ref="BU7:BW7"/>
    <mergeCell ref="BX7:BZ7"/>
    <mergeCell ref="CA7:CC7"/>
    <mergeCell ref="CD7:CF7"/>
    <mergeCell ref="CG7:CI7"/>
    <mergeCell ref="CJ7:CL7"/>
    <mergeCell ref="CM7:CO7"/>
    <mergeCell ref="CP7:CS7"/>
    <mergeCell ref="CT7:CV7"/>
    <mergeCell ref="CW7:CY7"/>
    <mergeCell ref="AW7:AY7"/>
    <mergeCell ref="AZ7:BB7"/>
    <mergeCell ref="BC7:BE7"/>
    <mergeCell ref="BF7:BH7"/>
    <mergeCell ref="BI7:BK7"/>
    <mergeCell ref="FT5:FW7"/>
    <mergeCell ref="A7:G7"/>
    <mergeCell ref="J7:L7"/>
    <mergeCell ref="M7:O7"/>
    <mergeCell ref="P7:R7"/>
    <mergeCell ref="S7:U7"/>
    <mergeCell ref="V7:X7"/>
    <mergeCell ref="Y7:AA7"/>
    <mergeCell ref="AB7:AD7"/>
    <mergeCell ref="AE7:AG7"/>
    <mergeCell ref="BO7:BQ7"/>
    <mergeCell ref="AH7:AJ7"/>
    <mergeCell ref="AK7:AM7"/>
    <mergeCell ref="AN7:AP7"/>
    <mergeCell ref="AQ7:AS7"/>
    <mergeCell ref="AT7:AV7"/>
    <mergeCell ref="J4:BE4"/>
    <mergeCell ref="BF4:CL4"/>
    <mergeCell ref="CM4:EY4"/>
    <mergeCell ref="EZ4:FR4"/>
    <mergeCell ref="I5:BH6"/>
    <mergeCell ref="BI5:FK6"/>
    <mergeCell ref="FL5:FR6"/>
    <mergeCell ref="G1:G2"/>
    <mergeCell ref="H1:H2"/>
    <mergeCell ref="I1:CU2"/>
    <mergeCell ref="J3:AA3"/>
    <mergeCell ref="AE3:AG3"/>
    <mergeCell ref="AH3:AP3"/>
    <mergeCell ref="AQ3:BA3"/>
    <mergeCell ref="BC3:BH3"/>
  </mergeCells>
  <conditionalFormatting sqref="L10 U10 BN10 BQ10 BT10 BW10 BZ10 CC10 CF10 CI10 CL10 CO10 CV10 DE10 DO10 DZ10:EA10 ED10 EM10 EP10 ES10 EV10 EY10 FE10 FQ10 FK10 R10 DR10 DV10 I10 X10 AA10 AD10 AG10 AJ10 AM10 AP10 AS10 AV10 AY10 BB10 BE10 BH10 BK10 CR10 CY10 DB10 DH10 DL10 EG10 EJ10 FB10 FH10:FI10">
    <cfRule type="notContainsBlanks" dxfId="153" priority="122">
      <formula>LEN(TRIM(I10))&gt;0</formula>
    </cfRule>
  </conditionalFormatting>
  <conditionalFormatting sqref="E1:E1048576">
    <cfRule type="cellIs" dxfId="152" priority="117" operator="equal">
      <formula>"Red"</formula>
    </cfRule>
    <cfRule type="cellIs" dxfId="151" priority="118" operator="equal">
      <formula>"Unknown"</formula>
    </cfRule>
    <cfRule type="cellIs" dxfId="150" priority="119" operator="equal">
      <formula>"Covered"</formula>
    </cfRule>
    <cfRule type="cellIs" dxfId="149" priority="120" operator="equal">
      <formula>"Green"</formula>
    </cfRule>
    <cfRule type="cellIs" dxfId="148" priority="121" operator="equal">
      <formula>"Yellow"</formula>
    </cfRule>
  </conditionalFormatting>
  <conditionalFormatting sqref="FR10:FS10">
    <cfRule type="cellIs" dxfId="147" priority="114" operator="equal">
      <formula>"Requires Re-Baseline"</formula>
    </cfRule>
    <cfRule type="cellIs" dxfId="146" priority="115" operator="equal">
      <formula>"On-Track"</formula>
    </cfRule>
    <cfRule type="cellIs" dxfId="145" priority="116" operator="equal">
      <formula>"At Risk"</formula>
    </cfRule>
  </conditionalFormatting>
  <conditionalFormatting sqref="CS10">
    <cfRule type="cellIs" dxfId="144" priority="113" operator="equal">
      <formula>"Execution schedule has been re-baselined w/ FAIR PO Ack ACD. Validate your durations before publishing"</formula>
    </cfRule>
  </conditionalFormatting>
  <conditionalFormatting sqref="L10 U10 BN10 BQ10 BT10 BW10 BZ10 CC10 CF10 CI10 CL10 CO10 CV10 DE10 DO10 DZ10:EA10 ED10 EM10 EP10 ES10 EV10 EY10 FE10 FQ10 FK10 R10 DR10 DV10 I10 X10 AA10 AD10 AG10 AJ10 AM10 AP10 AS10 AV10 AY10 BB10 BE10 BH10 BK10 CR10 CY10 DB10 DH10 DL10 EG10 EJ10 FB10 FH10:FI10">
    <cfRule type="notContainsBlanks" dxfId="143" priority="112">
      <formula>LEN(TRIM(I10))&gt;0</formula>
    </cfRule>
  </conditionalFormatting>
  <conditionalFormatting sqref="E9:E10">
    <cfRule type="cellIs" dxfId="142" priority="107" operator="equal">
      <formula>"Red"</formula>
    </cfRule>
    <cfRule type="cellIs" dxfId="141" priority="108" operator="equal">
      <formula>"Unknown"</formula>
    </cfRule>
    <cfRule type="cellIs" dxfId="140" priority="109" operator="equal">
      <formula>"Covered"</formula>
    </cfRule>
    <cfRule type="cellIs" dxfId="139" priority="110" operator="equal">
      <formula>"Green"</formula>
    </cfRule>
    <cfRule type="cellIs" dxfId="138" priority="111" operator="equal">
      <formula>"Yellow"</formula>
    </cfRule>
  </conditionalFormatting>
  <conditionalFormatting sqref="FR10:FS10">
    <cfRule type="cellIs" dxfId="137" priority="104" operator="equal">
      <formula>"Missed TCD"</formula>
    </cfRule>
    <cfRule type="cellIs" dxfId="136" priority="105" operator="equal">
      <formula>"On-Track"</formula>
    </cfRule>
    <cfRule type="cellIs" dxfId="135" priority="106" operator="equal">
      <formula>"At Risk"</formula>
    </cfRule>
  </conditionalFormatting>
  <conditionalFormatting sqref="CS10">
    <cfRule type="cellIs" dxfId="134" priority="103" operator="equal">
      <formula>"Execution schedule has been re-baselined w/ FAIR PO Ack ACD. Validate your durations before publishing"</formula>
    </cfRule>
  </conditionalFormatting>
  <conditionalFormatting sqref="L12 U12 BN12 BQ12 BT12 BW12 BZ12 CC12 CF12 CI12 CL12 DE12 DO12 DZ12:EA12 ED12 EM12 EP12 ES12 EV12 EY12 FE12 FH12 DR12 DV12">
    <cfRule type="notContainsBlanks" dxfId="133" priority="102">
      <formula>LEN(TRIM(L12))&gt;0</formula>
    </cfRule>
  </conditionalFormatting>
  <conditionalFormatting sqref="E11:E12">
    <cfRule type="cellIs" dxfId="132" priority="97" operator="equal">
      <formula>"Red"</formula>
    </cfRule>
    <cfRule type="cellIs" dxfId="131" priority="98" operator="equal">
      <formula>"Unknown"</formula>
    </cfRule>
    <cfRule type="cellIs" dxfId="130" priority="99" operator="equal">
      <formula>"Covered"</formula>
    </cfRule>
    <cfRule type="cellIs" dxfId="129" priority="100" operator="equal">
      <formula>"Green"</formula>
    </cfRule>
    <cfRule type="cellIs" dxfId="128" priority="101" operator="equal">
      <formula>"Yellow"</formula>
    </cfRule>
  </conditionalFormatting>
  <conditionalFormatting sqref="FR12:FS12">
    <cfRule type="cellIs" dxfId="127" priority="94" operator="equal">
      <formula>"Missed TCD"</formula>
    </cfRule>
    <cfRule type="cellIs" dxfId="126" priority="95" operator="equal">
      <formula>"On-Track"</formula>
    </cfRule>
    <cfRule type="cellIs" dxfId="125" priority="96" operator="equal">
      <formula>"At Risk"</formula>
    </cfRule>
  </conditionalFormatting>
  <conditionalFormatting sqref="CS12">
    <cfRule type="cellIs" dxfId="124" priority="93" operator="equal">
      <formula>"Execution schedule has been re-baselined w/ FAIR PO Ack ACD. Validate your durations before publishing"</formula>
    </cfRule>
  </conditionalFormatting>
  <conditionalFormatting sqref="L14 U14 BN14 BQ14 BT14 BW14 BZ14 CC14 CF14 CI14 CL14 DE14 DO14 DZ14:EA14 ED14 EM14 EP14 ES14 EV14 EY14 FE14 FH14 DR14 DV14">
    <cfRule type="notContainsBlanks" dxfId="123" priority="92">
      <formula>LEN(TRIM(L14))&gt;0</formula>
    </cfRule>
  </conditionalFormatting>
  <conditionalFormatting sqref="E13:E14">
    <cfRule type="cellIs" dxfId="122" priority="87" operator="equal">
      <formula>"Red"</formula>
    </cfRule>
    <cfRule type="cellIs" dxfId="121" priority="88" operator="equal">
      <formula>"Unknown"</formula>
    </cfRule>
    <cfRule type="cellIs" dxfId="120" priority="89" operator="equal">
      <formula>"Covered"</formula>
    </cfRule>
    <cfRule type="cellIs" dxfId="119" priority="90" operator="equal">
      <formula>"Green"</formula>
    </cfRule>
    <cfRule type="cellIs" dxfId="118" priority="91" operator="equal">
      <formula>"Yellow"</formula>
    </cfRule>
  </conditionalFormatting>
  <conditionalFormatting sqref="FR14:FS14">
    <cfRule type="cellIs" dxfId="117" priority="84" operator="equal">
      <formula>"Missed TCD"</formula>
    </cfRule>
    <cfRule type="cellIs" dxfId="116" priority="85" operator="equal">
      <formula>"On-Track"</formula>
    </cfRule>
    <cfRule type="cellIs" dxfId="115" priority="86" operator="equal">
      <formula>"At Risk"</formula>
    </cfRule>
  </conditionalFormatting>
  <conditionalFormatting sqref="CS14">
    <cfRule type="cellIs" dxfId="114" priority="83" operator="equal">
      <formula>"Execution schedule has been re-baselined w/ FAIR PO Ack ACD. Validate your durations before publishing"</formula>
    </cfRule>
  </conditionalFormatting>
  <conditionalFormatting sqref="C9">
    <cfRule type="duplicateValues" dxfId="113" priority="80"/>
  </conditionalFormatting>
  <conditionalFormatting sqref="C9">
    <cfRule type="duplicateValues" dxfId="112" priority="81"/>
    <cfRule type="duplicateValues" dxfId="111" priority="82"/>
  </conditionalFormatting>
  <conditionalFormatting sqref="C10">
    <cfRule type="duplicateValues" dxfId="110" priority="77"/>
  </conditionalFormatting>
  <conditionalFormatting sqref="C10">
    <cfRule type="duplicateValues" dxfId="109" priority="78"/>
    <cfRule type="duplicateValues" dxfId="108" priority="79"/>
  </conditionalFormatting>
  <conditionalFormatting sqref="C11">
    <cfRule type="duplicateValues" dxfId="107" priority="74"/>
  </conditionalFormatting>
  <conditionalFormatting sqref="C11">
    <cfRule type="duplicateValues" dxfId="106" priority="75"/>
    <cfRule type="duplicateValues" dxfId="105" priority="76"/>
  </conditionalFormatting>
  <conditionalFormatting sqref="C12">
    <cfRule type="duplicateValues" dxfId="104" priority="71"/>
  </conditionalFormatting>
  <conditionalFormatting sqref="C12">
    <cfRule type="duplicateValues" dxfId="103" priority="72"/>
    <cfRule type="duplicateValues" dxfId="102" priority="73"/>
  </conditionalFormatting>
  <conditionalFormatting sqref="C13">
    <cfRule type="duplicateValues" dxfId="101" priority="68"/>
  </conditionalFormatting>
  <conditionalFormatting sqref="C13">
    <cfRule type="duplicateValues" dxfId="100" priority="69"/>
    <cfRule type="duplicateValues" dxfId="99" priority="70"/>
  </conditionalFormatting>
  <conditionalFormatting sqref="C14">
    <cfRule type="duplicateValues" dxfId="98" priority="65"/>
  </conditionalFormatting>
  <conditionalFormatting sqref="C14">
    <cfRule type="duplicateValues" dxfId="97" priority="66"/>
    <cfRule type="duplicateValues" dxfId="96" priority="67"/>
  </conditionalFormatting>
  <conditionalFormatting sqref="I12">
    <cfRule type="notContainsBlanks" dxfId="95" priority="64">
      <formula>LEN(TRIM(I12))&gt;0</formula>
    </cfRule>
  </conditionalFormatting>
  <conditionalFormatting sqref="I12">
    <cfRule type="notContainsBlanks" dxfId="94" priority="63">
      <formula>LEN(TRIM(I12))&gt;0</formula>
    </cfRule>
  </conditionalFormatting>
  <conditionalFormatting sqref="I14">
    <cfRule type="notContainsBlanks" dxfId="93" priority="62">
      <formula>LEN(TRIM(I14))&gt;0</formula>
    </cfRule>
  </conditionalFormatting>
  <conditionalFormatting sqref="I14">
    <cfRule type="notContainsBlanks" dxfId="92" priority="61">
      <formula>LEN(TRIM(I14))&gt;0</formula>
    </cfRule>
  </conditionalFormatting>
  <conditionalFormatting sqref="R14 R12">
    <cfRule type="notContainsBlanks" dxfId="91" priority="56">
      <formula>LEN(TRIM(R12))&gt;0</formula>
    </cfRule>
  </conditionalFormatting>
  <conditionalFormatting sqref="R14 R12">
    <cfRule type="notContainsBlanks" dxfId="90" priority="55">
      <formula>LEN(TRIM(R12))&gt;0</formula>
    </cfRule>
  </conditionalFormatting>
  <conditionalFormatting sqref="X14 X12">
    <cfRule type="notContainsBlanks" dxfId="89" priority="54">
      <formula>LEN(TRIM(X12))&gt;0</formula>
    </cfRule>
  </conditionalFormatting>
  <conditionalFormatting sqref="X14 X12">
    <cfRule type="notContainsBlanks" dxfId="88" priority="53">
      <formula>LEN(TRIM(X12))&gt;0</formula>
    </cfRule>
  </conditionalFormatting>
  <conditionalFormatting sqref="AA14 AA12">
    <cfRule type="notContainsBlanks" dxfId="87" priority="52">
      <formula>LEN(TRIM(AA12))&gt;0</formula>
    </cfRule>
  </conditionalFormatting>
  <conditionalFormatting sqref="AA14 AA12">
    <cfRule type="notContainsBlanks" dxfId="86" priority="51">
      <formula>LEN(TRIM(AA12))&gt;0</formula>
    </cfRule>
  </conditionalFormatting>
  <conditionalFormatting sqref="AD14 AD12">
    <cfRule type="notContainsBlanks" dxfId="85" priority="50">
      <formula>LEN(TRIM(AD12))&gt;0</formula>
    </cfRule>
  </conditionalFormatting>
  <conditionalFormatting sqref="AD14 AD12">
    <cfRule type="notContainsBlanks" dxfId="84" priority="49">
      <formula>LEN(TRIM(AD12))&gt;0</formula>
    </cfRule>
  </conditionalFormatting>
  <conditionalFormatting sqref="AG14 AG12">
    <cfRule type="notContainsBlanks" dxfId="83" priority="48">
      <formula>LEN(TRIM(AG12))&gt;0</formula>
    </cfRule>
  </conditionalFormatting>
  <conditionalFormatting sqref="AG14 AG12">
    <cfRule type="notContainsBlanks" dxfId="82" priority="47">
      <formula>LEN(TRIM(AG12))&gt;0</formula>
    </cfRule>
  </conditionalFormatting>
  <conditionalFormatting sqref="AJ14 AJ12">
    <cfRule type="notContainsBlanks" dxfId="81" priority="46">
      <formula>LEN(TRIM(AJ12))&gt;0</formula>
    </cfRule>
  </conditionalFormatting>
  <conditionalFormatting sqref="AJ14 AJ12">
    <cfRule type="notContainsBlanks" dxfId="80" priority="45">
      <formula>LEN(TRIM(AJ12))&gt;0</formula>
    </cfRule>
  </conditionalFormatting>
  <conditionalFormatting sqref="AM14 AM12">
    <cfRule type="notContainsBlanks" dxfId="79" priority="44">
      <formula>LEN(TRIM(AM12))&gt;0</formula>
    </cfRule>
  </conditionalFormatting>
  <conditionalFormatting sqref="AM14 AM12">
    <cfRule type="notContainsBlanks" dxfId="78" priority="43">
      <formula>LEN(TRIM(AM12))&gt;0</formula>
    </cfRule>
  </conditionalFormatting>
  <conditionalFormatting sqref="AP14 AP12">
    <cfRule type="notContainsBlanks" dxfId="77" priority="42">
      <formula>LEN(TRIM(AP12))&gt;0</formula>
    </cfRule>
  </conditionalFormatting>
  <conditionalFormatting sqref="AP14 AP12">
    <cfRule type="notContainsBlanks" dxfId="76" priority="41">
      <formula>LEN(TRIM(AP12))&gt;0</formula>
    </cfRule>
  </conditionalFormatting>
  <conditionalFormatting sqref="AS14 AS12">
    <cfRule type="notContainsBlanks" dxfId="75" priority="40">
      <formula>LEN(TRIM(AS12))&gt;0</formula>
    </cfRule>
  </conditionalFormatting>
  <conditionalFormatting sqref="AS14 AS12">
    <cfRule type="notContainsBlanks" dxfId="74" priority="39">
      <formula>LEN(TRIM(AS12))&gt;0</formula>
    </cfRule>
  </conditionalFormatting>
  <conditionalFormatting sqref="AV14 AV12">
    <cfRule type="notContainsBlanks" dxfId="73" priority="38">
      <formula>LEN(TRIM(AV12))&gt;0</formula>
    </cfRule>
  </conditionalFormatting>
  <conditionalFormatting sqref="AV14 AV12">
    <cfRule type="notContainsBlanks" dxfId="72" priority="37">
      <formula>LEN(TRIM(AV12))&gt;0</formula>
    </cfRule>
  </conditionalFormatting>
  <conditionalFormatting sqref="AY14 AY12">
    <cfRule type="notContainsBlanks" dxfId="71" priority="36">
      <formula>LEN(TRIM(AY12))&gt;0</formula>
    </cfRule>
  </conditionalFormatting>
  <conditionalFormatting sqref="AY14 AY12">
    <cfRule type="notContainsBlanks" dxfId="70" priority="35">
      <formula>LEN(TRIM(AY12))&gt;0</formula>
    </cfRule>
  </conditionalFormatting>
  <conditionalFormatting sqref="BB14 BB12">
    <cfRule type="notContainsBlanks" dxfId="69" priority="34">
      <formula>LEN(TRIM(BB12))&gt;0</formula>
    </cfRule>
  </conditionalFormatting>
  <conditionalFormatting sqref="BB14 BB12">
    <cfRule type="notContainsBlanks" dxfId="68" priority="33">
      <formula>LEN(TRIM(BB12))&gt;0</formula>
    </cfRule>
  </conditionalFormatting>
  <conditionalFormatting sqref="BE14 BE12">
    <cfRule type="notContainsBlanks" dxfId="67" priority="32">
      <formula>LEN(TRIM(BE12))&gt;0</formula>
    </cfRule>
  </conditionalFormatting>
  <conditionalFormatting sqref="BE14 BE12">
    <cfRule type="notContainsBlanks" dxfId="66" priority="31">
      <formula>LEN(TRIM(BE12))&gt;0</formula>
    </cfRule>
  </conditionalFormatting>
  <conditionalFormatting sqref="BH14 BH12">
    <cfRule type="notContainsBlanks" dxfId="65" priority="30">
      <formula>LEN(TRIM(BH12))&gt;0</formula>
    </cfRule>
  </conditionalFormatting>
  <conditionalFormatting sqref="BH14 BH12">
    <cfRule type="notContainsBlanks" dxfId="64" priority="29">
      <formula>LEN(TRIM(BH12))&gt;0</formula>
    </cfRule>
  </conditionalFormatting>
  <conditionalFormatting sqref="BK14 BK12">
    <cfRule type="notContainsBlanks" dxfId="63" priority="28">
      <formula>LEN(TRIM(BK12))&gt;0</formula>
    </cfRule>
  </conditionalFormatting>
  <conditionalFormatting sqref="BK14 BK12">
    <cfRule type="notContainsBlanks" dxfId="62" priority="27">
      <formula>LEN(TRIM(BK12))&gt;0</formula>
    </cfRule>
  </conditionalFormatting>
  <conditionalFormatting sqref="CO14 CO12">
    <cfRule type="notContainsBlanks" dxfId="61" priority="26">
      <formula>LEN(TRIM(CO12))&gt;0</formula>
    </cfRule>
  </conditionalFormatting>
  <conditionalFormatting sqref="CO14 CO12">
    <cfRule type="notContainsBlanks" dxfId="60" priority="25">
      <formula>LEN(TRIM(CO12))&gt;0</formula>
    </cfRule>
  </conditionalFormatting>
  <conditionalFormatting sqref="CR14 CR12">
    <cfRule type="notContainsBlanks" dxfId="59" priority="24">
      <formula>LEN(TRIM(CR12))&gt;0</formula>
    </cfRule>
  </conditionalFormatting>
  <conditionalFormatting sqref="CR14 CR12">
    <cfRule type="notContainsBlanks" dxfId="58" priority="23">
      <formula>LEN(TRIM(CR12))&gt;0</formula>
    </cfRule>
  </conditionalFormatting>
  <conditionalFormatting sqref="CV14 CV12">
    <cfRule type="notContainsBlanks" dxfId="57" priority="22">
      <formula>LEN(TRIM(CV12))&gt;0</formula>
    </cfRule>
  </conditionalFormatting>
  <conditionalFormatting sqref="CV14 CV12">
    <cfRule type="notContainsBlanks" dxfId="56" priority="21">
      <formula>LEN(TRIM(CV12))&gt;0</formula>
    </cfRule>
  </conditionalFormatting>
  <conditionalFormatting sqref="CY14 CY12">
    <cfRule type="notContainsBlanks" dxfId="55" priority="20">
      <formula>LEN(TRIM(CY12))&gt;0</formula>
    </cfRule>
  </conditionalFormatting>
  <conditionalFormatting sqref="CY14 CY12">
    <cfRule type="notContainsBlanks" dxfId="54" priority="19">
      <formula>LEN(TRIM(CY12))&gt;0</formula>
    </cfRule>
  </conditionalFormatting>
  <conditionalFormatting sqref="DB14 DB12">
    <cfRule type="notContainsBlanks" dxfId="53" priority="18">
      <formula>LEN(TRIM(DB12))&gt;0</formula>
    </cfRule>
  </conditionalFormatting>
  <conditionalFormatting sqref="DB14 DB12">
    <cfRule type="notContainsBlanks" dxfId="52" priority="17">
      <formula>LEN(TRIM(DB12))&gt;0</formula>
    </cfRule>
  </conditionalFormatting>
  <conditionalFormatting sqref="DH14 DH12">
    <cfRule type="notContainsBlanks" dxfId="51" priority="16">
      <formula>LEN(TRIM(DH12))&gt;0</formula>
    </cfRule>
  </conditionalFormatting>
  <conditionalFormatting sqref="DH14 DH12">
    <cfRule type="notContainsBlanks" dxfId="50" priority="15">
      <formula>LEN(TRIM(DH12))&gt;0</formula>
    </cfRule>
  </conditionalFormatting>
  <conditionalFormatting sqref="DL14 DL12">
    <cfRule type="notContainsBlanks" dxfId="49" priority="14">
      <formula>LEN(TRIM(DL12))&gt;0</formula>
    </cfRule>
  </conditionalFormatting>
  <conditionalFormatting sqref="DL14 DL12">
    <cfRule type="notContainsBlanks" dxfId="48" priority="13">
      <formula>LEN(TRIM(DL12))&gt;0</formula>
    </cfRule>
  </conditionalFormatting>
  <conditionalFormatting sqref="EG14 EG12">
    <cfRule type="notContainsBlanks" dxfId="47" priority="12">
      <formula>LEN(TRIM(EG12))&gt;0</formula>
    </cfRule>
  </conditionalFormatting>
  <conditionalFormatting sqref="EG14 EG12">
    <cfRule type="notContainsBlanks" dxfId="46" priority="11">
      <formula>LEN(TRIM(EG12))&gt;0</formula>
    </cfRule>
  </conditionalFormatting>
  <conditionalFormatting sqref="EJ14 EJ12">
    <cfRule type="notContainsBlanks" dxfId="45" priority="10">
      <formula>LEN(TRIM(EJ12))&gt;0</formula>
    </cfRule>
  </conditionalFormatting>
  <conditionalFormatting sqref="EJ14 EJ12">
    <cfRule type="notContainsBlanks" dxfId="44" priority="9">
      <formula>LEN(TRIM(EJ12))&gt;0</formula>
    </cfRule>
  </conditionalFormatting>
  <conditionalFormatting sqref="FB14 FB12">
    <cfRule type="notContainsBlanks" dxfId="43" priority="8">
      <formula>LEN(TRIM(FB12))&gt;0</formula>
    </cfRule>
  </conditionalFormatting>
  <conditionalFormatting sqref="FB14 FB12">
    <cfRule type="notContainsBlanks" dxfId="42" priority="7">
      <formula>LEN(TRIM(FB12))&gt;0</formula>
    </cfRule>
  </conditionalFormatting>
  <conditionalFormatting sqref="FK14 FK12">
    <cfRule type="notContainsBlanks" dxfId="41" priority="6">
      <formula>LEN(TRIM(FK12))&gt;0</formula>
    </cfRule>
  </conditionalFormatting>
  <conditionalFormatting sqref="FK14 FK12">
    <cfRule type="notContainsBlanks" dxfId="40" priority="5">
      <formula>LEN(TRIM(FK12))&gt;0</formula>
    </cfRule>
  </conditionalFormatting>
  <conditionalFormatting sqref="FI14 FI12">
    <cfRule type="notContainsBlanks" dxfId="39" priority="4">
      <formula>LEN(TRIM(FI12))&gt;0</formula>
    </cfRule>
  </conditionalFormatting>
  <conditionalFormatting sqref="FI14 FI12">
    <cfRule type="notContainsBlanks" dxfId="38" priority="3">
      <formula>LEN(TRIM(FI12))&gt;0</formula>
    </cfRule>
  </conditionalFormatting>
  <conditionalFormatting sqref="FQ14 FQ12">
    <cfRule type="notContainsBlanks" dxfId="37" priority="2">
      <formula>LEN(TRIM(FQ12))&gt;0</formula>
    </cfRule>
  </conditionalFormatting>
  <conditionalFormatting sqref="FQ14 FQ12">
    <cfRule type="notContainsBlanks" dxfId="36" priority="1">
      <formula>LEN(TRIM(FQ12))&gt;0</formula>
    </cfRule>
  </conditionalFormatting>
  <dataValidations count="4">
    <dataValidation operator="greaterThan" allowBlank="1" showInputMessage="1" showErrorMessage="1" sqref="FR1:FS2 CS9:CS14 FR7:FS1048576" xr:uid="{E7562A0B-61FD-4004-8DEA-36C4511A013A}"/>
    <dataValidation type="whole" operator="greaterThan" allowBlank="1" showInputMessage="1" showErrorMessage="1" sqref="EZ7:FB7 BC7:BE7 BA1:BE6 ET7 BI5 FL5 DC7:DE7 EZ4 EN7 EQ7 EW7 DG1 DX1 DQ1 DT2:DU2 DT1 EB1 DI2:DK2 DI1:DJ1 DI7 DS7 DW7 EA7 EB2:EC2 BJ1:DF2 DX2:DY2 DZ1:EA2 DV1:DW2 DM1:DP2 CM4 BG1:BI3 AC1:AD6 ED1:FQ2 CS8 BI7:CP1048576 CQ15:CS1048576 D9:D1048576 I1:AB1048576 FO7:FQ1048576 DQ8:ED1048576 AC8:AD1048576 BF1:BF1048576 BA8:BE1048576 FM8:FN1048576 EN8:FB1048576 DA8:DE1048576 CT7:CT1048576 DI8:DL1048576 FD8:FH1048576 CW7:CZ1048576 DM7:DP1048576 EE7:EM1048576 AE1:AZ1048576 CU8:CV1048576 FC7:FC1048576 CQ8:CR14 DF7:DH1048576 BG5:BH1048576 FI7:FL1048576" xr:uid="{84F31B0F-7F3B-4F81-91EF-CF6B135FACDA}">
      <formula1>-9999</formula1>
    </dataValidation>
    <dataValidation type="list" allowBlank="1" showInputMessage="1" showErrorMessage="1" sqref="E9:E1048576" xr:uid="{35E056E9-B255-4640-A1CD-89FC9799F9F0}">
      <formula1>"Covered,Green,Yellow,Red,Unknown"</formula1>
    </dataValidation>
    <dataValidation type="list" allowBlank="1" showInputMessage="1" showErrorMessage="1" sqref="H6:H1048576" xr:uid="{B00DB7FF-08BE-4744-94E4-579977534B2E}">
      <formula1>"Pre-Execution,Execution"</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A32B62-19AB-4C9A-B978-A15C79CE03E0}">
  <sheetPr codeName="Sheet4"/>
  <dimension ref="A1:C13"/>
  <sheetViews>
    <sheetView workbookViewId="0"/>
  </sheetViews>
  <sheetFormatPr defaultRowHeight="14.5" x14ac:dyDescent="0.35"/>
  <cols>
    <col min="3" max="3" width="10.26953125" bestFit="1" customWidth="1"/>
  </cols>
  <sheetData>
    <row r="1" spans="1:3" x14ac:dyDescent="0.35">
      <c r="A1" s="14" t="s">
        <v>483</v>
      </c>
      <c r="B1" s="15" t="s">
        <v>484</v>
      </c>
      <c r="C1" s="15" t="s">
        <v>485</v>
      </c>
    </row>
    <row r="2" spans="1:3" x14ac:dyDescent="0.35">
      <c r="A2" t="s">
        <v>486</v>
      </c>
      <c r="C2" s="9">
        <v>45758</v>
      </c>
    </row>
    <row r="3" spans="1:3" x14ac:dyDescent="0.35">
      <c r="A3" t="s">
        <v>487</v>
      </c>
      <c r="B3">
        <v>5</v>
      </c>
      <c r="C3" s="9">
        <f>WORKDAY(C2,B3)</f>
        <v>45765</v>
      </c>
    </row>
    <row r="4" spans="1:3" x14ac:dyDescent="0.35">
      <c r="A4" t="s">
        <v>488</v>
      </c>
      <c r="B4">
        <v>10</v>
      </c>
      <c r="C4" s="9">
        <f t="shared" ref="C4:C13" si="0">WORKDAY(C3,B4)</f>
        <v>45779</v>
      </c>
    </row>
    <row r="5" spans="1:3" x14ac:dyDescent="0.35">
      <c r="A5" t="s">
        <v>489</v>
      </c>
      <c r="B5">
        <v>15</v>
      </c>
      <c r="C5" s="9">
        <f t="shared" si="0"/>
        <v>45800</v>
      </c>
    </row>
    <row r="6" spans="1:3" x14ac:dyDescent="0.35">
      <c r="A6" t="s">
        <v>490</v>
      </c>
      <c r="B6">
        <v>5</v>
      </c>
      <c r="C6" s="9">
        <f t="shared" si="0"/>
        <v>45807</v>
      </c>
    </row>
    <row r="7" spans="1:3" x14ac:dyDescent="0.35">
      <c r="A7" t="s">
        <v>491</v>
      </c>
      <c r="B7">
        <v>45</v>
      </c>
      <c r="C7" s="9">
        <f t="shared" si="0"/>
        <v>45870</v>
      </c>
    </row>
    <row r="8" spans="1:3" x14ac:dyDescent="0.35">
      <c r="A8" t="s">
        <v>492</v>
      </c>
      <c r="B8">
        <v>10</v>
      </c>
      <c r="C8" s="9">
        <f t="shared" si="0"/>
        <v>45884</v>
      </c>
    </row>
    <row r="9" spans="1:3" x14ac:dyDescent="0.35">
      <c r="A9" t="s">
        <v>493</v>
      </c>
      <c r="B9">
        <v>50</v>
      </c>
      <c r="C9" s="9">
        <f t="shared" si="0"/>
        <v>45954</v>
      </c>
    </row>
    <row r="10" spans="1:3" x14ac:dyDescent="0.35">
      <c r="A10" t="s">
        <v>494</v>
      </c>
      <c r="B10">
        <v>10</v>
      </c>
      <c r="C10" s="9">
        <f t="shared" si="0"/>
        <v>45968</v>
      </c>
    </row>
    <row r="11" spans="1:3" x14ac:dyDescent="0.35">
      <c r="A11" t="s">
        <v>495</v>
      </c>
      <c r="B11">
        <v>5</v>
      </c>
      <c r="C11" s="9">
        <f t="shared" si="0"/>
        <v>45975</v>
      </c>
    </row>
    <row r="12" spans="1:3" x14ac:dyDescent="0.35">
      <c r="A12" t="s">
        <v>496</v>
      </c>
      <c r="B12">
        <v>85</v>
      </c>
      <c r="C12" s="9">
        <f t="shared" si="0"/>
        <v>46094</v>
      </c>
    </row>
    <row r="13" spans="1:3" x14ac:dyDescent="0.35">
      <c r="A13" t="s">
        <v>497</v>
      </c>
      <c r="B13">
        <v>10</v>
      </c>
      <c r="C13" s="9">
        <f t="shared" si="0"/>
        <v>46108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5ED08968429F841957127518CBE11EB" ma:contentTypeVersion="3" ma:contentTypeDescription="Create a new document." ma:contentTypeScope="" ma:versionID="8b55102dfc24a116c3212cdb8818b1af">
  <xsd:schema xmlns:xsd="http://www.w3.org/2001/XMLSchema" xmlns:xs="http://www.w3.org/2001/XMLSchema" xmlns:p="http://schemas.microsoft.com/office/2006/metadata/properties" xmlns:ns2="d42d171d-8134-49e3-9261-5540650d98f6" targetNamespace="http://schemas.microsoft.com/office/2006/metadata/properties" ma:root="true" ma:fieldsID="deb8d1a803aea5bd36c220f7888e5f51" ns2:_="">
    <xsd:import namespace="d42d171d-8134-49e3-9261-5540650d98f6"/>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42d171d-8134-49e3-9261-5540650d98f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8B12F36-C287-4DC0-B6F6-445FBFCA854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42d171d-8134-49e3-9261-5540650d98f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604276B-22BA-48E5-8D2C-E35445855F0E}">
  <ds:schemaRefs>
    <ds:schemaRef ds:uri="http://purl.org/dc/terms/"/>
    <ds:schemaRef ds:uri="http://purl.org/dc/elements/1.1/"/>
    <ds:schemaRef ds:uri="http://www.w3.org/XML/1998/namespace"/>
    <ds:schemaRef ds:uri="http://schemas.microsoft.com/office/2006/documentManagement/types"/>
    <ds:schemaRef ds:uri="http://purl.org/dc/dcmitype/"/>
    <ds:schemaRef ds:uri="http://schemas.openxmlformats.org/package/2006/metadata/core-properties"/>
    <ds:schemaRef ds:uri="http://schemas.microsoft.com/office/2006/metadata/properties"/>
    <ds:schemaRef ds:uri="http://schemas.microsoft.com/office/infopath/2007/PartnerControls"/>
    <ds:schemaRef ds:uri="d42d171d-8134-49e3-9261-5540650d98f6"/>
  </ds:schemaRefs>
</ds:datastoreItem>
</file>

<file path=customXml/itemProps3.xml><?xml version="1.0" encoding="utf-8"?>
<ds:datastoreItem xmlns:ds="http://schemas.openxmlformats.org/officeDocument/2006/customXml" ds:itemID="{E4DC704B-3B43-4446-949D-CF537C83CBE4}">
  <ds:schemaRefs>
    <ds:schemaRef ds:uri="http://schemas.microsoft.com/sharepoint/v3/contenttype/forms"/>
  </ds:schemaRefs>
</ds:datastoreItem>
</file>

<file path=docMetadata/LabelInfo.xml><?xml version="1.0" encoding="utf-8"?>
<clbl:labelList xmlns:clbl="http://schemas.microsoft.com/office/2020/mipLabelMetadata">
  <clbl:label id="{6ee0f640-a56a-42e2-b6b0-038f80e79f5c}" enabled="1" method="Standard" siteId="{088ba556-7df5-4286-96d5-06283c06d167}" removed="0"/>
  <clbl:label id="{d546e5e1-5d42-4630-bacd-c69bfdcbd5e8}" enabled="1" method="Standard" siteId="{96ece526-9c7d-48b0-8daf-8b93c90a5d18}"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SIMS_Template</vt:lpstr>
      <vt:lpstr>SIMS</vt:lpstr>
      <vt:lpstr>Inchstone Example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Vale, Walter (SR-Power Systems)</dc:creator>
  <cp:keywords/>
  <dc:description/>
  <cp:lastModifiedBy>G, Rathna</cp:lastModifiedBy>
  <cp:revision/>
  <dcterms:created xsi:type="dcterms:W3CDTF">2025-03-07T14:46:06Z</dcterms:created>
  <dcterms:modified xsi:type="dcterms:W3CDTF">2026-04-30T20:36:18Z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0x01010085ED08968429F841957127518CBE11EB</vt:lpwstr>
  </property>
  <property fmtid="{D5CDD505-2E9C-101B-9397-08002B2CF9AE}" pid="3" name="SGM_SYS_Server">
    <vt:lpwstr>https://accolade.honeywell.com:443</vt:lpwstr>
  </property>
  <property fmtid="{D5CDD505-2E9C-101B-9397-08002B2CF9AE}" pid="4" name="SGM_SYS_ProjectID">
    <vt:i4>0</vt:i4>
  </property>
  <property fmtid="{D5CDD505-2E9C-101B-9397-08002B2CF9AE}" pid="5" name="SGM_SYS_ActivityID">
    <vt:i4>0</vt:i4>
  </property>
  <property fmtid="{D5CDD505-2E9C-101B-9397-08002B2CF9AE}" pid="6" name="SGM_SYS_DeliverableID">
    <vt:i4>0</vt:i4>
  </property>
  <property fmtid="{D5CDD505-2E9C-101B-9397-08002B2CF9AE}" pid="7" name="SGM_SYS_RelatedFileID">
    <vt:i4>0</vt:i4>
  </property>
  <property fmtid="{D5CDD505-2E9C-101B-9397-08002B2CF9AE}" pid="8" name="SGM_SYS_GateDocumentID">
    <vt:i4>0</vt:i4>
  </property>
  <property fmtid="{D5CDD505-2E9C-101B-9397-08002B2CF9AE}" pid="9" name="SGM_SYS_TemplateLibraryID">
    <vt:i4>0</vt:i4>
  </property>
</Properties>
</file>