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359" documentId="13_ncr:1_{CE152B62-B260-4332-9BA4-B176FF67B67F}" xr6:coauthVersionLast="47" xr6:coauthVersionMax="47" xr10:uidLastSave="{54A63C7B-911E-401F-961D-14AF8B728EEC}"/>
  <bookViews>
    <workbookView xWindow="-110" yWindow="-110" windowWidth="19420" windowHeight="10300" tabRatio="587" firstSheet="2" activeTab="2" xr2:uid="{D3CD9099-DA27-4BA4-AFE1-4D3091A45DA0}"/>
  </bookViews>
  <sheets>
    <sheet name="Instructions" sheetId="7" r:id="rId1"/>
    <sheet name="SIMS_Template" sheetId="19" r:id="rId2"/>
    <sheet name="SIMS" sheetId="26" r:id="rId3"/>
    <sheet name="Inchstone Example" sheetId="17" r:id="rId4"/>
  </sheets>
  <definedNames>
    <definedName name="_xlnm._FilterDatabase" localSheetId="0" hidden="1">Instructions!$A$26:$B$26</definedName>
    <definedName name="_xlnm._FilterDatabase" localSheetId="2" hidden="1">SIMS!$A$8:$FW$24</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0" i="26" l="1"/>
  <c r="R16" i="26"/>
  <c r="R14" i="26"/>
  <c r="R12" i="26"/>
  <c r="O20" i="26"/>
  <c r="O14" i="26"/>
  <c r="O12" i="26"/>
  <c r="AC24" i="26"/>
  <c r="AF24" i="26" s="1"/>
  <c r="N24" i="26"/>
  <c r="R24" i="26"/>
  <c r="E24" i="26"/>
  <c r="AC22" i="26"/>
  <c r="AF22" i="26" s="1"/>
  <c r="N22" i="26"/>
  <c r="E22" i="26"/>
  <c r="AC20" i="26"/>
  <c r="AF20" i="26" s="1"/>
  <c r="N20" i="26"/>
  <c r="Q20" i="26" s="1"/>
  <c r="W20" i="26" s="1"/>
  <c r="E20" i="26"/>
  <c r="AC18" i="26"/>
  <c r="AF18" i="26" s="1"/>
  <c r="N18" i="26"/>
  <c r="R18" i="26"/>
  <c r="E18" i="26"/>
  <c r="AC16" i="26"/>
  <c r="AF16" i="26" s="1"/>
  <c r="N16" i="26"/>
  <c r="E16" i="26"/>
  <c r="AC14" i="26"/>
  <c r="AF14" i="26" s="1"/>
  <c r="N14" i="26"/>
  <c r="E14" i="26"/>
  <c r="AC12" i="26"/>
  <c r="AF12" i="26" s="1"/>
  <c r="N12" i="26"/>
  <c r="E12" i="26"/>
  <c r="AC10" i="26"/>
  <c r="AF10" i="26" s="1"/>
  <c r="N10" i="26"/>
  <c r="R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R22" i="26" l="1"/>
  <c r="O22" i="26"/>
  <c r="Q22" i="26" s="1"/>
  <c r="O16" i="26"/>
  <c r="Q16" i="26" s="1"/>
  <c r="O18" i="26"/>
  <c r="Q18" i="26" s="1"/>
  <c r="O24" i="26"/>
  <c r="Q24" i="26" s="1"/>
  <c r="O10" i="26"/>
  <c r="Q14" i="26"/>
  <c r="Q12" i="26"/>
  <c r="Q10" i="26"/>
  <c r="W10" i="26" s="1"/>
  <c r="W18" i="26"/>
  <c r="Z18" i="26"/>
  <c r="AI18" i="26" s="1"/>
  <c r="Z24" i="26"/>
  <c r="AI24" i="26" s="1"/>
  <c r="W24" i="26"/>
  <c r="Z22" i="26"/>
  <c r="AI22" i="26" s="1"/>
  <c r="Z20" i="26"/>
  <c r="AI20" i="26" s="1"/>
  <c r="W16" i="26"/>
  <c r="Z16" i="26"/>
  <c r="AI16" i="26" s="1"/>
  <c r="W14" i="26"/>
  <c r="Z14" i="26"/>
  <c r="AI14" i="26" s="1"/>
  <c r="W12" i="26"/>
  <c r="Z12" i="26"/>
  <c r="AI12" i="26" s="1"/>
  <c r="Z10" i="26"/>
  <c r="AI10" i="26" s="1"/>
  <c r="A4" i="7" a="1"/>
  <c r="A4" i="7" s="1"/>
  <c r="N12" i="19"/>
  <c r="AJ12" i="26" l="1"/>
  <c r="AJ20" i="26"/>
  <c r="AJ16" i="26"/>
  <c r="AL16" i="26" s="1"/>
  <c r="AO16" i="26" s="1"/>
  <c r="AL12" i="26"/>
  <c r="AO12" i="26" s="1"/>
  <c r="AR12" i="26" s="1"/>
  <c r="AS18" i="26"/>
  <c r="AJ18" i="26"/>
  <c r="W22" i="26"/>
  <c r="AJ14" i="26"/>
  <c r="AL14" i="26" s="1"/>
  <c r="AO14" i="26" s="1"/>
  <c r="AL20" i="26"/>
  <c r="AO20" i="26" s="1"/>
  <c r="BA20" i="26" s="1"/>
  <c r="CX20" i="26" s="1"/>
  <c r="DA20" i="26" s="1"/>
  <c r="AJ24" i="26"/>
  <c r="AL24" i="26" s="1"/>
  <c r="AO24" i="26" s="1"/>
  <c r="AL18" i="26"/>
  <c r="AO18" i="26" s="1"/>
  <c r="AR18" i="26" s="1"/>
  <c r="AJ22" i="26"/>
  <c r="AL22" i="26" s="1"/>
  <c r="AO22" i="26" s="1"/>
  <c r="BA22" i="26" s="1"/>
  <c r="CX22" i="26" s="1"/>
  <c r="DA22" i="26" s="1"/>
  <c r="AJ10" i="26"/>
  <c r="AL10" i="26" s="1"/>
  <c r="AO10" i="26" s="1"/>
  <c r="AS20" i="26"/>
  <c r="AS22" i="26"/>
  <c r="AS14" i="26"/>
  <c r="BA12" i="26"/>
  <c r="CX12" i="26" s="1"/>
  <c r="DA12" i="26" s="1"/>
  <c r="H18" i="19"/>
  <c r="H16" i="19"/>
  <c r="H14" i="19"/>
  <c r="H12" i="19"/>
  <c r="H10" i="19"/>
  <c r="BA24" i="26" l="1"/>
  <c r="CX24" i="26" s="1"/>
  <c r="DA24" i="26" s="1"/>
  <c r="AR24" i="26"/>
  <c r="BA14" i="26"/>
  <c r="CX14" i="26" s="1"/>
  <c r="DA14" i="26" s="1"/>
  <c r="AR14" i="26"/>
  <c r="AR10" i="26"/>
  <c r="BA10" i="26"/>
  <c r="CX10" i="26" s="1"/>
  <c r="DA10" i="26" s="1"/>
  <c r="BA16" i="26"/>
  <c r="CX16" i="26" s="1"/>
  <c r="DA16" i="26" s="1"/>
  <c r="AR16" i="26"/>
  <c r="AR20" i="26"/>
  <c r="AS12" i="26"/>
  <c r="AX12" i="26" s="1"/>
  <c r="BD12" i="26" s="1"/>
  <c r="AX18" i="26"/>
  <c r="AS16" i="26"/>
  <c r="BH20" i="26"/>
  <c r="BE20" i="26"/>
  <c r="AR22" i="26"/>
  <c r="BA18" i="26"/>
  <c r="CX18" i="26" s="1"/>
  <c r="DA18" i="26" s="1"/>
  <c r="AS10" i="26"/>
  <c r="AX10" i="26" s="1"/>
  <c r="AX16" i="26"/>
  <c r="BD16" i="26" s="1"/>
  <c r="AX22" i="26"/>
  <c r="BD22" i="26" s="1"/>
  <c r="AX20" i="26"/>
  <c r="BD20" i="26" s="1"/>
  <c r="BG20" i="26" s="1"/>
  <c r="AX14" i="26"/>
  <c r="E10" i="19"/>
  <c r="E18" i="19"/>
  <c r="E16" i="19"/>
  <c r="E14" i="19"/>
  <c r="E12" i="19"/>
  <c r="BD18" i="26" l="1"/>
  <c r="BH14" i="26"/>
  <c r="EI14" i="26" s="1"/>
  <c r="BE14" i="26"/>
  <c r="BD14" i="26"/>
  <c r="BG14" i="26" s="1"/>
  <c r="BD10" i="26"/>
  <c r="BE18" i="26"/>
  <c r="BG18" i="26" s="1"/>
  <c r="CR20" i="26"/>
  <c r="CO20" i="26"/>
  <c r="BH22" i="26"/>
  <c r="BJ22" i="26" s="1"/>
  <c r="CN22" i="26" s="1"/>
  <c r="BE22" i="26"/>
  <c r="BG22" i="26" s="1"/>
  <c r="AS24" i="26"/>
  <c r="AX24" i="26" s="1"/>
  <c r="BD24" i="26" s="1"/>
  <c r="BE16" i="26"/>
  <c r="BG16" i="26" s="1"/>
  <c r="EI22" i="26"/>
  <c r="EI20" i="26"/>
  <c r="BJ20" i="26"/>
  <c r="CN20" i="26" s="1"/>
  <c r="CQ20" i="26" s="1"/>
  <c r="BJ14" i="26"/>
  <c r="CN14" i="26" s="1"/>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BE24" i="26" l="1"/>
  <c r="BG24" i="26"/>
  <c r="CR14" i="26"/>
  <c r="CO14" i="26"/>
  <c r="CQ14" i="26"/>
  <c r="BE12" i="26"/>
  <c r="BG12" i="26" s="1"/>
  <c r="CV20" i="26"/>
  <c r="CR22" i="26"/>
  <c r="CO22" i="26"/>
  <c r="CQ22" i="26" s="1"/>
  <c r="CR18" i="26"/>
  <c r="CO18" i="26"/>
  <c r="H20" i="26"/>
  <c r="BH16" i="26"/>
  <c r="EI16" i="26" s="1"/>
  <c r="BH18" i="26"/>
  <c r="BJ18" i="26" s="1"/>
  <c r="CN18" i="26" s="1"/>
  <c r="BE10" i="26"/>
  <c r="BG10" i="26" s="1"/>
  <c r="CU22" i="26"/>
  <c r="CU20" i="26"/>
  <c r="DG20" i="26" s="1"/>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BJ16" i="26" l="1"/>
  <c r="CN16" i="26" s="1"/>
  <c r="CV22" i="26"/>
  <c r="DG22" i="26"/>
  <c r="CQ18" i="26"/>
  <c r="H18" i="26"/>
  <c r="H14" i="26"/>
  <c r="CO16" i="26"/>
  <c r="CQ16" i="26" s="1"/>
  <c r="H22" i="26"/>
  <c r="DH20" i="26"/>
  <c r="DL20" i="26" s="1"/>
  <c r="BH24" i="26"/>
  <c r="CV14" i="26"/>
  <c r="CU14" i="26"/>
  <c r="DG14" i="26" s="1"/>
  <c r="DK20" i="26"/>
  <c r="EF20" i="26" s="1"/>
  <c r="BH12" i="26"/>
  <c r="EI18" i="26"/>
  <c r="BH10" i="26"/>
  <c r="BJ10" i="26" s="1"/>
  <c r="CN10" i="26" s="1"/>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CV18" i="26" l="1"/>
  <c r="DH22" i="26"/>
  <c r="DL22" i="26" s="1"/>
  <c r="CO24" i="26"/>
  <c r="CU18" i="26"/>
  <c r="DG18" i="26" s="1"/>
  <c r="BJ24" i="26"/>
  <c r="CN24" i="26" s="1"/>
  <c r="EI24" i="26"/>
  <c r="CR16" i="26"/>
  <c r="DH14" i="26"/>
  <c r="DL14" i="26" s="1"/>
  <c r="CO12" i="26"/>
  <c r="EI12" i="26"/>
  <c r="BJ12" i="26"/>
  <c r="CN12" i="26" s="1"/>
  <c r="CQ12" i="26" s="1"/>
  <c r="EG20" i="26"/>
  <c r="FB20" i="26" s="1"/>
  <c r="CO10" i="26"/>
  <c r="EI10" i="26"/>
  <c r="CQ10"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FA20" i="26" l="1"/>
  <c r="FJ20" i="26" s="1"/>
  <c r="EG14" i="26"/>
  <c r="FB14" i="26" s="1"/>
  <c r="CR24" i="26"/>
  <c r="H16" i="26"/>
  <c r="CU16" i="26"/>
  <c r="EG22" i="26"/>
  <c r="FB22" i="26" s="1"/>
  <c r="FV20" i="26"/>
  <c r="FU20" i="26"/>
  <c r="FR20" i="26"/>
  <c r="FM20" i="26"/>
  <c r="DH18" i="26"/>
  <c r="DL18" i="26" s="1"/>
  <c r="FT19" i="26"/>
  <c r="FT20" i="26"/>
  <c r="DK22" i="26"/>
  <c r="EF22" i="26" s="1"/>
  <c r="FA22" i="26" s="1"/>
  <c r="FJ22" i="26" s="1"/>
  <c r="CQ24" i="26"/>
  <c r="CR12" i="26"/>
  <c r="DK14" i="26"/>
  <c r="EF14" i="26" s="1"/>
  <c r="FA14" i="26" s="1"/>
  <c r="FJ14" i="26" s="1"/>
  <c r="CR10" i="26"/>
  <c r="AX10" i="19"/>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H12" i="26" l="1"/>
  <c r="CU12" i="26"/>
  <c r="FU19" i="26"/>
  <c r="FV19" i="26"/>
  <c r="H24" i="26"/>
  <c r="CU24" i="26"/>
  <c r="FU22" i="26"/>
  <c r="FM22" i="26"/>
  <c r="FV22" i="26"/>
  <c r="FT21" i="26"/>
  <c r="FT22" i="26"/>
  <c r="DK18" i="26"/>
  <c r="EF18" i="26" s="1"/>
  <c r="FA18" i="26" s="1"/>
  <c r="FJ18" i="26" s="1"/>
  <c r="EG18" i="26"/>
  <c r="FB18" i="26" s="1"/>
  <c r="CV16" i="26"/>
  <c r="DG16" i="26" s="1"/>
  <c r="FU14" i="26"/>
  <c r="FM14" i="26"/>
  <c r="FV14" i="26"/>
  <c r="FR14" i="26"/>
  <c r="FT13" i="26"/>
  <c r="FT14" i="26"/>
  <c r="H10" i="26"/>
  <c r="CU10" i="26"/>
  <c r="CQ18" i="19"/>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FU21" i="26" l="1"/>
  <c r="FV21" i="26"/>
  <c r="DH16" i="26"/>
  <c r="DL16" i="26" s="1"/>
  <c r="FR22" i="26"/>
  <c r="CV12" i="26"/>
  <c r="FU13" i="26"/>
  <c r="FV13" i="26"/>
  <c r="FT17" i="26"/>
  <c r="FT18" i="26"/>
  <c r="DG12" i="26"/>
  <c r="FV18" i="26"/>
  <c r="FM18" i="26"/>
  <c r="FU18" i="26"/>
  <c r="CV24" i="26"/>
  <c r="DG24" i="26" s="1"/>
  <c r="CV10" i="26"/>
  <c r="DG10" i="26" s="1"/>
  <c r="CU12" i="19"/>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FU17" i="26" l="1"/>
  <c r="FV17" i="26"/>
  <c r="DH12" i="26"/>
  <c r="DL12" i="26" s="1"/>
  <c r="DK12" i="26"/>
  <c r="EF12" i="26" s="1"/>
  <c r="EG16" i="26"/>
  <c r="FB16" i="26" s="1"/>
  <c r="DH24" i="26"/>
  <c r="DL24" i="26" s="1"/>
  <c r="FR18" i="26"/>
  <c r="DK16" i="26"/>
  <c r="EF16" i="26" s="1"/>
  <c r="FA16" i="26" s="1"/>
  <c r="FJ16" i="26" s="1"/>
  <c r="DH10" i="26"/>
  <c r="DL10" i="26" s="1"/>
  <c r="CT12" i="19"/>
  <c r="CT16" i="19"/>
  <c r="CU16" i="19"/>
  <c r="DC16" i="19" s="1"/>
  <c r="DF16" i="19" s="1"/>
  <c r="DJ16" i="19" s="1"/>
  <c r="DM16" i="19" s="1"/>
  <c r="DP16" i="19" s="1"/>
  <c r="DT16" i="19" s="1"/>
  <c r="DX16" i="19" s="1"/>
  <c r="CT18" i="19"/>
  <c r="CT14" i="19"/>
  <c r="DF14" i="19" s="1"/>
  <c r="DT18" i="19"/>
  <c r="DX18" i="19" s="1"/>
  <c r="EB18" i="19" s="1"/>
  <c r="CQ14" i="19"/>
  <c r="DK10" i="26" l="1"/>
  <c r="EF10" i="26" s="1"/>
  <c r="FT15" i="26"/>
  <c r="FT16" i="26"/>
  <c r="EG12" i="26"/>
  <c r="FB12" i="26" s="1"/>
  <c r="FU16" i="26"/>
  <c r="FV16" i="26"/>
  <c r="FR16" i="26"/>
  <c r="FM16" i="26"/>
  <c r="FA12" i="26"/>
  <c r="FJ12" i="26" s="1"/>
  <c r="EG24" i="26"/>
  <c r="FB24" i="26" s="1"/>
  <c r="DK24" i="26"/>
  <c r="EF24" i="26" s="1"/>
  <c r="FA24" i="26" s="1"/>
  <c r="FJ24" i="26" s="1"/>
  <c r="EG10" i="26"/>
  <c r="DD16" i="19"/>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A10" i="26" l="1"/>
  <c r="FB10" i="26"/>
  <c r="FU24" i="26"/>
  <c r="FM24" i="26"/>
  <c r="FV24" i="26"/>
  <c r="FT11" i="26"/>
  <c r="FT12" i="26"/>
  <c r="FT23" i="26"/>
  <c r="FT24" i="26"/>
  <c r="FM12" i="26"/>
  <c r="FV12" i="26"/>
  <c r="FU12" i="26"/>
  <c r="FV15" i="26"/>
  <c r="FU15" i="26"/>
  <c r="FT9" i="26"/>
  <c r="FT10" i="26"/>
  <c r="FV10" i="19"/>
  <c r="FU10" i="19"/>
  <c r="FM10" i="19"/>
  <c r="EN12" i="19"/>
  <c r="ET12" i="19"/>
  <c r="EQ12" i="19"/>
  <c r="ER12" i="19"/>
  <c r="EO12" i="19"/>
  <c r="EU12" i="19"/>
  <c r="EC18" i="19"/>
  <c r="EF18" i="19" s="1"/>
  <c r="FJ10" i="26" l="1"/>
  <c r="FR24" i="26"/>
  <c r="FU23" i="26"/>
  <c r="FV23" i="26"/>
  <c r="FV11" i="26"/>
  <c r="FU11" i="26"/>
  <c r="FR12" i="26"/>
  <c r="FR10" i="26"/>
  <c r="EX12" i="19"/>
  <c r="FA12" i="19" s="1"/>
  <c r="FJ12" i="19" s="1"/>
  <c r="EW12" i="19"/>
  <c r="EZ12" i="19" s="1"/>
  <c r="FI12" i="19" s="1"/>
  <c r="EO18" i="19"/>
  <c r="EU18" i="19"/>
  <c r="ER18" i="19"/>
  <c r="EB16" i="19"/>
  <c r="EE16" i="19" s="1"/>
  <c r="EC16" i="19"/>
  <c r="EF16" i="19" s="1"/>
  <c r="EC14" i="19"/>
  <c r="EF14" i="19" s="1"/>
  <c r="EB14" i="19"/>
  <c r="EE14" i="19" s="1"/>
  <c r="FM10" i="26" l="1"/>
  <c r="FV10" i="26"/>
  <c r="FU10" i="26"/>
  <c r="FL12" i="19"/>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9" i="26" l="1"/>
  <c r="FU9" i="26"/>
  <c r="FV11" i="19"/>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<sst xmlns="http://schemas.openxmlformats.org/spreadsheetml/2006/main" count="903" uniqueCount="503">
  <si>
    <t>Mandatory Information</t>
  </si>
  <si>
    <t>Cells B3 to B6 are mandatory, make sure these are filled out before saving this file.
Please do not add rows or columns before this section. Do not rename the titles on column A either.</t>
  </si>
  <si>
    <t>Save SIMS by</t>
  </si>
  <si>
    <t>Project Name</t>
  </si>
  <si>
    <t>Inrcore LLC</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</si>
  <si>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</si>
  <si>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</si>
  <si>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</si>
  <si>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</si>
  <si>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</si>
  <si>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</si>
  <si>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</si>
  <si>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</si>
  <si>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</si>
  <si>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</si>
  <si>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</si>
  <si>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</si>
  <si>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</si>
  <si>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</si>
  <si>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</si>
  <si>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</si>
  <si>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</si>
  <si>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</si>
  <si>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</si>
  <si>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</si>
  <si>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</si>
  <si>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</si>
  <si>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</si>
  <si>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</si>
  <si>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</si>
  <si>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</si>
  <si>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</si>
  <si>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</si>
  <si>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</si>
  <si>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</si>
  <si>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</si>
  <si>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</si>
  <si>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</si>
  <si>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</si>
  <si>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</si>
  <si>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</si>
  <si>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</si>
  <si>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</si>
  <si>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</si>
  <si>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</si>
  <si>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</si>
  <si>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</si>
  <si>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</si>
  <si>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</si>
  <si>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</si>
  <si>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</si>
  <si>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</si>
  <si>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</si>
  <si>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</si>
  <si>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</si>
  <si>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</si>
  <si>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</si>
  <si>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</si>
  <si>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</si>
  <si>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</si>
  <si>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</si>
  <si>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</si>
  <si>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</si>
  <si>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</si>
  <si>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</si>
  <si>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</si>
  <si>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</si>
  <si>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</si>
  <si>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</si>
  <si>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</si>
  <si>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</si>
  <si>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</si>
  <si>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</si>
  <si>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</si>
  <si>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</si>
  <si>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</si>
  <si>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</si>
  <si>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</si>
  <si>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</si>
  <si>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</si>
  <si>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</si>
  <si>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</si>
  <si>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</si>
  <si>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</si>
  <si>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</si>
  <si>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</si>
  <si>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</si>
  <si>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</si>
  <si>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</si>
  <si>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</si>
  <si>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</si>
  <si>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</si>
  <si>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</si>
  <si>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</si>
  <si>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</si>
  <si>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</si>
  <si>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</si>
  <si>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</si>
  <si>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</si>
  <si>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</si>
  <si>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</si>
  <si>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</si>
  <si>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</si>
  <si>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</si>
  <si>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</si>
  <si>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</si>
  <si>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</si>
  <si>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</si>
  <si>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</si>
  <si>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</si>
  <si>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</si>
  <si>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</si>
  <si>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</si>
  <si>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</si>
  <si>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</si>
  <si>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</si>
  <si>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</si>
  <si>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</si>
  <si>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</si>
  <si>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</si>
  <si>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</si>
  <si>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</si>
  <si>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</si>
  <si>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</si>
  <si>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</si>
  <si>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</si>
  <si>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</si>
  <si>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</si>
  <si>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</si>
  <si>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</si>
  <si>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</si>
  <si>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</si>
  <si>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</si>
  <si>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</si>
  <si>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</si>
  <si>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</si>
  <si>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</si>
  <si>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</si>
  <si>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</si>
  <si>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</si>
  <si>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</si>
  <si>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</si>
  <si>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</si>
  <si>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</si>
  <si>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</si>
  <si>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</si>
  <si>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</si>
  <si>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</si>
  <si>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</si>
  <si>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</si>
  <si>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</si>
  <si>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</si>
  <si>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</si>
  <si>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</si>
  <si>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</si>
  <si>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</si>
  <si>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</si>
  <si>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</si>
  <si>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</si>
  <si>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</si>
  <si>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</si>
  <si>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</si>
  <si>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</si>
  <si>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</si>
  <si>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</si>
  <si>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</si>
  <si>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</si>
  <si>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</si>
  <si>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</si>
  <si>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</si>
  <si>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</si>
  <si>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</si>
  <si>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</si>
  <si>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</si>
  <si>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</si>
  <si>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</si>
  <si>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</si>
  <si>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</si>
  <si>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</si>
  <si>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</si>
  <si>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</si>
  <si>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</si>
  <si>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</si>
  <si>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</si>
  <si>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</si>
  <si>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</si>
  <si>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</si>
  <si>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</si>
  <si>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</si>
  <si>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</si>
  <si>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</si>
  <si>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</si>
  <si>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</si>
  <si>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</si>
  <si>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</si>
  <si>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</si>
  <si>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</si>
  <si>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</si>
  <si>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</si>
  <si>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</si>
  <si>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</si>
  <si>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</si>
  <si>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</si>
  <si>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</si>
  <si>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</si>
  <si>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</si>
  <si>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</si>
  <si>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</si>
  <si>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</si>
  <si>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</si>
  <si>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</si>
  <si>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</si>
  <si>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</si>
  <si>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</si>
  <si>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</si>
  <si>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</si>
  <si>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</si>
  <si>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</si>
  <si>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</si>
  <si>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</si>
  <si>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</si>
  <si>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</si>
  <si>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</si>
  <si>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</si>
  <si>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</si>
  <si>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</si>
  <si>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</si>
  <si>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</si>
  <si>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</si>
  <si>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</si>
  <si>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</si>
  <si>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</si>
  <si>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</si>
  <si>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</si>
  <si>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</si>
  <si>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</si>
  <si>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</si>
  <si>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</si>
  <si>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</si>
  <si>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</si>
  <si>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</si>
  <si>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</si>
  <si>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</si>
  <si>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</si>
  <si>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</si>
  <si>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</si>
  <si>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</si>
  <si>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</si>
  <si>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</si>
  <si>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</si>
  <si>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</si>
  <si>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</si>
  <si>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</si>
  <si>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</si>
  <si>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</si>
  <si>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</si>
  <si>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</si>
  <si>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</si>
  <si>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</si>
  <si>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</si>
  <si>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</si>
  <si>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</si>
  <si>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</si>
  <si>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</si>
  <si>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</si>
  <si>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</si>
  <si>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</si>
  <si>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</si>
  <si>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</si>
  <si>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</si>
  <si>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</si>
  <si>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</si>
  <si>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</si>
  <si>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</si>
  <si>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</si>
  <si>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</si>
  <si>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</si>
  <si>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</si>
  <si>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</si>
  <si>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</si>
  <si>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</si>
  <si>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</si>
  <si>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</si>
  <si>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</si>
  <si>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</si>
  <si>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</si>
  <si>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</si>
  <si>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</si>
  <si>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</si>
  <si>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</si>
  <si>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</si>
  <si>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</si>
  <si>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</si>
  <si>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</si>
  <si>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</si>
  <si>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</si>
  <si>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</si>
  <si>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</si>
  <si>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</si>
  <si>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</si>
  <si>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</si>
  <si>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</si>
  <si>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</si>
  <si>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</si>
  <si>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</si>
  <si>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</si>
  <si>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</si>
  <si>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</si>
  <si>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</si>
  <si>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</si>
  <si>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</si>
  <si>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</si>
  <si>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</si>
  <si>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</si>
  <si>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</si>
  <si>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</si>
  <si>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</si>
  <si>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</si>
  <si>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</si>
  <si>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</si>
  <si>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</si>
  <si>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</si>
  <si>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</si>
  <si>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</si>
  <si>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</si>
  <si>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</si>
  <si>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</si>
  <si>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</si>
  <si>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</si>
  <si>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</si>
  <si>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</si>
  <si>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</si>
  <si>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</si>
  <si>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</si>
  <si>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</si>
  <si>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</si>
  <si>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</si>
  <si>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</si>
  <si>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</si>
  <si>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</si>
  <si>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</si>
  <si>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</si>
  <si>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</si>
  <si>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</si>
  <si>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</si>
  <si>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</si>
  <si>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</si>
  <si>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</si>
  <si>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</si>
  <si>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</si>
  <si>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</si>
  <si>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</si>
  <si>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</si>
  <si>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</si>
  <si>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</si>
  <si>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</si>
  <si>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</si>
  <si>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</si>
  <si>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</si>
  <si>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</si>
  <si>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</si>
  <si>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</si>
  <si>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</si>
  <si>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</si>
  <si>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</si>
  <si>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</si>
  <si>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</si>
  <si>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</si>
  <si>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</si>
  <si>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</si>
  <si>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</si>
  <si>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</si>
  <si>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</si>
  <si>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</si>
  <si>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</si>
  <si>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</si>
  <si>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</si>
  <si>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</si>
  <si>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</si>
  <si>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</si>
  <si>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</si>
  <si>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</si>
  <si>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</si>
  <si>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</si>
  <si>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</si>
  <si>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</si>
  <si>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</si>
  <si>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</si>
  <si>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</si>
  <si>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</si>
  <si>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</si>
  <si>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</si>
  <si>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</si>
  <si>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</si>
  <si>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</si>
  <si>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</si>
  <si>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</si>
  <si>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</si>
  <si>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</si>
  <si>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</si>
  <si>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</si>
  <si>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</si>
  <si>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</si>
  <si>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</si>
  <si>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</si>
  <si>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</si>
  <si>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</si>
  <si>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</si>
  <si>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</si>
  <si>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</si>
  <si>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</si>
  <si>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</si>
  <si>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</si>
  <si>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</si>
  <si>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</si>
  <si>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</si>
  <si>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</si>
  <si>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</si>
  <si>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</si>
  <si>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</si>
  <si>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</si>
  <si>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</si>
  <si>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</si>
  <si>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</si>
  <si>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</si>
  <si>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</si>
  <si>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</si>
  <si>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</si>
  <si>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</si>
  <si>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</si>
  <si>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</si>
  <si>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</si>
  <si>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</si>
  <si>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</si>
  <si>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</si>
  <si>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</si>
  <si>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</si>
  <si>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</si>
  <si>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</si>
  <si>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</si>
  <si>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</si>
  <si>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</si>
  <si>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</si>
  <si>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</si>
  <si>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</si>
  <si>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</si>
  <si>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</si>
  <si>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</si>
  <si>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</si>
  <si>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</si>
  <si>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</si>
  <si>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</si>
  <si>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</si>
  <si>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</si>
  <si>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</si>
  <si>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</si>
  <si>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</si>
  <si>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</si>
  <si>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</si>
  <si>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</si>
  <si>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</si>
  <si>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</si>
  <si>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</si>
  <si>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</si>
  <si>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</si>
  <si>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</si>
  <si>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</si>
  <si>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</si>
  <si>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</si>
  <si>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</si>
  <si>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</si>
  <si>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</si>
  <si>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</si>
  <si>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</si>
  <si>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</si>
  <si>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</si>
  <si>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</si>
  <si>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</si>
  <si>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019-02185-0000</t>
  </si>
  <si>
    <t>Execution schedule has been re-baselined w/ FAIR PO Ack ACD. Validate your durations before publishing</t>
  </si>
  <si>
    <t>Execution Baseline Locked</t>
  </si>
  <si>
    <t>019-06019-0000</t>
  </si>
  <si>
    <t>019-06020-0000</t>
  </si>
  <si>
    <t>019-07090-0000</t>
  </si>
  <si>
    <t>019-07094-0000</t>
  </si>
  <si>
    <t>019-07104-0000</t>
  </si>
  <si>
    <t>019-07245-0000</t>
  </si>
  <si>
    <t>019-07252-0000</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</si>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</sst>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5">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6" fillId="14"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6" fillId="29" borderId="1"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14" borderId="1" xfId="0" applyFont="1" applyFill="1" applyBorder="1" applyAlignment="1">
      <alignment horizontal="center" vertical="center"/>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29" borderId="18"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18" xfId="0" applyFont="1" applyFill="1" applyBorder="1" applyAlignment="1">
      <alignment horizontal="center" vertical="center" wrapText="1"/>
    </xf>
    <xf numFmtId="0" fontId="10" fillId="0" borderId="0" xfId="2" applyAlignment="1">
      <alignment horizontal="left"/>
    </xf>
    <xf numFmtId="0" fontId="10" fillId="4" borderId="0" xfId="2" applyFill="1" applyAlignment="1">
      <alignment horizontal="left"/>
    </xf>
    <xf numFmtId="0" fontId="11" fillId="13" borderId="0" xfId="0" applyFont="1" applyFill="1" applyAlignment="1">
      <alignment horizontal="center"/>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2" fillId="0" borderId="0" xfId="0" applyFont="1" applyAlignment="1">
      <alignment horizontal="center"/>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1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patternType="solid">
          <fgColor rgb="FFF9D2BF"/>
          <bgColor rgb="FF000000"/>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4.5" outlineLevelRow="1" x14ac:dyDescent="0.35"/>
  <cols>
    <col min="1" max="1" width="26.453125" customWidth="1"/>
    <col min="2" max="2" width="50.81640625" customWidth="1"/>
    <col min="3" max="5" width="10.26953125" customWidth="1"/>
    <col min="6" max="6" width="11.26953125" customWidth="1"/>
  </cols>
  <sheetData>
    <row r="1" spans="1:6" x14ac:dyDescent="0.35">
      <c r="A1" s="171" t="s">
        <v>0</v>
      </c>
      <c r="B1" s="171"/>
      <c r="C1" s="171"/>
      <c r="D1" s="171"/>
      <c r="E1" s="171"/>
      <c r="F1" s="171"/>
    </row>
    <row r="2" spans="1:6" x14ac:dyDescent="0.35">
      <c r="D2" s="175" t="s">
        <v>1</v>
      </c>
      <c r="E2" s="175"/>
      <c r="F2" s="175"/>
    </row>
    <row r="3" spans="1:6" ht="14.5" customHeight="1" x14ac:dyDescent="0.35">
      <c r="A3" s="81" t="s">
        <v>2</v>
      </c>
      <c r="B3" s="82" t="s">
        <v>3</v>
      </c>
      <c r="D3" s="175"/>
      <c r="E3" s="175"/>
      <c r="F3" s="175"/>
    </row>
    <row r="4" spans="1:6" x14ac:dyDescent="0.35">
      <c r="A4" s="83" t="str" cm="1">
        <f t="array" ref="A4">_xlfn.IFS($B$3="","",$B$3="Supplier Name","Supplier Name",$B$3="Project Name","Project Name",$B$3="Project Manager","")</f>
        <v>Project Name</v>
      </c>
      <c r="B4" s="85" t="s">
        <v>4</v>
      </c>
      <c r="C4" s="84"/>
      <c r="D4" s="175"/>
      <c r="E4" s="175"/>
      <c r="F4" s="175"/>
    </row>
    <row r="5" spans="1:6" x14ac:dyDescent="0.35">
      <c r="A5" s="81" t="s">
        <v>5</v>
      </c>
      <c r="B5" s="82" t="s">
        <v>6</v>
      </c>
      <c r="C5" s="49"/>
      <c r="D5" s="175"/>
      <c r="E5" s="175"/>
      <c r="F5" s="175"/>
    </row>
    <row r="6" spans="1:6" ht="29" x14ac:dyDescent="0.35">
      <c r="A6" s="81" t="s">
        <v>7</v>
      </c>
      <c r="B6" s="82" t="s">
        <v>8</v>
      </c>
      <c r="C6" s="49"/>
      <c r="D6" s="175"/>
      <c r="E6" s="175"/>
      <c r="F6" s="175"/>
    </row>
    <row r="8" spans="1:6" x14ac:dyDescent="0.35">
      <c r="A8" s="173" t="s">
        <v>9</v>
      </c>
      <c r="B8" s="173"/>
      <c r="C8" s="173"/>
      <c r="D8" s="173"/>
      <c r="E8" s="173"/>
      <c r="F8" s="173"/>
    </row>
    <row r="9" spans="1:6" ht="75.650000000000006" customHeight="1" x14ac:dyDescent="0.35">
      <c r="A9" s="174" t="s">
        <v>10</v>
      </c>
      <c r="B9" s="174"/>
      <c r="C9" s="174"/>
      <c r="D9" s="174"/>
      <c r="E9" s="174"/>
      <c r="F9" s="174"/>
    </row>
    <row r="10" spans="1:6" ht="52.9" customHeight="1" x14ac:dyDescent="0.35">
      <c r="A10" s="174"/>
      <c r="B10" s="174"/>
      <c r="C10" s="174"/>
      <c r="D10" s="174"/>
      <c r="E10" s="174"/>
      <c r="F10" s="174"/>
    </row>
    <row r="11" spans="1:6" ht="22.9" customHeight="1" x14ac:dyDescent="0.35">
      <c r="A11" s="174"/>
      <c r="B11" s="174"/>
      <c r="C11" s="174"/>
      <c r="D11" s="174"/>
      <c r="E11" s="174"/>
      <c r="F11" s="174"/>
    </row>
    <row r="12" spans="1:6" ht="67.150000000000006" customHeight="1" x14ac:dyDescent="0.35">
      <c r="A12" s="174"/>
      <c r="B12" s="174"/>
      <c r="C12" s="174"/>
      <c r="D12" s="174"/>
      <c r="E12" s="174"/>
      <c r="F12" s="174"/>
    </row>
    <row r="13" spans="1:6" x14ac:dyDescent="0.35">
      <c r="A13" s="73" t="s">
        <v>11</v>
      </c>
      <c r="B13" s="71"/>
      <c r="C13" s="71"/>
      <c r="D13" s="71"/>
      <c r="E13" s="71"/>
      <c r="F13" s="71"/>
    </row>
    <row r="14" spans="1:6" x14ac:dyDescent="0.35">
      <c r="A14" s="74" t="s">
        <v>12</v>
      </c>
      <c r="B14" s="71"/>
      <c r="C14" s="71"/>
      <c r="D14" s="71"/>
      <c r="E14" s="71"/>
      <c r="F14" s="71"/>
    </row>
    <row r="15" spans="1:6" x14ac:dyDescent="0.35">
      <c r="A15" s="72" t="s">
        <v>13</v>
      </c>
      <c r="B15" s="16"/>
      <c r="C15" s="16"/>
      <c r="D15" s="16"/>
      <c r="E15" s="16"/>
      <c r="F15" s="16"/>
    </row>
    <row r="16" spans="1:6" x14ac:dyDescent="0.35">
      <c r="A16" s="93" t="s">
        <v>14</v>
      </c>
      <c r="B16" s="16"/>
      <c r="C16" s="16"/>
      <c r="D16" s="16"/>
      <c r="E16" s="16"/>
      <c r="F16" s="16"/>
    </row>
    <row r="18" spans="1:6" x14ac:dyDescent="0.35">
      <c r="A18" s="172" t="s">
        <v>15</v>
      </c>
      <c r="B18" s="172"/>
      <c r="C18" s="172"/>
      <c r="D18" s="172"/>
      <c r="E18" s="172"/>
      <c r="F18" s="172"/>
    </row>
    <row r="19" spans="1:6" x14ac:dyDescent="0.35">
      <c r="A19" s="97" t="s">
        <v>16</v>
      </c>
      <c r="B19" s="97" t="s">
        <v>17</v>
      </c>
      <c r="C19" s="184" t="s">
        <v>18</v>
      </c>
      <c r="D19" s="184"/>
      <c r="E19" s="184"/>
      <c r="F19" s="97"/>
    </row>
    <row r="20" spans="1:6" ht="42" customHeight="1" outlineLevel="1" x14ac:dyDescent="0.35">
      <c r="A20" s="66" t="s">
        <v>19</v>
      </c>
      <c r="B20" s="67" t="s">
        <v>20</v>
      </c>
      <c r="C20" s="177" t="s">
        <v>21</v>
      </c>
      <c r="D20" s="182"/>
      <c r="E20" s="183"/>
    </row>
    <row r="21" spans="1:6" ht="72.5" outlineLevel="1" x14ac:dyDescent="0.35">
      <c r="A21" s="68" t="s">
        <v>22</v>
      </c>
      <c r="B21" s="67" t="s">
        <v>23</v>
      </c>
      <c r="C21" s="176" t="s">
        <v>24</v>
      </c>
      <c r="D21" s="176"/>
      <c r="E21" s="176"/>
    </row>
    <row r="22" spans="1:6" ht="101.5" outlineLevel="1" x14ac:dyDescent="0.35">
      <c r="A22" s="69" t="s">
        <v>25</v>
      </c>
      <c r="B22" s="67" t="s">
        <v>26</v>
      </c>
      <c r="C22" s="177" t="s">
        <v>27</v>
      </c>
      <c r="D22" s="178"/>
      <c r="E22" s="179"/>
    </row>
    <row r="23" spans="1:6" ht="57.65" customHeight="1" outlineLevel="1" x14ac:dyDescent="0.35">
      <c r="A23" s="70" t="s">
        <v>28</v>
      </c>
      <c r="B23" s="67" t="s">
        <v>29</v>
      </c>
      <c r="C23" s="177" t="s">
        <v>30</v>
      </c>
      <c r="D23" s="180"/>
      <c r="E23" s="181"/>
    </row>
    <row r="25" spans="1:6" x14ac:dyDescent="0.35">
      <c r="A25" s="172" t="s">
        <v>31</v>
      </c>
      <c r="B25" s="172"/>
      <c r="C25" s="172"/>
      <c r="D25" s="172"/>
      <c r="E25" s="172"/>
      <c r="F25" s="172"/>
    </row>
    <row r="26" spans="1:6" hidden="1" outlineLevel="1" x14ac:dyDescent="0.35">
      <c r="A26" s="14" t="s">
        <v>32</v>
      </c>
      <c r="B26" s="14" t="s">
        <v>33</v>
      </c>
    </row>
    <row r="27" spans="1:6" hidden="1" outlineLevel="1" x14ac:dyDescent="0.35">
      <c r="A27" s="63" t="s">
        <v>34</v>
      </c>
      <c r="B27" s="62" t="s">
        <v>35</v>
      </c>
    </row>
    <row r="28" spans="1:6" hidden="1" outlineLevel="1" x14ac:dyDescent="0.35">
      <c r="A28" s="63" t="s">
        <v>36</v>
      </c>
      <c r="B28" s="62" t="s">
        <v>37</v>
      </c>
    </row>
    <row r="29" spans="1:6" hidden="1" outlineLevel="1" x14ac:dyDescent="0.35">
      <c r="A29" s="63" t="s">
        <v>38</v>
      </c>
      <c r="B29" s="62" t="s">
        <v>39</v>
      </c>
    </row>
    <row r="30" spans="1:6" hidden="1" outlineLevel="1" x14ac:dyDescent="0.35">
      <c r="A30" s="63" t="s">
        <v>40</v>
      </c>
      <c r="B30" s="62" t="s">
        <v>41</v>
      </c>
    </row>
    <row r="31" spans="1:6" hidden="1" outlineLevel="1" x14ac:dyDescent="0.35">
      <c r="A31" s="63" t="s">
        <v>42</v>
      </c>
      <c r="B31" s="62" t="s">
        <v>43</v>
      </c>
    </row>
    <row r="32" spans="1:6" hidden="1" outlineLevel="1" x14ac:dyDescent="0.35">
      <c r="A32" s="63" t="s">
        <v>44</v>
      </c>
      <c r="B32" s="62" t="s">
        <v>45</v>
      </c>
    </row>
    <row r="33" spans="1:2" hidden="1" outlineLevel="1" x14ac:dyDescent="0.35">
      <c r="A33" s="63" t="s">
        <v>46</v>
      </c>
      <c r="B33" s="62" t="s">
        <v>47</v>
      </c>
    </row>
    <row r="34" spans="1:2" hidden="1" outlineLevel="1" x14ac:dyDescent="0.35">
      <c r="A34" s="63" t="s">
        <v>48</v>
      </c>
      <c r="B34" s="62" t="s">
        <v>49</v>
      </c>
    </row>
    <row r="35" spans="1:2" hidden="1" outlineLevel="1" x14ac:dyDescent="0.35">
      <c r="A35" s="63" t="s">
        <v>50</v>
      </c>
      <c r="B35" s="62" t="s">
        <v>51</v>
      </c>
    </row>
    <row r="36" spans="1:2" hidden="1" outlineLevel="1" x14ac:dyDescent="0.35">
      <c r="A36" s="63" t="s">
        <v>52</v>
      </c>
      <c r="B36" s="62" t="s">
        <v>53</v>
      </c>
    </row>
    <row r="37" spans="1:2" hidden="1" outlineLevel="1" x14ac:dyDescent="0.35">
      <c r="A37" s="63" t="s">
        <v>54</v>
      </c>
      <c r="B37" s="62" t="s">
        <v>55</v>
      </c>
    </row>
    <row r="38" spans="1:2" hidden="1" outlineLevel="1" x14ac:dyDescent="0.35">
      <c r="A38" s="63" t="s">
        <v>56</v>
      </c>
      <c r="B38" s="62" t="s">
        <v>57</v>
      </c>
    </row>
    <row r="39" spans="1:2" hidden="1" outlineLevel="1" x14ac:dyDescent="0.35">
      <c r="A39" s="63" t="s">
        <v>58</v>
      </c>
      <c r="B39" s="62" t="s">
        <v>57</v>
      </c>
    </row>
    <row r="40" spans="1:2" hidden="1" outlineLevel="1" x14ac:dyDescent="0.35">
      <c r="A40" s="63" t="s">
        <v>59</v>
      </c>
      <c r="B40" s="62" t="s">
        <v>60</v>
      </c>
    </row>
    <row r="41" spans="1:2" hidden="1" outlineLevel="1" x14ac:dyDescent="0.35">
      <c r="A41" s="63" t="s">
        <v>61</v>
      </c>
      <c r="B41" s="62" t="s">
        <v>62</v>
      </c>
    </row>
    <row r="42" spans="1:2" hidden="1" outlineLevel="1" x14ac:dyDescent="0.35">
      <c r="A42" s="63" t="s">
        <v>63</v>
      </c>
      <c r="B42" s="62" t="s">
        <v>64</v>
      </c>
    </row>
    <row r="43" spans="1:2" hidden="1" outlineLevel="1" x14ac:dyDescent="0.35">
      <c r="A43" s="63" t="s">
        <v>65</v>
      </c>
      <c r="B43" s="62" t="s">
        <v>66</v>
      </c>
    </row>
    <row r="44" spans="1:2" hidden="1" outlineLevel="1" x14ac:dyDescent="0.35">
      <c r="A44" s="63" t="s">
        <v>67</v>
      </c>
      <c r="B44" s="62" t="s">
        <v>68</v>
      </c>
    </row>
    <row r="45" spans="1:2" hidden="1" outlineLevel="1" x14ac:dyDescent="0.35">
      <c r="A45" s="63" t="s">
        <v>69</v>
      </c>
      <c r="B45" s="62" t="s">
        <v>70</v>
      </c>
    </row>
    <row r="46" spans="1:2" hidden="1" outlineLevel="1" x14ac:dyDescent="0.35">
      <c r="A46" s="63" t="s">
        <v>71</v>
      </c>
      <c r="B46" s="62" t="s">
        <v>72</v>
      </c>
    </row>
    <row r="47" spans="1:2" hidden="1" outlineLevel="1" x14ac:dyDescent="0.35">
      <c r="A47" s="63" t="s">
        <v>73</v>
      </c>
      <c r="B47" s="62" t="s">
        <v>74</v>
      </c>
    </row>
    <row r="48" spans="1:2" hidden="1" outlineLevel="1" x14ac:dyDescent="0.35">
      <c r="A48" s="63" t="s">
        <v>75</v>
      </c>
      <c r="B48" s="62" t="s">
        <v>76</v>
      </c>
    </row>
    <row r="49" spans="1:2" hidden="1" outlineLevel="1" x14ac:dyDescent="0.35">
      <c r="A49" s="63" t="s">
        <v>77</v>
      </c>
      <c r="B49" s="62" t="s">
        <v>78</v>
      </c>
    </row>
    <row r="50" spans="1:2" hidden="1" outlineLevel="1" x14ac:dyDescent="0.35">
      <c r="A50" s="63" t="s">
        <v>79</v>
      </c>
      <c r="B50" s="62" t="s">
        <v>80</v>
      </c>
    </row>
    <row r="51" spans="1:2" hidden="1" outlineLevel="1" x14ac:dyDescent="0.35">
      <c r="A51" s="63" t="s">
        <v>81</v>
      </c>
      <c r="B51" s="62" t="s">
        <v>82</v>
      </c>
    </row>
    <row r="52" spans="1:2" hidden="1" outlineLevel="1" x14ac:dyDescent="0.35">
      <c r="A52" s="63" t="s">
        <v>83</v>
      </c>
      <c r="B52" s="62" t="s">
        <v>84</v>
      </c>
    </row>
    <row r="53" spans="1:2" hidden="1" outlineLevel="1" x14ac:dyDescent="0.35">
      <c r="A53" s="63" t="s">
        <v>85</v>
      </c>
      <c r="B53" s="62" t="s">
        <v>86</v>
      </c>
    </row>
    <row r="54" spans="1:2" hidden="1" outlineLevel="1" x14ac:dyDescent="0.35">
      <c r="A54" s="63" t="s">
        <v>87</v>
      </c>
      <c r="B54" s="62" t="s">
        <v>88</v>
      </c>
    </row>
    <row r="55" spans="1:2" hidden="1" outlineLevel="1" x14ac:dyDescent="0.35">
      <c r="A55" s="64" t="s">
        <v>89</v>
      </c>
      <c r="B55" s="62" t="s">
        <v>90</v>
      </c>
    </row>
    <row r="56" spans="1:2" hidden="1" outlineLevel="1" x14ac:dyDescent="0.35">
      <c r="A56" s="63" t="s">
        <v>91</v>
      </c>
      <c r="B56" s="62" t="s">
        <v>92</v>
      </c>
    </row>
    <row r="57" spans="1:2" hidden="1" outlineLevel="1" x14ac:dyDescent="0.35">
      <c r="A57" s="63" t="s">
        <v>93</v>
      </c>
      <c r="B57" s="62" t="s">
        <v>94</v>
      </c>
    </row>
    <row r="58" spans="1:2" hidden="1" outlineLevel="1" x14ac:dyDescent="0.35">
      <c r="A58" s="63" t="s">
        <v>95</v>
      </c>
      <c r="B58" s="62" t="s">
        <v>96</v>
      </c>
    </row>
    <row r="59" spans="1:2" hidden="1" outlineLevel="1" x14ac:dyDescent="0.35">
      <c r="A59" s="63" t="s">
        <v>97</v>
      </c>
      <c r="B59" s="62" t="s">
        <v>98</v>
      </c>
    </row>
    <row r="60" spans="1:2" hidden="1" outlineLevel="1" x14ac:dyDescent="0.35">
      <c r="A60" s="63" t="s">
        <v>99</v>
      </c>
      <c r="B60" s="62" t="s">
        <v>100</v>
      </c>
    </row>
    <row r="61" spans="1:2" hidden="1" outlineLevel="1" x14ac:dyDescent="0.35">
      <c r="A61" s="63" t="s">
        <v>101</v>
      </c>
      <c r="B61" s="62" t="s">
        <v>102</v>
      </c>
    </row>
    <row r="62" spans="1:2" hidden="1" outlineLevel="1" x14ac:dyDescent="0.35">
      <c r="A62" s="63" t="s">
        <v>103</v>
      </c>
      <c r="B62" s="62" t="s">
        <v>104</v>
      </c>
    </row>
    <row r="63" spans="1:2" hidden="1" outlineLevel="1" x14ac:dyDescent="0.35">
      <c r="A63" s="63" t="s">
        <v>105</v>
      </c>
      <c r="B63" s="62" t="s">
        <v>106</v>
      </c>
    </row>
    <row r="64" spans="1:2" hidden="1" outlineLevel="1" x14ac:dyDescent="0.35">
      <c r="A64" s="63" t="s">
        <v>107</v>
      </c>
      <c r="B64" s="62" t="s">
        <v>108</v>
      </c>
    </row>
    <row r="65" spans="1:7" hidden="1" outlineLevel="1" x14ac:dyDescent="0.35">
      <c r="A65" s="63" t="s">
        <v>109</v>
      </c>
      <c r="B65" s="62" t="s">
        <v>110</v>
      </c>
    </row>
    <row r="66" spans="1:7" hidden="1" outlineLevel="1" x14ac:dyDescent="0.35">
      <c r="A66" s="63" t="s">
        <v>111</v>
      </c>
      <c r="B66" s="62" t="s">
        <v>112</v>
      </c>
    </row>
    <row r="67" spans="1:7" hidden="1" outlineLevel="1" x14ac:dyDescent="0.35">
      <c r="A67" s="63" t="s">
        <v>113</v>
      </c>
      <c r="B67" s="62" t="s">
        <v>114</v>
      </c>
    </row>
    <row r="68" spans="1:7" hidden="1" outlineLevel="1" x14ac:dyDescent="0.35">
      <c r="A68" s="63" t="s">
        <v>115</v>
      </c>
      <c r="B68" s="62" t="s">
        <v>116</v>
      </c>
    </row>
    <row r="69" spans="1:7" hidden="1" outlineLevel="1" x14ac:dyDescent="0.35">
      <c r="A69" s="63" t="s">
        <v>117</v>
      </c>
      <c r="B69" s="62" t="s">
        <v>118</v>
      </c>
    </row>
    <row r="70" spans="1:7" hidden="1" outlineLevel="1" x14ac:dyDescent="0.35">
      <c r="A70" s="63" t="s">
        <v>119</v>
      </c>
      <c r="B70" s="62" t="s">
        <v>120</v>
      </c>
    </row>
    <row r="71" spans="1:7" hidden="1" outlineLevel="1" x14ac:dyDescent="0.35">
      <c r="A71" s="63" t="s">
        <v>121</v>
      </c>
      <c r="B71" s="62" t="s">
        <v>122</v>
      </c>
    </row>
    <row r="72" spans="1:7" hidden="1" outlineLevel="1" x14ac:dyDescent="0.35">
      <c r="A72" s="63"/>
      <c r="B72" s="63"/>
    </row>
    <row r="73" spans="1:7" collapsed="1" x14ac:dyDescent="0.35"/>
    <row r="75" spans="1:7" x14ac:dyDescent="0.35">
      <c r="A75" s="172" t="s">
        <v>123</v>
      </c>
      <c r="B75" s="172"/>
      <c r="C75" s="172"/>
      <c r="D75" s="172"/>
      <c r="E75" s="172"/>
      <c r="F75" s="172"/>
    </row>
    <row r="76" spans="1:7" ht="43.5" hidden="1" outlineLevel="1" x14ac:dyDescent="0.35">
      <c r="A76" s="14" t="s">
        <v>124</v>
      </c>
      <c r="B76" s="14"/>
      <c r="C76" s="15" t="s">
        <v>125</v>
      </c>
      <c r="D76" s="15" t="s">
        <v>126</v>
      </c>
      <c r="E76" s="15" t="s">
        <v>127</v>
      </c>
      <c r="F76" s="15" t="s">
        <v>128</v>
      </c>
      <c r="G76" s="15" t="s">
        <v>129</v>
      </c>
    </row>
    <row r="77" spans="1:7" hidden="1" outlineLevel="1" x14ac:dyDescent="0.35">
      <c r="A77" s="169" t="s">
        <v>130</v>
      </c>
      <c r="B77" s="169"/>
      <c r="C77" s="7">
        <v>1</v>
      </c>
      <c r="D77" s="7">
        <v>1</v>
      </c>
      <c r="E77" s="7">
        <v>1</v>
      </c>
      <c r="F77" s="7">
        <v>1</v>
      </c>
      <c r="G77" s="7">
        <v>1</v>
      </c>
    </row>
    <row r="78" spans="1:7" hidden="1" outlineLevel="1" x14ac:dyDescent="0.35">
      <c r="A78" s="169" t="s">
        <v>131</v>
      </c>
      <c r="B78" s="169"/>
      <c r="C78" s="7">
        <v>1</v>
      </c>
      <c r="D78" s="7">
        <v>1</v>
      </c>
      <c r="E78" s="7">
        <v>1</v>
      </c>
      <c r="F78" s="7">
        <v>1</v>
      </c>
      <c r="G78" s="7">
        <v>1</v>
      </c>
    </row>
    <row r="79" spans="1:7" hidden="1" outlineLevel="1" x14ac:dyDescent="0.35">
      <c r="A79" s="169" t="s">
        <v>132</v>
      </c>
      <c r="B79" s="169"/>
      <c r="C79" s="7">
        <v>15</v>
      </c>
      <c r="D79" s="7">
        <v>15</v>
      </c>
      <c r="E79" s="7">
        <v>15</v>
      </c>
      <c r="F79" s="7">
        <v>15</v>
      </c>
      <c r="G79" s="7">
        <v>15</v>
      </c>
    </row>
    <row r="80" spans="1:7" hidden="1" outlineLevel="1" x14ac:dyDescent="0.35">
      <c r="A80" s="169" t="s">
        <v>133</v>
      </c>
      <c r="B80" s="169"/>
      <c r="C80" s="7">
        <v>25</v>
      </c>
      <c r="D80" s="7">
        <v>25</v>
      </c>
      <c r="E80" s="7">
        <v>0</v>
      </c>
      <c r="F80" s="7">
        <v>25</v>
      </c>
      <c r="G80" s="7">
        <v>25</v>
      </c>
    </row>
    <row r="81" spans="1:7" hidden="1" outlineLevel="1" x14ac:dyDescent="0.35">
      <c r="A81" s="169" t="s">
        <v>134</v>
      </c>
      <c r="B81" s="169"/>
      <c r="C81" s="8">
        <v>0</v>
      </c>
      <c r="D81" s="8">
        <v>0</v>
      </c>
      <c r="E81" s="7">
        <v>30</v>
      </c>
      <c r="F81" s="8">
        <v>0</v>
      </c>
      <c r="G81" s="8">
        <v>0</v>
      </c>
    </row>
    <row r="82" spans="1:7" hidden="1" outlineLevel="1" x14ac:dyDescent="0.35">
      <c r="A82" s="169" t="s">
        <v>135</v>
      </c>
      <c r="B82" s="169"/>
      <c r="C82" s="7">
        <v>3</v>
      </c>
      <c r="D82" s="7">
        <v>3</v>
      </c>
      <c r="E82" s="7">
        <v>3</v>
      </c>
      <c r="F82" s="7">
        <v>3</v>
      </c>
      <c r="G82" s="7">
        <v>3</v>
      </c>
    </row>
    <row r="83" spans="1:7" hidden="1" outlineLevel="1" x14ac:dyDescent="0.35">
      <c r="A83" s="169" t="s">
        <v>136</v>
      </c>
      <c r="B83" s="169"/>
      <c r="C83" s="7">
        <v>120</v>
      </c>
      <c r="D83" s="7">
        <v>120</v>
      </c>
      <c r="E83" s="8">
        <v>0</v>
      </c>
      <c r="F83" s="7">
        <v>120</v>
      </c>
      <c r="G83" s="8">
        <v>0</v>
      </c>
    </row>
    <row r="84" spans="1:7" hidden="1" outlineLevel="1" x14ac:dyDescent="0.35">
      <c r="A84" s="169" t="s">
        <v>137</v>
      </c>
      <c r="B84" s="169"/>
      <c r="C84" s="7">
        <v>60</v>
      </c>
      <c r="D84" s="7">
        <v>60</v>
      </c>
      <c r="E84" s="7">
        <v>60</v>
      </c>
      <c r="F84" s="7">
        <v>60</v>
      </c>
      <c r="G84" s="7">
        <v>60</v>
      </c>
    </row>
    <row r="85" spans="1:7" hidden="1" outlineLevel="1" x14ac:dyDescent="0.35">
      <c r="A85" s="169" t="s">
        <v>138</v>
      </c>
      <c r="B85" s="169"/>
      <c r="C85" s="7">
        <v>10</v>
      </c>
      <c r="D85" s="7">
        <v>10</v>
      </c>
      <c r="E85" s="7">
        <v>10</v>
      </c>
      <c r="F85" s="7">
        <v>10</v>
      </c>
      <c r="G85" s="7">
        <v>10</v>
      </c>
    </row>
    <row r="86" spans="1:7" hidden="1" outlineLevel="1" x14ac:dyDescent="0.35">
      <c r="A86" s="169" t="s">
        <v>139</v>
      </c>
      <c r="B86" s="169"/>
      <c r="C86" s="7">
        <v>5</v>
      </c>
      <c r="D86" s="7">
        <v>5</v>
      </c>
      <c r="E86" s="7">
        <v>5</v>
      </c>
      <c r="F86" s="7">
        <v>5</v>
      </c>
      <c r="G86" s="7">
        <v>5</v>
      </c>
    </row>
    <row r="87" spans="1:7" hidden="1" outlineLevel="1" x14ac:dyDescent="0.35">
      <c r="A87" s="169" t="s">
        <v>140</v>
      </c>
      <c r="B87" s="169"/>
      <c r="C87" s="7">
        <v>10</v>
      </c>
      <c r="D87" s="7">
        <v>10</v>
      </c>
      <c r="E87" s="8">
        <v>0</v>
      </c>
      <c r="F87" s="7">
        <v>10</v>
      </c>
      <c r="G87" s="7">
        <v>10</v>
      </c>
    </row>
    <row r="88" spans="1:7" hidden="1" outlineLevel="1" x14ac:dyDescent="0.35">
      <c r="A88" s="169" t="s">
        <v>141</v>
      </c>
      <c r="B88" s="169"/>
      <c r="C88" s="7">
        <v>5</v>
      </c>
      <c r="D88" s="7">
        <v>5</v>
      </c>
      <c r="E88" s="8">
        <v>0</v>
      </c>
      <c r="F88" s="7">
        <v>5</v>
      </c>
      <c r="G88" s="7">
        <v>5</v>
      </c>
    </row>
    <row r="89" spans="1:7" hidden="1" outlineLevel="1" x14ac:dyDescent="0.35">
      <c r="A89" s="169" t="s">
        <v>142</v>
      </c>
      <c r="B89" s="169"/>
      <c r="C89" s="7">
        <v>5</v>
      </c>
      <c r="D89" s="7">
        <v>5</v>
      </c>
      <c r="E89" s="7">
        <v>5</v>
      </c>
      <c r="F89" s="7">
        <v>5</v>
      </c>
      <c r="G89" s="7">
        <v>5</v>
      </c>
    </row>
    <row r="90" spans="1:7" hidden="1" outlineLevel="1" x14ac:dyDescent="0.35">
      <c r="A90" s="169" t="s">
        <v>143</v>
      </c>
      <c r="B90" s="169"/>
      <c r="C90" s="7">
        <v>10</v>
      </c>
      <c r="D90" s="7">
        <v>10</v>
      </c>
      <c r="E90" s="7">
        <v>10</v>
      </c>
      <c r="F90" s="7">
        <v>10</v>
      </c>
      <c r="G90" s="7">
        <v>10</v>
      </c>
    </row>
    <row r="91" spans="1:7" hidden="1" outlineLevel="1" x14ac:dyDescent="0.35">
      <c r="A91" s="169" t="s">
        <v>144</v>
      </c>
      <c r="B91" s="169"/>
      <c r="C91" s="7">
        <v>10</v>
      </c>
      <c r="D91" s="7">
        <v>10</v>
      </c>
      <c r="E91" s="7">
        <v>10</v>
      </c>
      <c r="F91" s="7">
        <v>10</v>
      </c>
      <c r="G91" s="7">
        <v>10</v>
      </c>
    </row>
    <row r="92" spans="1:7" hidden="1" outlineLevel="1" x14ac:dyDescent="0.35">
      <c r="A92" s="169" t="s">
        <v>145</v>
      </c>
      <c r="B92" s="169"/>
      <c r="C92" s="7">
        <v>0</v>
      </c>
      <c r="D92" s="7">
        <v>0</v>
      </c>
      <c r="E92" s="7">
        <v>30</v>
      </c>
      <c r="F92" s="7">
        <v>0</v>
      </c>
      <c r="G92" s="7">
        <v>0</v>
      </c>
    </row>
    <row r="93" spans="1:7" hidden="1" outlineLevel="1" x14ac:dyDescent="0.35">
      <c r="A93" s="169" t="s">
        <v>146</v>
      </c>
      <c r="B93" s="169"/>
      <c r="C93" s="7">
        <v>5</v>
      </c>
      <c r="D93" s="7">
        <v>5</v>
      </c>
      <c r="E93" s="7">
        <v>5</v>
      </c>
      <c r="F93" s="7">
        <v>5</v>
      </c>
      <c r="G93" s="7">
        <v>5</v>
      </c>
    </row>
    <row r="94" spans="1:7" hidden="1" outlineLevel="1" x14ac:dyDescent="0.35">
      <c r="A94" s="169" t="s">
        <v>147</v>
      </c>
      <c r="B94" s="169"/>
      <c r="C94" s="7">
        <v>20</v>
      </c>
      <c r="D94" s="7">
        <v>20</v>
      </c>
      <c r="E94" s="7">
        <v>20</v>
      </c>
      <c r="F94" s="7">
        <v>20</v>
      </c>
      <c r="G94" s="7">
        <v>20</v>
      </c>
    </row>
    <row r="95" spans="1:7" hidden="1" outlineLevel="1" x14ac:dyDescent="0.35">
      <c r="A95" s="169" t="s">
        <v>148</v>
      </c>
      <c r="B95" s="169"/>
      <c r="C95" s="7">
        <v>0</v>
      </c>
      <c r="D95" s="7">
        <v>0</v>
      </c>
      <c r="E95" s="7">
        <v>0</v>
      </c>
      <c r="F95" s="7">
        <v>0</v>
      </c>
      <c r="G95" s="7">
        <v>0</v>
      </c>
    </row>
    <row r="96" spans="1:7" hidden="1" outlineLevel="1" x14ac:dyDescent="0.35">
      <c r="A96" s="169" t="s">
        <v>149</v>
      </c>
      <c r="B96" s="169"/>
      <c r="C96" s="7">
        <v>5</v>
      </c>
      <c r="D96" s="7">
        <v>5</v>
      </c>
      <c r="E96" s="7">
        <v>5</v>
      </c>
      <c r="F96" s="7">
        <v>5</v>
      </c>
      <c r="G96" s="7">
        <v>5</v>
      </c>
    </row>
    <row r="97" spans="1:7" hidden="1" outlineLevel="1" x14ac:dyDescent="0.35">
      <c r="A97" s="170" t="s">
        <v>150</v>
      </c>
      <c r="B97" s="170"/>
      <c r="C97" s="7">
        <v>10</v>
      </c>
      <c r="D97" s="7">
        <v>10</v>
      </c>
      <c r="E97" s="7">
        <v>20</v>
      </c>
      <c r="F97" s="7">
        <v>10</v>
      </c>
      <c r="G97" s="7">
        <v>10</v>
      </c>
    </row>
    <row r="98" spans="1:7" hidden="1" outlineLevel="1" x14ac:dyDescent="0.35">
      <c r="A98" s="169" t="s">
        <v>151</v>
      </c>
      <c r="B98" s="169"/>
      <c r="C98" s="7">
        <v>5</v>
      </c>
      <c r="D98" s="7">
        <v>5</v>
      </c>
      <c r="E98" s="7">
        <v>5</v>
      </c>
      <c r="F98" s="7">
        <v>5</v>
      </c>
      <c r="G98" s="7">
        <v>5</v>
      </c>
    </row>
    <row r="99" spans="1:7" hidden="1" outlineLevel="1" x14ac:dyDescent="0.35">
      <c r="A99" s="169" t="s">
        <v>152</v>
      </c>
      <c r="B99" s="169"/>
      <c r="C99" s="7">
        <v>5</v>
      </c>
      <c r="D99" s="7">
        <v>5</v>
      </c>
      <c r="E99" s="7">
        <v>5</v>
      </c>
      <c r="F99" s="7">
        <v>5</v>
      </c>
      <c r="G99" s="7">
        <v>5</v>
      </c>
    </row>
    <row r="100" spans="1:7" hidden="1" outlineLevel="1" x14ac:dyDescent="0.35">
      <c r="A100" s="169" t="s">
        <v>153</v>
      </c>
      <c r="B100" s="169"/>
      <c r="C100" s="7">
        <v>10</v>
      </c>
      <c r="D100" s="7">
        <v>10</v>
      </c>
      <c r="E100" s="7">
        <v>10</v>
      </c>
      <c r="F100" s="7">
        <v>10</v>
      </c>
      <c r="G100" s="7">
        <v>10</v>
      </c>
    </row>
    <row r="101" spans="1:7" hidden="1" outlineLevel="1" x14ac:dyDescent="0.35">
      <c r="A101" s="169" t="s">
        <v>154</v>
      </c>
      <c r="B101" s="169"/>
      <c r="C101" s="7">
        <v>5</v>
      </c>
      <c r="D101" s="7">
        <v>5</v>
      </c>
      <c r="E101" s="7">
        <v>5</v>
      </c>
      <c r="F101" s="7">
        <v>5</v>
      </c>
      <c r="G101" s="7">
        <v>5</v>
      </c>
    </row>
    <row r="102" spans="1:7" hidden="1" outlineLevel="1" x14ac:dyDescent="0.35">
      <c r="A102" s="169" t="s">
        <v>155</v>
      </c>
      <c r="B102" s="169"/>
      <c r="C102" s="7">
        <v>90</v>
      </c>
      <c r="D102" s="7">
        <v>90</v>
      </c>
      <c r="E102" s="7">
        <v>90</v>
      </c>
      <c r="F102" s="7">
        <v>90</v>
      </c>
      <c r="G102" s="7">
        <v>90</v>
      </c>
    </row>
    <row r="103" spans="1:7" hidden="1" outlineLevel="1" x14ac:dyDescent="0.35">
      <c r="A103" s="169" t="s">
        <v>156</v>
      </c>
      <c r="B103" s="169"/>
      <c r="C103" s="7">
        <v>3</v>
      </c>
      <c r="D103" s="7">
        <v>3</v>
      </c>
      <c r="E103" s="7">
        <v>3</v>
      </c>
      <c r="F103" s="7">
        <v>3</v>
      </c>
      <c r="G103" s="7">
        <v>3</v>
      </c>
    </row>
    <row r="104" spans="1:7" hidden="1" outlineLevel="1" x14ac:dyDescent="0.35">
      <c r="A104" s="169" t="s">
        <v>157</v>
      </c>
      <c r="B104" s="169"/>
      <c r="C104" s="7">
        <v>5</v>
      </c>
      <c r="D104" s="7">
        <v>5</v>
      </c>
      <c r="E104" s="7">
        <v>5</v>
      </c>
      <c r="F104" s="7">
        <v>5</v>
      </c>
      <c r="G104" s="7">
        <v>5</v>
      </c>
    </row>
    <row r="105" spans="1:7" hidden="1" outlineLevel="1" x14ac:dyDescent="0.35">
      <c r="A105" s="169" t="s">
        <v>158</v>
      </c>
      <c r="B105" s="169"/>
      <c r="C105" s="7">
        <v>5</v>
      </c>
      <c r="D105" s="7">
        <v>5</v>
      </c>
      <c r="E105" s="7">
        <v>0</v>
      </c>
      <c r="F105" s="7">
        <v>5</v>
      </c>
      <c r="G105" s="7">
        <v>5</v>
      </c>
    </row>
    <row r="106" spans="1:7" hidden="1" outlineLevel="1" x14ac:dyDescent="0.35">
      <c r="A106" s="169" t="s">
        <v>159</v>
      </c>
      <c r="B106" s="169"/>
      <c r="C106" s="7">
        <v>5</v>
      </c>
      <c r="D106" s="7">
        <v>5</v>
      </c>
      <c r="E106" s="7">
        <v>0</v>
      </c>
      <c r="F106" s="7">
        <v>5</v>
      </c>
      <c r="G106" s="7">
        <v>5</v>
      </c>
    </row>
    <row r="107" spans="1:7" hidden="1" outlineLevel="1" x14ac:dyDescent="0.35">
      <c r="A107" s="169" t="s">
        <v>160</v>
      </c>
      <c r="B107" s="169"/>
      <c r="C107" s="7">
        <v>3</v>
      </c>
      <c r="D107" s="7">
        <v>3</v>
      </c>
      <c r="E107" s="7">
        <v>3</v>
      </c>
      <c r="F107" s="7">
        <v>3</v>
      </c>
      <c r="G107" s="7">
        <v>3</v>
      </c>
    </row>
    <row r="108" spans="1:7" hidden="1" outlineLevel="1" x14ac:dyDescent="0.35">
      <c r="A108" s="170" t="s">
        <v>161</v>
      </c>
      <c r="B108" s="170"/>
      <c r="C108" s="7">
        <v>40</v>
      </c>
      <c r="D108" s="7">
        <v>40</v>
      </c>
      <c r="E108" s="7">
        <v>40</v>
      </c>
      <c r="F108" s="7">
        <v>40</v>
      </c>
      <c r="G108" s="7">
        <v>40</v>
      </c>
    </row>
    <row r="109" spans="1:7" hidden="1" outlineLevel="1" x14ac:dyDescent="0.35">
      <c r="A109" s="169" t="s">
        <v>162</v>
      </c>
      <c r="B109" s="169"/>
      <c r="C109" s="7">
        <v>3</v>
      </c>
      <c r="D109" s="7">
        <v>3</v>
      </c>
      <c r="E109" s="7">
        <v>3</v>
      </c>
      <c r="F109" s="7">
        <v>3</v>
      </c>
      <c r="G109" s="7">
        <v>3</v>
      </c>
    </row>
    <row r="110" spans="1:7" hidden="1" outlineLevel="1" x14ac:dyDescent="0.35">
      <c r="A110" s="169" t="s">
        <v>163</v>
      </c>
      <c r="B110" s="169"/>
      <c r="C110" s="7">
        <v>3</v>
      </c>
      <c r="D110" s="7">
        <v>3</v>
      </c>
      <c r="E110" s="7">
        <v>3</v>
      </c>
      <c r="F110" s="7">
        <v>3</v>
      </c>
      <c r="G110" s="7">
        <v>3</v>
      </c>
    </row>
    <row r="111" spans="1:7" hidden="1" outlineLevel="1" x14ac:dyDescent="0.35">
      <c r="A111" s="169" t="s">
        <v>164</v>
      </c>
      <c r="B111" s="169"/>
      <c r="C111" s="7">
        <v>0</v>
      </c>
      <c r="D111" s="7">
        <v>0</v>
      </c>
      <c r="E111" s="7">
        <v>20</v>
      </c>
      <c r="F111" s="7">
        <v>0</v>
      </c>
      <c r="G111" s="7">
        <v>0</v>
      </c>
    </row>
    <row r="112" spans="1:7" hidden="1" outlineLevel="1" x14ac:dyDescent="0.35">
      <c r="A112" s="169" t="s">
        <v>165</v>
      </c>
      <c r="B112" s="169"/>
      <c r="C112" s="7">
        <v>0</v>
      </c>
      <c r="D112" s="7">
        <v>0</v>
      </c>
      <c r="E112" s="7">
        <v>30</v>
      </c>
      <c r="F112" s="7">
        <v>0</v>
      </c>
      <c r="G112" s="7">
        <v>0</v>
      </c>
    </row>
    <row r="113" spans="1:7" hidden="1" outlineLevel="1" x14ac:dyDescent="0.35">
      <c r="A113" s="169" t="s">
        <v>166</v>
      </c>
      <c r="B113" s="169"/>
      <c r="C113" s="7">
        <v>0</v>
      </c>
      <c r="D113" s="7">
        <v>0</v>
      </c>
      <c r="E113" s="7">
        <v>60</v>
      </c>
      <c r="F113" s="7">
        <v>0</v>
      </c>
      <c r="G113" s="7">
        <v>0</v>
      </c>
    </row>
    <row r="114" spans="1:7" hidden="1" outlineLevel="1" x14ac:dyDescent="0.35">
      <c r="A114" s="169" t="s">
        <v>167</v>
      </c>
      <c r="B114" s="169"/>
      <c r="C114" s="7">
        <v>0</v>
      </c>
      <c r="D114" s="7">
        <v>0</v>
      </c>
      <c r="E114" s="7">
        <v>60</v>
      </c>
      <c r="F114" s="7">
        <v>0</v>
      </c>
      <c r="G114" s="7">
        <v>0</v>
      </c>
    </row>
    <row r="115" spans="1:7" hidden="1" outlineLevel="1" x14ac:dyDescent="0.35">
      <c r="A115" s="170" t="s">
        <v>168</v>
      </c>
      <c r="B115" s="170"/>
      <c r="C115" s="7">
        <v>15</v>
      </c>
      <c r="D115" s="7">
        <v>0</v>
      </c>
      <c r="E115" s="7">
        <v>0</v>
      </c>
      <c r="F115" s="7">
        <v>0</v>
      </c>
      <c r="G115" s="7">
        <v>0</v>
      </c>
    </row>
    <row r="116" spans="1:7" hidden="1" outlineLevel="1" x14ac:dyDescent="0.35">
      <c r="A116" s="169" t="s">
        <v>169</v>
      </c>
      <c r="B116" s="169"/>
      <c r="C116" s="7">
        <v>0</v>
      </c>
      <c r="D116" s="7">
        <v>0</v>
      </c>
      <c r="E116" s="7">
        <v>30</v>
      </c>
      <c r="F116" s="7">
        <v>0</v>
      </c>
      <c r="G116" s="7">
        <v>0</v>
      </c>
    </row>
    <row r="117" spans="1:7" hidden="1" outlineLevel="1" x14ac:dyDescent="0.35">
      <c r="A117" s="169" t="s">
        <v>170</v>
      </c>
      <c r="B117" s="169"/>
      <c r="C117" s="7">
        <v>30</v>
      </c>
      <c r="D117" s="7">
        <v>30</v>
      </c>
      <c r="E117" s="8">
        <v>0</v>
      </c>
      <c r="F117" s="7">
        <v>30</v>
      </c>
      <c r="G117" s="7">
        <v>30</v>
      </c>
    </row>
    <row r="118" spans="1:7" hidden="1" outlineLevel="1" x14ac:dyDescent="0.35">
      <c r="A118" s="169" t="s">
        <v>171</v>
      </c>
      <c r="B118" s="169"/>
      <c r="C118" s="7">
        <v>30</v>
      </c>
      <c r="D118" s="7">
        <v>30</v>
      </c>
      <c r="E118" s="7">
        <v>30</v>
      </c>
      <c r="F118" s="7">
        <v>30</v>
      </c>
      <c r="G118" s="7">
        <v>30</v>
      </c>
    </row>
    <row r="119" spans="1:7" hidden="1" outlineLevel="1" x14ac:dyDescent="0.35">
      <c r="A119" s="169" t="s">
        <v>172</v>
      </c>
      <c r="B119" s="169"/>
      <c r="C119" s="7">
        <v>5</v>
      </c>
      <c r="D119" s="7">
        <v>5</v>
      </c>
      <c r="E119" s="7">
        <v>5</v>
      </c>
      <c r="F119" s="7">
        <v>5</v>
      </c>
      <c r="G119" s="7">
        <v>5</v>
      </c>
    </row>
    <row r="120" spans="1:7" hidden="1" outlineLevel="1" x14ac:dyDescent="0.35">
      <c r="A120" s="169" t="s">
        <v>173</v>
      </c>
      <c r="B120" s="169"/>
      <c r="C120" s="7">
        <v>30</v>
      </c>
      <c r="D120" s="7">
        <v>30</v>
      </c>
      <c r="E120" s="8">
        <v>0</v>
      </c>
      <c r="F120" s="7">
        <v>30</v>
      </c>
      <c r="G120" s="7">
        <v>30</v>
      </c>
    </row>
    <row r="121" spans="1:7" hidden="1" outlineLevel="1" x14ac:dyDescent="0.35">
      <c r="A121" s="169" t="s">
        <v>174</v>
      </c>
      <c r="B121" s="169"/>
      <c r="C121" s="7">
        <v>80</v>
      </c>
      <c r="D121" s="7">
        <v>60</v>
      </c>
      <c r="E121" s="7">
        <v>120</v>
      </c>
      <c r="F121" s="7">
        <v>60</v>
      </c>
      <c r="G121" s="7">
        <v>60</v>
      </c>
    </row>
    <row r="122" spans="1:7" hidden="1" outlineLevel="1" x14ac:dyDescent="0.35">
      <c r="A122" s="169" t="s">
        <v>175</v>
      </c>
      <c r="B122" s="169"/>
      <c r="C122" s="7">
        <v>90</v>
      </c>
      <c r="D122" s="8">
        <v>0</v>
      </c>
      <c r="E122" s="7">
        <v>0</v>
      </c>
      <c r="F122" s="8">
        <v>0</v>
      </c>
      <c r="G122" s="7">
        <v>0</v>
      </c>
    </row>
    <row r="123" spans="1:7" hidden="1" outlineLevel="1" x14ac:dyDescent="0.35">
      <c r="A123" s="169" t="s">
        <v>176</v>
      </c>
      <c r="B123" s="169"/>
      <c r="C123" s="7">
        <v>20</v>
      </c>
      <c r="D123" s="7">
        <v>20</v>
      </c>
      <c r="E123" s="7">
        <v>0</v>
      </c>
      <c r="F123" s="7">
        <v>20</v>
      </c>
      <c r="G123" s="7">
        <v>20</v>
      </c>
    </row>
    <row r="124" spans="1:7" hidden="1" outlineLevel="1" x14ac:dyDescent="0.35">
      <c r="A124" s="169" t="s">
        <v>177</v>
      </c>
      <c r="B124" s="169"/>
      <c r="C124" s="7">
        <v>30</v>
      </c>
      <c r="D124" s="7">
        <v>30</v>
      </c>
      <c r="E124" s="7">
        <v>0</v>
      </c>
      <c r="F124" s="7">
        <v>30</v>
      </c>
      <c r="G124" s="7">
        <v>30</v>
      </c>
    </row>
    <row r="125" spans="1:7" hidden="1" outlineLevel="1" x14ac:dyDescent="0.35">
      <c r="A125" s="169" t="s">
        <v>178</v>
      </c>
      <c r="B125" s="169"/>
      <c r="C125" s="7">
        <v>30</v>
      </c>
      <c r="D125" s="7">
        <v>30</v>
      </c>
      <c r="E125" s="7">
        <v>30</v>
      </c>
      <c r="F125" s="7">
        <v>30</v>
      </c>
      <c r="G125" s="7">
        <v>30</v>
      </c>
    </row>
    <row r="126" spans="1:7" hidden="1" outlineLevel="1" x14ac:dyDescent="0.35">
      <c r="A126" s="169" t="s">
        <v>179</v>
      </c>
      <c r="B126" s="169"/>
      <c r="C126" s="7">
        <v>5</v>
      </c>
      <c r="D126" s="7">
        <v>5</v>
      </c>
      <c r="E126" s="7">
        <v>5</v>
      </c>
      <c r="F126" s="7">
        <v>5</v>
      </c>
      <c r="G126" s="7">
        <v>5</v>
      </c>
    </row>
    <row r="127" spans="1:7" hidden="1" outlineLevel="1" x14ac:dyDescent="0.35">
      <c r="A127" s="169" t="s">
        <v>180</v>
      </c>
      <c r="B127" s="169"/>
      <c r="C127" s="8">
        <v>0</v>
      </c>
      <c r="D127" s="8">
        <v>0</v>
      </c>
      <c r="E127" s="7">
        <v>5</v>
      </c>
      <c r="F127" s="8">
        <v>0</v>
      </c>
      <c r="G127" s="8">
        <v>0</v>
      </c>
    </row>
    <row r="128" spans="1:7" hidden="1" outlineLevel="1" x14ac:dyDescent="0.35">
      <c r="A128" s="169" t="s">
        <v>181</v>
      </c>
      <c r="B128" s="169"/>
      <c r="C128" s="7">
        <v>120</v>
      </c>
      <c r="D128" s="8">
        <v>0</v>
      </c>
      <c r="E128" s="7">
        <v>0</v>
      </c>
      <c r="F128" s="8">
        <v>0</v>
      </c>
      <c r="G128" s="8">
        <v>0</v>
      </c>
    </row>
    <row r="129" spans="1:7" hidden="1" outlineLevel="1" x14ac:dyDescent="0.35">
      <c r="A129" s="169" t="s">
        <v>182</v>
      </c>
      <c r="B129" s="169"/>
      <c r="C129" s="7">
        <v>20</v>
      </c>
      <c r="D129" s="8">
        <v>0</v>
      </c>
      <c r="E129" s="7">
        <v>0</v>
      </c>
      <c r="F129" s="8">
        <v>0</v>
      </c>
      <c r="G129" s="7">
        <v>0</v>
      </c>
    </row>
    <row r="130" spans="1:7" hidden="1" outlineLevel="1" x14ac:dyDescent="0.35">
      <c r="A130" s="169" t="s">
        <v>183</v>
      </c>
      <c r="B130" s="169"/>
      <c r="C130" s="7">
        <v>20</v>
      </c>
      <c r="D130" s="7">
        <v>20</v>
      </c>
      <c r="E130" s="7">
        <v>0</v>
      </c>
      <c r="F130" s="7">
        <v>60</v>
      </c>
      <c r="G130" s="7">
        <v>20</v>
      </c>
    </row>
    <row r="131" spans="1:7" hidden="1" outlineLevel="1" x14ac:dyDescent="0.35">
      <c r="A131" s="169" t="s">
        <v>184</v>
      </c>
      <c r="B131" s="169"/>
      <c r="C131" s="7">
        <v>0</v>
      </c>
      <c r="D131" s="7">
        <v>0</v>
      </c>
      <c r="E131" s="7">
        <v>60</v>
      </c>
      <c r="F131" s="7">
        <v>0</v>
      </c>
      <c r="G131" s="7">
        <v>0</v>
      </c>
    </row>
    <row r="132" spans="1:7" hidden="1" outlineLevel="1" x14ac:dyDescent="0.35">
      <c r="A132" s="169" t="s">
        <v>185</v>
      </c>
      <c r="B132" s="169"/>
      <c r="C132" s="7">
        <v>0</v>
      </c>
      <c r="D132" s="7">
        <v>0</v>
      </c>
      <c r="E132" s="7">
        <v>30</v>
      </c>
      <c r="F132" s="7">
        <v>0</v>
      </c>
      <c r="G132" s="7">
        <v>0</v>
      </c>
    </row>
    <row r="133" spans="1:7" hidden="1" outlineLevel="1" x14ac:dyDescent="0.35">
      <c r="A133" s="169" t="s">
        <v>186</v>
      </c>
      <c r="B133" s="169"/>
      <c r="C133" s="7">
        <v>30</v>
      </c>
      <c r="D133" s="7">
        <v>30</v>
      </c>
      <c r="E133" s="7">
        <v>30</v>
      </c>
      <c r="F133" s="7">
        <v>30</v>
      </c>
      <c r="G133" s="7">
        <v>30</v>
      </c>
    </row>
    <row r="134" spans="1:7" hidden="1" outlineLevel="1" x14ac:dyDescent="0.35">
      <c r="A134" s="169" t="s">
        <v>187</v>
      </c>
      <c r="B134" s="169"/>
      <c r="C134" s="7">
        <v>10</v>
      </c>
      <c r="D134" s="7">
        <v>10</v>
      </c>
      <c r="E134" s="7">
        <v>10</v>
      </c>
      <c r="F134" s="7">
        <v>10</v>
      </c>
      <c r="G134" s="7">
        <v>10</v>
      </c>
    </row>
    <row r="135" spans="1:7" hidden="1" outlineLevel="1" x14ac:dyDescent="0.35">
      <c r="A135" s="169" t="s">
        <v>188</v>
      </c>
      <c r="B135" s="169"/>
      <c r="C135" s="7">
        <v>5</v>
      </c>
      <c r="D135" s="7">
        <v>5</v>
      </c>
      <c r="E135" s="7">
        <v>5</v>
      </c>
      <c r="F135" s="7">
        <v>5</v>
      </c>
      <c r="G135" s="7">
        <v>5</v>
      </c>
    </row>
    <row r="136" spans="1:7" hidden="1" outlineLevel="1" x14ac:dyDescent="0.35">
      <c r="A136" s="169" t="s">
        <v>189</v>
      </c>
      <c r="B136" s="169"/>
      <c r="C136" s="7">
        <v>60</v>
      </c>
      <c r="D136" s="7">
        <v>60</v>
      </c>
      <c r="E136" s="7">
        <v>60</v>
      </c>
      <c r="F136" s="7">
        <v>60</v>
      </c>
      <c r="G136" s="7">
        <v>60</v>
      </c>
    </row>
    <row r="137" spans="1:7" hidden="1" outlineLevel="1" x14ac:dyDescent="0.35">
      <c r="A137" s="169" t="s">
        <v>190</v>
      </c>
      <c r="B137" s="169"/>
      <c r="C137" s="7">
        <v>45</v>
      </c>
      <c r="D137" s="7">
        <v>45</v>
      </c>
      <c r="E137" s="7">
        <v>45</v>
      </c>
      <c r="F137" s="7">
        <v>45</v>
      </c>
      <c r="G137" s="7">
        <v>45</v>
      </c>
    </row>
    <row r="138" spans="1:7" hidden="1" outlineLevel="1" x14ac:dyDescent="0.35">
      <c r="A138" s="169" t="s">
        <v>191</v>
      </c>
      <c r="B138" s="169"/>
      <c r="C138" s="7">
        <v>3</v>
      </c>
      <c r="D138" s="7">
        <v>3</v>
      </c>
      <c r="E138" s="7">
        <v>3</v>
      </c>
      <c r="F138" s="7">
        <v>3</v>
      </c>
      <c r="G138" s="7">
        <v>3</v>
      </c>
    </row>
    <row r="139" spans="1:7" hidden="1" outlineLevel="1" x14ac:dyDescent="0.35">
      <c r="A139" s="169" t="s">
        <v>192</v>
      </c>
      <c r="B139" s="169"/>
      <c r="C139" s="7">
        <v>10</v>
      </c>
      <c r="D139" s="7">
        <v>10</v>
      </c>
      <c r="E139" s="7">
        <v>10</v>
      </c>
      <c r="F139" s="7">
        <v>10</v>
      </c>
      <c r="G139" s="7">
        <v>10</v>
      </c>
    </row>
    <row r="140" spans="1:7" hidden="1" outlineLevel="1" x14ac:dyDescent="0.35">
      <c r="A140" s="169" t="s">
        <v>193</v>
      </c>
      <c r="B140" s="169"/>
      <c r="C140" s="7">
        <v>5</v>
      </c>
      <c r="D140" s="7">
        <v>5</v>
      </c>
      <c r="E140" s="7">
        <v>0</v>
      </c>
      <c r="F140" s="7">
        <v>5</v>
      </c>
      <c r="G140" s="7">
        <v>5</v>
      </c>
    </row>
    <row r="141" spans="1:7" hidden="1" outlineLevel="1" x14ac:dyDescent="0.35">
      <c r="A141" s="169" t="s">
        <v>194</v>
      </c>
      <c r="B141" s="169"/>
      <c r="C141" s="7">
        <v>5</v>
      </c>
      <c r="D141" s="7">
        <v>5</v>
      </c>
      <c r="E141" s="7">
        <v>5</v>
      </c>
      <c r="F141" s="7">
        <v>5</v>
      </c>
      <c r="G141" s="7">
        <v>5</v>
      </c>
    </row>
    <row r="142" spans="1:7" hidden="1" outlineLevel="1" x14ac:dyDescent="0.35">
      <c r="A142" s="169" t="s">
        <v>195</v>
      </c>
      <c r="B142" s="169"/>
      <c r="C142" s="8">
        <v>0</v>
      </c>
      <c r="D142" s="8">
        <v>0</v>
      </c>
      <c r="E142" s="7">
        <v>30</v>
      </c>
      <c r="F142" s="8">
        <v>0</v>
      </c>
      <c r="G142" s="8">
        <v>0</v>
      </c>
    </row>
    <row r="143" spans="1:7" hidden="1" outlineLevel="1" x14ac:dyDescent="0.35">
      <c r="A143" s="169" t="s">
        <v>196</v>
      </c>
      <c r="B143" s="169"/>
      <c r="C143" s="8">
        <v>0</v>
      </c>
      <c r="D143" s="8">
        <v>0</v>
      </c>
      <c r="E143" s="7">
        <v>30</v>
      </c>
      <c r="F143" s="8">
        <v>0</v>
      </c>
      <c r="G143" s="8">
        <v>0</v>
      </c>
    </row>
    <row r="144" spans="1:7" hidden="1" outlineLevel="1" x14ac:dyDescent="0.35">
      <c r="A144" s="169" t="s">
        <v>197</v>
      </c>
      <c r="B144" s="169"/>
      <c r="C144" s="7">
        <v>5</v>
      </c>
      <c r="D144" s="7">
        <v>5</v>
      </c>
      <c r="E144" s="7">
        <v>5</v>
      </c>
      <c r="F144" s="7">
        <v>5</v>
      </c>
      <c r="G144" s="7">
        <v>5</v>
      </c>
    </row>
    <row r="145" spans="1:7" hidden="1" outlineLevel="1" x14ac:dyDescent="0.35">
      <c r="A145" s="169" t="s">
        <v>198</v>
      </c>
      <c r="B145" s="169"/>
      <c r="C145" s="7">
        <v>5</v>
      </c>
      <c r="D145" s="7">
        <v>5</v>
      </c>
      <c r="E145" s="7">
        <v>5</v>
      </c>
      <c r="F145" s="7">
        <v>5</v>
      </c>
      <c r="G145" s="7">
        <v>5</v>
      </c>
    </row>
    <row r="146" spans="1:7" hidden="1" outlineLevel="1" x14ac:dyDescent="0.35">
      <c r="A146" s="169" t="s">
        <v>199</v>
      </c>
      <c r="B146" s="169"/>
      <c r="C146" s="7">
        <v>3</v>
      </c>
      <c r="D146" s="7">
        <v>3</v>
      </c>
      <c r="E146" s="7">
        <v>3</v>
      </c>
      <c r="F146" s="7">
        <v>3</v>
      </c>
      <c r="G146" s="7">
        <v>3</v>
      </c>
    </row>
    <row r="147" spans="1:7" hidden="1" outlineLevel="1" x14ac:dyDescent="0.35">
      <c r="A147" s="169" t="s">
        <v>200</v>
      </c>
      <c r="B147" s="169"/>
      <c r="C147" s="7">
        <v>0</v>
      </c>
      <c r="D147" s="7">
        <v>0</v>
      </c>
      <c r="E147" s="7">
        <v>0</v>
      </c>
      <c r="F147" s="7">
        <v>0</v>
      </c>
      <c r="G147" s="7">
        <v>0</v>
      </c>
    </row>
    <row r="148" spans="1:7" collapsed="1" x14ac:dyDescent="0.35"/>
  </sheetData>
  <autoFilter ref="A26:B26" xr:uid="{C67C8D8E-E5E2-4882-9088-647078EC0BDF}">
    <sortState xmlns:xlrd2="http://schemas.microsoft.com/office/spreadsheetml/2017/richdata2" ref="A27:B71">
      <sortCondition ref="A26"/>
    </sortState>
  </autoFilter>
  <mergeCells count="83">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 ref="A81:B81"/>
    <mergeCell ref="A82:B82"/>
    <mergeCell ref="A83:B83"/>
    <mergeCell ref="A84:B84"/>
    <mergeCell ref="A85:B85"/>
    <mergeCell ref="A86:B86"/>
    <mergeCell ref="A87:B87"/>
    <mergeCell ref="A88:B88"/>
    <mergeCell ref="A89:B89"/>
    <mergeCell ref="A90:B90"/>
    <mergeCell ref="A91:B91"/>
    <mergeCell ref="A92:B92"/>
    <mergeCell ref="A93:B93"/>
    <mergeCell ref="A94:B94"/>
    <mergeCell ref="A95:B95"/>
    <mergeCell ref="A96:B96"/>
    <mergeCell ref="A98:B98"/>
    <mergeCell ref="A99:B99"/>
    <mergeCell ref="A100:B100"/>
    <mergeCell ref="A101:B101"/>
    <mergeCell ref="A97:B97"/>
    <mergeCell ref="A102:B102"/>
    <mergeCell ref="A103:B103"/>
    <mergeCell ref="A104:B104"/>
    <mergeCell ref="A105:B105"/>
    <mergeCell ref="A106:B106"/>
    <mergeCell ref="A107:B107"/>
    <mergeCell ref="A109:B109"/>
    <mergeCell ref="A110:B110"/>
    <mergeCell ref="A111:B111"/>
    <mergeCell ref="A112:B112"/>
    <mergeCell ref="A108:B108"/>
    <mergeCell ref="A113:B113"/>
    <mergeCell ref="A114:B114"/>
    <mergeCell ref="A116:B116"/>
    <mergeCell ref="A117:B117"/>
    <mergeCell ref="A118:B118"/>
    <mergeCell ref="A115:B115"/>
    <mergeCell ref="A125:B125"/>
    <mergeCell ref="A126:B126"/>
    <mergeCell ref="A127:B127"/>
    <mergeCell ref="A128:B128"/>
    <mergeCell ref="A119:B119"/>
    <mergeCell ref="A120:B120"/>
    <mergeCell ref="A121:B121"/>
    <mergeCell ref="A122:B122"/>
    <mergeCell ref="A123:B123"/>
    <mergeCell ref="A124:B124"/>
    <mergeCell ref="A146:B146"/>
    <mergeCell ref="A147:B147"/>
    <mergeCell ref="A139:B139"/>
    <mergeCell ref="A140:B140"/>
    <mergeCell ref="A141:B141"/>
    <mergeCell ref="A142:B142"/>
    <mergeCell ref="A143:B143"/>
    <mergeCell ref="A144:B144"/>
    <mergeCell ref="A145:B145"/>
    <mergeCell ref="A134:B134"/>
    <mergeCell ref="A135:B135"/>
    <mergeCell ref="A136:B136"/>
    <mergeCell ref="A137:B137"/>
    <mergeCell ref="A138:B138"/>
    <mergeCell ref="A129:B129"/>
    <mergeCell ref="A130:B130"/>
    <mergeCell ref="A131:B131"/>
    <mergeCell ref="A132:B132"/>
    <mergeCell ref="A133:B133"/>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BC25" activePane="bottomRight" state="frozen"/>
      <selection pane="topRight" activeCell="H1" sqref="H1"/>
      <selection pane="bottomLeft" activeCell="A9" sqref="A9"/>
      <selection pane="bottomRight" activeCell="A9" sqref="A9:XFD10"/>
    </sheetView>
  </sheetViews>
  <sheetFormatPr defaultRowHeight="14.5" outlineLevelRow="1" outlineLevelCol="1" x14ac:dyDescent="0.35"/>
  <cols>
    <col min="1" max="1" width="20.81640625" customWidth="1"/>
    <col min="2" max="2" width="9.81640625" customWidth="1"/>
    <col min="3" max="3" width="16.81640625" bestFit="1" customWidth="1"/>
    <col min="4" max="4" width="12.1796875" style="104"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3.179687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0.7265625" customWidth="1"/>
    <col min="37" max="38" width="10.7265625" customWidth="1" outlineLevel="1"/>
    <col min="39" max="39" width="10.7265625" customWidth="1"/>
    <col min="40" max="41" width="10.7265625" customWidth="1" outlineLevel="1"/>
    <col min="42" max="42" width="10.7265625" customWidth="1"/>
    <col min="43"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5" width="12.54296875" customWidth="1" outlineLevel="1"/>
    <col min="56" max="56" width="13.453125" customWidth="1" outlineLevel="1"/>
    <col min="57" max="57" width="10.81640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3.269531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227</v>
      </c>
      <c r="FU5" s="143"/>
      <c r="FV5" s="143"/>
      <c r="FW5" s="143"/>
      <c r="FX5" s="36"/>
      <c r="FY5" s="36"/>
      <c r="FZ5" s="36"/>
      <c r="GA5" s="36"/>
      <c r="GB5" s="36"/>
      <c r="GC5" s="36"/>
      <c r="GD5" s="36"/>
    </row>
    <row r="6" spans="1:311" x14ac:dyDescent="0.3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3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3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3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3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3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3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3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3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3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3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 thickBot="1" x14ac:dyDescent="0.4">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 thickBot="1" x14ac:dyDescent="0.4">
      <c r="A19" t="s">
        <v>472</v>
      </c>
      <c r="D19" s="9"/>
      <c r="I19" s="76" t="s">
        <v>473</v>
      </c>
      <c r="J19" s="30"/>
      <c r="M19" s="197" t="s">
        <v>474</v>
      </c>
      <c r="N19" s="198"/>
      <c r="O19" s="198"/>
      <c r="P19" s="197" t="s">
        <v>474</v>
      </c>
      <c r="Q19" s="198"/>
      <c r="R19" s="199"/>
      <c r="Y19" s="6"/>
      <c r="AH19" s="191" t="s">
        <v>475</v>
      </c>
      <c r="AI19" s="192"/>
      <c r="AJ19" s="193"/>
      <c r="AQ19" s="191" t="s">
        <v>475</v>
      </c>
      <c r="AR19" s="192"/>
      <c r="AS19" s="193"/>
      <c r="BA19" s="6"/>
      <c r="BB19" s="6"/>
      <c r="BC19" s="191" t="s">
        <v>475</v>
      </c>
      <c r="BD19" s="192"/>
      <c r="BE19" s="193"/>
      <c r="BF19" s="43"/>
      <c r="BG19" s="44"/>
      <c r="BH19" s="44"/>
      <c r="CM19" s="202" t="s">
        <v>473</v>
      </c>
      <c r="CN19" s="203"/>
      <c r="CO19" s="203"/>
      <c r="CP19" s="202" t="s">
        <v>473</v>
      </c>
      <c r="CQ19" s="203"/>
      <c r="CR19" s="203"/>
      <c r="CS19" s="204"/>
      <c r="CT19" s="191" t="s">
        <v>475</v>
      </c>
      <c r="CU19" s="192"/>
      <c r="CV19" s="193"/>
      <c r="DC19" s="200"/>
      <c r="DD19" s="200"/>
      <c r="DE19" s="200"/>
      <c r="DF19" s="191" t="s">
        <v>475</v>
      </c>
      <c r="DG19" s="192"/>
      <c r="DH19" s="193"/>
      <c r="DI19" s="194" t="s">
        <v>28</v>
      </c>
      <c r="DJ19" s="195"/>
      <c r="DK19" s="195"/>
      <c r="DL19" s="196"/>
      <c r="DS19" s="194" t="s">
        <v>28</v>
      </c>
      <c r="DT19" s="195"/>
      <c r="DU19" s="195"/>
      <c r="DV19" s="196"/>
      <c r="DW19" s="194" t="s">
        <v>28</v>
      </c>
      <c r="DX19" s="195"/>
      <c r="DY19" s="195"/>
      <c r="DZ19" s="196"/>
      <c r="EA19" s="194" t="s">
        <v>28</v>
      </c>
      <c r="EB19" s="195"/>
      <c r="EC19" s="195"/>
      <c r="ED19" s="196"/>
      <c r="EE19" s="185" t="s">
        <v>474</v>
      </c>
      <c r="EF19" s="186"/>
      <c r="EG19" s="186"/>
      <c r="EH19" s="185" t="s">
        <v>474</v>
      </c>
      <c r="EI19" s="186"/>
      <c r="EJ19" s="187"/>
      <c r="EZ19" s="185" t="s">
        <v>474</v>
      </c>
      <c r="FA19" s="186"/>
      <c r="FB19" s="187"/>
      <c r="FI19" s="188" t="s">
        <v>475</v>
      </c>
      <c r="FJ19" s="189"/>
      <c r="FK19" s="190"/>
      <c r="FL19" s="188" t="s">
        <v>475</v>
      </c>
      <c r="FM19" s="189"/>
      <c r="FN19" s="190"/>
      <c r="FO19" s="185" t="s">
        <v>474</v>
      </c>
      <c r="FP19" s="186"/>
      <c r="FQ19" s="187"/>
      <c r="FR19" s="79"/>
      <c r="FS19" s="111"/>
    </row>
    <row r="20" spans="1:179" x14ac:dyDescent="0.35">
      <c r="D20" s="9"/>
      <c r="Y20" s="6"/>
      <c r="BA20" s="6"/>
      <c r="BB20" s="6"/>
    </row>
    <row r="21" spans="1:179" x14ac:dyDescent="0.35">
      <c r="D21" s="9"/>
      <c r="F21" s="97"/>
    </row>
    <row r="22" spans="1:179" x14ac:dyDescent="0.35">
      <c r="D22" s="9"/>
      <c r="F22" s="97"/>
      <c r="Y22" s="6"/>
      <c r="BA22" s="6"/>
      <c r="BB22" s="6"/>
    </row>
    <row r="23" spans="1:179" ht="14.5" customHeight="1" x14ac:dyDescent="0.35">
      <c r="A23" s="201" t="s">
        <v>476</v>
      </c>
      <c r="B23" s="201"/>
      <c r="C23" s="201"/>
      <c r="D23" s="201"/>
      <c r="E23" s="201"/>
      <c r="Y23" s="6"/>
      <c r="BA23" s="6"/>
      <c r="BB23" s="6"/>
    </row>
    <row r="24" spans="1:179" ht="14.5" customHeight="1" x14ac:dyDescent="0.35">
      <c r="A24" s="201"/>
      <c r="B24" s="201"/>
      <c r="C24" s="201"/>
      <c r="D24" s="201"/>
      <c r="E24" s="201"/>
    </row>
    <row r="25" spans="1:179" x14ac:dyDescent="0.35">
      <c r="D25" s="9"/>
    </row>
    <row r="26" spans="1:179" ht="43.5" x14ac:dyDescent="0.35">
      <c r="A26" s="99" t="s">
        <v>466</v>
      </c>
      <c r="B26" s="100" t="s">
        <v>468</v>
      </c>
      <c r="C26" s="100" t="s">
        <v>469</v>
      </c>
      <c r="D26" s="100" t="s">
        <v>470</v>
      </c>
      <c r="E26" s="101" t="s">
        <v>471</v>
      </c>
    </row>
    <row r="27" spans="1:179" x14ac:dyDescent="0.35">
      <c r="A27" s="113"/>
      <c r="B27" s="102"/>
      <c r="C27" s="102"/>
      <c r="D27" s="103"/>
      <c r="E27" s="102"/>
    </row>
    <row r="28" spans="1:179" x14ac:dyDescent="0.35">
      <c r="A28" s="114"/>
      <c r="B28" s="102"/>
      <c r="C28" s="102"/>
      <c r="D28" s="103"/>
      <c r="E28" s="102"/>
    </row>
    <row r="29" spans="1:179" x14ac:dyDescent="0.35">
      <c r="A29" s="113"/>
      <c r="B29" s="102"/>
      <c r="C29" s="102"/>
      <c r="D29" s="103"/>
      <c r="E29" s="102"/>
    </row>
    <row r="30" spans="1:179" x14ac:dyDescent="0.35">
      <c r="A30" s="114"/>
      <c r="B30" s="102"/>
      <c r="C30" s="102"/>
      <c r="D30" s="103"/>
      <c r="E30" s="102"/>
    </row>
    <row r="31" spans="1:179" x14ac:dyDescent="0.35">
      <c r="A31" s="113"/>
      <c r="B31" s="102"/>
      <c r="C31" s="102"/>
      <c r="D31" s="103"/>
      <c r="E31" s="102"/>
    </row>
    <row r="32" spans="1:179" x14ac:dyDescent="0.35">
      <c r="A32" s="114"/>
      <c r="B32" s="102"/>
      <c r="C32" s="102"/>
      <c r="D32" s="103"/>
      <c r="E32" s="102"/>
    </row>
    <row r="33" spans="1:5" x14ac:dyDescent="0.35">
      <c r="A33" s="113"/>
      <c r="B33" s="102"/>
      <c r="C33" s="102"/>
      <c r="D33" s="103"/>
      <c r="E33" s="102"/>
    </row>
    <row r="34" spans="1:5" x14ac:dyDescent="0.35">
      <c r="A34" s="114"/>
      <c r="B34" s="102"/>
      <c r="C34" s="102"/>
      <c r="D34" s="103"/>
      <c r="E34" s="102"/>
    </row>
    <row r="35" spans="1:5" x14ac:dyDescent="0.35">
      <c r="A35" s="102"/>
      <c r="B35" s="102"/>
      <c r="C35" s="102"/>
      <c r="D35" s="103"/>
      <c r="E35" s="102"/>
    </row>
    <row r="36" spans="1:5" x14ac:dyDescent="0.35">
      <c r="A36" s="102"/>
      <c r="B36" s="102"/>
      <c r="C36" s="102"/>
      <c r="D36" s="103"/>
      <c r="E36" s="102"/>
    </row>
    <row r="37" spans="1:5" x14ac:dyDescent="0.35">
      <c r="A37" s="102"/>
      <c r="B37" s="102"/>
      <c r="C37" s="102"/>
      <c r="D37" s="103"/>
      <c r="E37" s="102"/>
    </row>
    <row r="38" spans="1:5" x14ac:dyDescent="0.35">
      <c r="A38" s="102"/>
      <c r="B38" s="102"/>
      <c r="C38" s="102"/>
      <c r="D38" s="103"/>
      <c r="E38" s="102"/>
    </row>
    <row r="39" spans="1:5" x14ac:dyDescent="0.35">
      <c r="A39" s="102"/>
      <c r="B39" s="102"/>
      <c r="C39" s="102"/>
      <c r="D39" s="103"/>
      <c r="E39" s="102"/>
    </row>
    <row r="40" spans="1:5" x14ac:dyDescent="0.35">
      <c r="A40" s="102"/>
      <c r="B40" s="102"/>
      <c r="C40" s="102"/>
      <c r="D40" s="103"/>
      <c r="E40" s="102"/>
    </row>
    <row r="41" spans="1:5" x14ac:dyDescent="0.35">
      <c r="A41" s="102"/>
      <c r="B41" s="102"/>
      <c r="C41" s="102"/>
      <c r="D41" s="103"/>
      <c r="E41" s="102"/>
    </row>
    <row r="42" spans="1:5" x14ac:dyDescent="0.35">
      <c r="A42" s="102"/>
      <c r="B42" s="102"/>
      <c r="C42" s="102"/>
      <c r="D42" s="103"/>
      <c r="E42" s="102"/>
    </row>
    <row r="43" spans="1:5" x14ac:dyDescent="0.35">
      <c r="A43" s="102"/>
      <c r="B43" s="102"/>
      <c r="C43" s="102"/>
      <c r="D43" s="103"/>
      <c r="E43" s="102"/>
    </row>
    <row r="44" spans="1:5" x14ac:dyDescent="0.35">
      <c r="A44" s="102"/>
      <c r="B44" s="102"/>
      <c r="C44" s="102"/>
      <c r="D44" s="103"/>
      <c r="E44" s="102"/>
    </row>
    <row r="45" spans="1:5" x14ac:dyDescent="0.35">
      <c r="A45" s="102"/>
      <c r="B45" s="102"/>
      <c r="C45" s="102"/>
      <c r="D45" s="103"/>
      <c r="E45" s="102"/>
    </row>
    <row r="46" spans="1:5" x14ac:dyDescent="0.35">
      <c r="A46" s="102"/>
      <c r="B46" s="102"/>
      <c r="C46" s="102"/>
      <c r="D46" s="103"/>
      <c r="E46" s="102"/>
    </row>
    <row r="47" spans="1:5" x14ac:dyDescent="0.35">
      <c r="A47" s="102"/>
      <c r="B47" s="102"/>
      <c r="C47" s="102"/>
      <c r="D47" s="103"/>
      <c r="E47" s="102"/>
    </row>
    <row r="48" spans="1:5" x14ac:dyDescent="0.35">
      <c r="A48" s="102"/>
      <c r="B48" s="102"/>
      <c r="C48" s="102"/>
      <c r="D48" s="103"/>
      <c r="E48" s="102"/>
    </row>
    <row r="49" spans="1:5" x14ac:dyDescent="0.35">
      <c r="A49" s="102"/>
      <c r="B49" s="102"/>
      <c r="C49" s="102"/>
      <c r="D49" s="103"/>
      <c r="E49" s="102"/>
    </row>
    <row r="50" spans="1:5" x14ac:dyDescent="0.35">
      <c r="A50" s="102"/>
      <c r="B50" s="102"/>
      <c r="C50" s="102"/>
      <c r="D50" s="103"/>
      <c r="E50" s="102"/>
    </row>
    <row r="51" spans="1:5" x14ac:dyDescent="0.35">
      <c r="A51" s="102"/>
      <c r="B51" s="102"/>
      <c r="C51" s="102"/>
      <c r="D51" s="103"/>
      <c r="E51" s="102"/>
    </row>
    <row r="52" spans="1:5" x14ac:dyDescent="0.35">
      <c r="A52" s="102"/>
      <c r="B52" s="102"/>
      <c r="C52" s="102"/>
      <c r="D52" s="103"/>
      <c r="E52" s="102"/>
    </row>
    <row r="53" spans="1:5" x14ac:dyDescent="0.35">
      <c r="A53" s="102"/>
      <c r="B53" s="102"/>
      <c r="C53" s="102"/>
      <c r="D53" s="103"/>
      <c r="E53" s="102"/>
    </row>
    <row r="54" spans="1:5" x14ac:dyDescent="0.35">
      <c r="A54" s="102"/>
      <c r="B54" s="102"/>
      <c r="C54" s="102"/>
      <c r="D54" s="103"/>
      <c r="E54" s="102"/>
    </row>
    <row r="55" spans="1:5" x14ac:dyDescent="0.35">
      <c r="A55" s="102"/>
      <c r="B55" s="102"/>
      <c r="C55" s="102"/>
      <c r="D55" s="103"/>
      <c r="E55" s="102"/>
    </row>
    <row r="56" spans="1:5" x14ac:dyDescent="0.35">
      <c r="A56" s="102"/>
      <c r="B56" s="102"/>
      <c r="C56" s="102"/>
      <c r="D56" s="103"/>
      <c r="E56" s="102"/>
    </row>
    <row r="57" spans="1:5" x14ac:dyDescent="0.35">
      <c r="A57" s="102"/>
      <c r="B57" s="102"/>
      <c r="C57" s="102"/>
      <c r="D57" s="103"/>
      <c r="E57" s="102"/>
    </row>
    <row r="58" spans="1:5" x14ac:dyDescent="0.35">
      <c r="A58" s="102"/>
      <c r="B58" s="102"/>
      <c r="C58" s="102"/>
      <c r="D58" s="103"/>
      <c r="E58" s="102"/>
    </row>
    <row r="59" spans="1:5" x14ac:dyDescent="0.35">
      <c r="A59" s="102"/>
      <c r="B59" s="102"/>
      <c r="C59" s="102"/>
      <c r="D59" s="103"/>
      <c r="E59" s="102"/>
    </row>
    <row r="60" spans="1:5" x14ac:dyDescent="0.35">
      <c r="A60" s="102"/>
      <c r="B60" s="102"/>
      <c r="C60" s="102"/>
      <c r="D60" s="103"/>
      <c r="E60" s="102"/>
    </row>
    <row r="61" spans="1:5" x14ac:dyDescent="0.35">
      <c r="A61" s="102"/>
      <c r="B61" s="102"/>
      <c r="C61" s="102"/>
      <c r="D61" s="103"/>
      <c r="E61" s="102"/>
    </row>
    <row r="62" spans="1:5" x14ac:dyDescent="0.35">
      <c r="A62" s="102"/>
      <c r="B62" s="102"/>
      <c r="C62" s="102"/>
      <c r="D62" s="103"/>
      <c r="E62" s="102"/>
    </row>
    <row r="63" spans="1:5" x14ac:dyDescent="0.35">
      <c r="A63" s="102"/>
      <c r="B63" s="102"/>
      <c r="C63" s="102"/>
      <c r="D63" s="103"/>
      <c r="E63" s="102"/>
    </row>
    <row r="64" spans="1:5" x14ac:dyDescent="0.35">
      <c r="A64" s="102"/>
      <c r="B64" s="102"/>
      <c r="C64" s="102"/>
      <c r="D64" s="103"/>
      <c r="E64" s="102"/>
    </row>
    <row r="65" spans="1:5" x14ac:dyDescent="0.35">
      <c r="A65" s="102"/>
      <c r="B65" s="102"/>
      <c r="C65" s="102"/>
      <c r="D65" s="103"/>
      <c r="E65" s="102"/>
    </row>
    <row r="66" spans="1:5" x14ac:dyDescent="0.35">
      <c r="A66" s="102"/>
      <c r="B66" s="102"/>
      <c r="C66" s="102"/>
      <c r="D66" s="103"/>
      <c r="E66" s="102"/>
    </row>
    <row r="67" spans="1:5" x14ac:dyDescent="0.35">
      <c r="A67" s="102"/>
      <c r="B67" s="102"/>
      <c r="C67" s="102"/>
      <c r="D67" s="103"/>
      <c r="E67" s="102"/>
    </row>
    <row r="68" spans="1:5" x14ac:dyDescent="0.35">
      <c r="A68" s="102"/>
      <c r="B68" s="102"/>
      <c r="C68" s="102"/>
      <c r="D68" s="103"/>
      <c r="E68" s="102"/>
    </row>
    <row r="69" spans="1:5" x14ac:dyDescent="0.35">
      <c r="A69" s="102"/>
      <c r="B69" s="102"/>
      <c r="C69" s="102"/>
      <c r="D69" s="103"/>
      <c r="E69" s="102"/>
    </row>
    <row r="70" spans="1:5" x14ac:dyDescent="0.35">
      <c r="A70" s="102"/>
      <c r="B70" s="102"/>
      <c r="C70" s="102"/>
      <c r="D70" s="103"/>
      <c r="E70" s="102"/>
    </row>
    <row r="71" spans="1:5" x14ac:dyDescent="0.35">
      <c r="A71" s="102"/>
      <c r="B71" s="102"/>
      <c r="C71" s="102"/>
      <c r="D71" s="103"/>
      <c r="E71" s="102"/>
    </row>
    <row r="72" spans="1:5" x14ac:dyDescent="0.35">
      <c r="A72" s="102"/>
      <c r="B72" s="102"/>
      <c r="C72" s="102"/>
      <c r="D72" s="103"/>
      <c r="E72" s="102"/>
    </row>
    <row r="73" spans="1:5" x14ac:dyDescent="0.35">
      <c r="A73" s="102"/>
      <c r="B73" s="102"/>
      <c r="C73" s="102"/>
      <c r="D73" s="103"/>
      <c r="E73" s="102"/>
    </row>
    <row r="74" spans="1:5" x14ac:dyDescent="0.35">
      <c r="A74" s="102"/>
      <c r="B74" s="102"/>
      <c r="C74" s="102"/>
      <c r="D74" s="103"/>
      <c r="E74" s="102"/>
    </row>
    <row r="75" spans="1:5" x14ac:dyDescent="0.35">
      <c r="A75" s="102"/>
      <c r="B75" s="102"/>
      <c r="C75" s="102"/>
      <c r="D75" s="103"/>
      <c r="E75" s="102"/>
    </row>
    <row r="76" spans="1:5" x14ac:dyDescent="0.35">
      <c r="A76" s="102"/>
      <c r="B76" s="102"/>
      <c r="C76" s="102"/>
      <c r="D76" s="103"/>
      <c r="E76" s="102"/>
    </row>
    <row r="77" spans="1:5" x14ac:dyDescent="0.35">
      <c r="A77" s="102"/>
      <c r="B77" s="102"/>
      <c r="C77" s="102"/>
      <c r="D77" s="103"/>
      <c r="E77" s="102"/>
    </row>
    <row r="78" spans="1:5" x14ac:dyDescent="0.35">
      <c r="A78" s="102"/>
      <c r="B78" s="102"/>
      <c r="C78" s="102"/>
      <c r="D78" s="103"/>
      <c r="E78" s="102"/>
    </row>
    <row r="79" spans="1:5" x14ac:dyDescent="0.35">
      <c r="A79" s="102"/>
      <c r="B79" s="102"/>
      <c r="C79" s="102"/>
      <c r="D79" s="103"/>
      <c r="E79" s="102"/>
    </row>
    <row r="80" spans="1:5" x14ac:dyDescent="0.35">
      <c r="A80" s="102"/>
      <c r="B80" s="102"/>
      <c r="C80" s="102"/>
      <c r="D80" s="103"/>
      <c r="E80" s="102"/>
    </row>
    <row r="81" spans="1:5" x14ac:dyDescent="0.35">
      <c r="A81" s="102"/>
      <c r="B81" s="102"/>
      <c r="C81" s="102"/>
      <c r="D81" s="103"/>
      <c r="E81" s="102"/>
    </row>
    <row r="82" spans="1:5" x14ac:dyDescent="0.35">
      <c r="A82" s="102"/>
      <c r="B82" s="102"/>
      <c r="C82" s="102"/>
      <c r="D82" s="103"/>
      <c r="E82" s="102"/>
    </row>
    <row r="83" spans="1:5" x14ac:dyDescent="0.35">
      <c r="A83" s="102"/>
      <c r="B83" s="102"/>
      <c r="C83" s="102"/>
      <c r="D83" s="103"/>
      <c r="E83" s="102"/>
    </row>
    <row r="84" spans="1:5" x14ac:dyDescent="0.35">
      <c r="A84" s="102"/>
      <c r="B84" s="102"/>
      <c r="C84" s="102"/>
      <c r="D84" s="103"/>
      <c r="E84" s="102"/>
    </row>
    <row r="85" spans="1:5" x14ac:dyDescent="0.35">
      <c r="A85" s="102"/>
      <c r="B85" s="102"/>
      <c r="C85" s="102"/>
      <c r="D85" s="103"/>
      <c r="E85" s="102"/>
    </row>
    <row r="86" spans="1:5" x14ac:dyDescent="0.35">
      <c r="A86" s="102"/>
      <c r="B86" s="102"/>
      <c r="C86" s="102"/>
      <c r="D86" s="103"/>
      <c r="E86" s="102"/>
    </row>
    <row r="87" spans="1:5" x14ac:dyDescent="0.35">
      <c r="A87" s="102"/>
      <c r="B87" s="102"/>
      <c r="C87" s="102"/>
      <c r="D87" s="103"/>
      <c r="E87" s="102"/>
    </row>
    <row r="88" spans="1:5" x14ac:dyDescent="0.35">
      <c r="A88" s="102"/>
      <c r="B88" s="102"/>
      <c r="C88" s="102"/>
      <c r="D88" s="103"/>
      <c r="E88" s="102"/>
    </row>
    <row r="89" spans="1:5" x14ac:dyDescent="0.35">
      <c r="A89" s="102"/>
      <c r="B89" s="102"/>
      <c r="C89" s="102"/>
      <c r="D89" s="103"/>
      <c r="E89" s="102"/>
    </row>
    <row r="90" spans="1:5" x14ac:dyDescent="0.35">
      <c r="A90" s="102"/>
      <c r="B90" s="102"/>
      <c r="C90" s="102"/>
      <c r="D90" s="103"/>
      <c r="E90" s="102"/>
    </row>
    <row r="91" spans="1:5" x14ac:dyDescent="0.35">
      <c r="A91" s="102"/>
      <c r="B91" s="102"/>
      <c r="C91" s="102"/>
      <c r="D91" s="103"/>
      <c r="E91" s="102"/>
    </row>
    <row r="92" spans="1:5" x14ac:dyDescent="0.35">
      <c r="A92" s="102"/>
      <c r="B92" s="102"/>
      <c r="C92" s="102"/>
      <c r="D92" s="103"/>
      <c r="E92" s="102"/>
    </row>
    <row r="93" spans="1:5" x14ac:dyDescent="0.35">
      <c r="A93" s="102"/>
      <c r="B93" s="102"/>
      <c r="C93" s="102"/>
      <c r="D93" s="103"/>
      <c r="E93" s="102"/>
    </row>
    <row r="94" spans="1:5" x14ac:dyDescent="0.35">
      <c r="A94" s="102"/>
      <c r="B94" s="102"/>
      <c r="C94" s="102"/>
      <c r="D94" s="103"/>
      <c r="E94" s="102"/>
    </row>
    <row r="95" spans="1:5" x14ac:dyDescent="0.35">
      <c r="A95" s="102"/>
      <c r="B95" s="102"/>
      <c r="C95" s="102"/>
      <c r="D95" s="103"/>
      <c r="E95" s="102"/>
    </row>
    <row r="96" spans="1:5" x14ac:dyDescent="0.35">
      <c r="A96" s="102"/>
      <c r="B96" s="102"/>
      <c r="C96" s="102"/>
      <c r="D96" s="103"/>
      <c r="E96" s="102"/>
    </row>
    <row r="97" spans="1:5" x14ac:dyDescent="0.35">
      <c r="A97" s="102"/>
      <c r="B97" s="102"/>
      <c r="C97" s="102"/>
      <c r="D97" s="103"/>
      <c r="E97" s="102"/>
    </row>
    <row r="98" spans="1:5" x14ac:dyDescent="0.35">
      <c r="A98" s="102"/>
      <c r="B98" s="102"/>
      <c r="C98" s="102"/>
      <c r="D98" s="103"/>
      <c r="E98" s="102"/>
    </row>
    <row r="99" spans="1:5" x14ac:dyDescent="0.35">
      <c r="A99" s="102"/>
      <c r="B99" s="102"/>
      <c r="C99" s="102"/>
      <c r="D99" s="103"/>
      <c r="E99" s="102"/>
    </row>
    <row r="100" spans="1:5" x14ac:dyDescent="0.35">
      <c r="A100" s="102"/>
      <c r="B100" s="102"/>
      <c r="C100" s="102"/>
      <c r="D100" s="103"/>
      <c r="E100" s="102"/>
    </row>
    <row r="101" spans="1:5" x14ac:dyDescent="0.35">
      <c r="A101" s="102"/>
      <c r="B101" s="102"/>
      <c r="C101" s="102"/>
      <c r="D101" s="103"/>
      <c r="E101" s="102"/>
    </row>
    <row r="102" spans="1:5" x14ac:dyDescent="0.35">
      <c r="A102" s="102"/>
      <c r="B102" s="102"/>
      <c r="C102" s="102"/>
      <c r="D102" s="103"/>
      <c r="E102" s="102"/>
    </row>
    <row r="103" spans="1:5" x14ac:dyDescent="0.35">
      <c r="A103" s="102"/>
      <c r="B103" s="102"/>
      <c r="C103" s="102"/>
      <c r="D103" s="103"/>
      <c r="E103" s="102"/>
    </row>
    <row r="104" spans="1:5" x14ac:dyDescent="0.35">
      <c r="A104" s="102"/>
      <c r="B104" s="102"/>
      <c r="C104" s="102"/>
      <c r="D104" s="103"/>
      <c r="E104" s="102"/>
    </row>
    <row r="105" spans="1:5" x14ac:dyDescent="0.35">
      <c r="A105" s="102"/>
      <c r="B105" s="102"/>
      <c r="C105" s="102"/>
      <c r="D105" s="103"/>
      <c r="E105" s="102"/>
    </row>
    <row r="106" spans="1:5" x14ac:dyDescent="0.35">
      <c r="A106" s="102"/>
      <c r="B106" s="102"/>
      <c r="C106" s="102"/>
      <c r="D106" s="103"/>
      <c r="E106" s="102"/>
    </row>
    <row r="107" spans="1:5" x14ac:dyDescent="0.35">
      <c r="A107" s="102"/>
      <c r="B107" s="102"/>
      <c r="C107" s="102"/>
      <c r="D107" s="103"/>
      <c r="E107" s="102"/>
    </row>
    <row r="108" spans="1:5" x14ac:dyDescent="0.35">
      <c r="A108" s="102"/>
      <c r="B108" s="102"/>
      <c r="C108" s="102"/>
      <c r="D108" s="103"/>
      <c r="E108" s="102"/>
    </row>
    <row r="109" spans="1:5" x14ac:dyDescent="0.35">
      <c r="A109" s="102"/>
      <c r="B109" s="102"/>
      <c r="C109" s="102"/>
      <c r="D109" s="103"/>
      <c r="E109" s="102"/>
    </row>
    <row r="110" spans="1:5" x14ac:dyDescent="0.35">
      <c r="A110" s="102"/>
      <c r="B110" s="102"/>
      <c r="C110" s="102"/>
      <c r="D110" s="103"/>
      <c r="E110" s="102"/>
    </row>
    <row r="111" spans="1:5" x14ac:dyDescent="0.35">
      <c r="A111" s="102"/>
      <c r="B111" s="102"/>
      <c r="C111" s="102"/>
      <c r="D111" s="103"/>
      <c r="E111" s="102"/>
    </row>
    <row r="112" spans="1:5" x14ac:dyDescent="0.35">
      <c r="A112" s="102"/>
      <c r="B112" s="102"/>
      <c r="C112" s="102"/>
      <c r="D112" s="103"/>
      <c r="E112" s="102"/>
    </row>
    <row r="113" spans="1:5" x14ac:dyDescent="0.35">
      <c r="A113" s="102"/>
      <c r="B113" s="102"/>
      <c r="C113" s="102"/>
      <c r="D113" s="103"/>
      <c r="E113" s="102"/>
    </row>
    <row r="114" spans="1:5" x14ac:dyDescent="0.35">
      <c r="A114" s="102"/>
      <c r="B114" s="102"/>
      <c r="C114" s="102"/>
      <c r="D114" s="103"/>
      <c r="E114" s="102"/>
    </row>
    <row r="115" spans="1:5" x14ac:dyDescent="0.35">
      <c r="A115" s="102"/>
      <c r="B115" s="102"/>
      <c r="C115" s="102"/>
      <c r="D115" s="103"/>
      <c r="E115" s="102"/>
    </row>
    <row r="116" spans="1:5" x14ac:dyDescent="0.35">
      <c r="A116" s="102"/>
      <c r="B116" s="102"/>
      <c r="C116" s="102"/>
      <c r="D116" s="103"/>
      <c r="E116" s="102"/>
    </row>
    <row r="117" spans="1:5" x14ac:dyDescent="0.35">
      <c r="A117" s="102"/>
      <c r="B117" s="102"/>
      <c r="C117" s="102"/>
      <c r="D117" s="103"/>
      <c r="E117" s="102"/>
    </row>
    <row r="118" spans="1:5" x14ac:dyDescent="0.35">
      <c r="A118" s="102"/>
      <c r="B118" s="102"/>
      <c r="C118" s="102"/>
      <c r="D118" s="103"/>
      <c r="E118" s="102"/>
    </row>
    <row r="119" spans="1:5" x14ac:dyDescent="0.35">
      <c r="A119" s="102"/>
      <c r="B119" s="102"/>
      <c r="C119" s="102"/>
      <c r="D119" s="103"/>
      <c r="E119" s="102"/>
    </row>
    <row r="120" spans="1:5" x14ac:dyDescent="0.35">
      <c r="A120" s="102"/>
      <c r="B120" s="102"/>
      <c r="C120" s="102"/>
      <c r="D120" s="103"/>
      <c r="E120" s="102"/>
    </row>
    <row r="121" spans="1:5" x14ac:dyDescent="0.35">
      <c r="A121" s="102"/>
      <c r="B121" s="102"/>
      <c r="C121" s="102"/>
      <c r="D121" s="103"/>
      <c r="E121" s="102"/>
    </row>
    <row r="122" spans="1:5" x14ac:dyDescent="0.35">
      <c r="A122" s="102"/>
      <c r="B122" s="102"/>
      <c r="C122" s="102"/>
      <c r="D122" s="103"/>
      <c r="E122" s="102"/>
    </row>
    <row r="123" spans="1:5" x14ac:dyDescent="0.35">
      <c r="A123" s="102"/>
      <c r="B123" s="102"/>
      <c r="C123" s="102"/>
      <c r="D123" s="103"/>
      <c r="E123" s="102"/>
    </row>
    <row r="124" spans="1:5" x14ac:dyDescent="0.35">
      <c r="A124" s="102"/>
      <c r="B124" s="102"/>
      <c r="C124" s="102"/>
      <c r="D124" s="103"/>
      <c r="E124" s="102"/>
    </row>
    <row r="125" spans="1:5" x14ac:dyDescent="0.35">
      <c r="A125" s="102"/>
      <c r="B125" s="102"/>
      <c r="C125" s="102"/>
      <c r="D125" s="103"/>
      <c r="E125" s="102"/>
    </row>
    <row r="126" spans="1:5" x14ac:dyDescent="0.35">
      <c r="A126" s="102"/>
      <c r="B126" s="102"/>
      <c r="C126" s="102"/>
      <c r="D126" s="103"/>
      <c r="E126" s="102"/>
    </row>
  </sheetData>
  <protectedRanges>
    <protectedRange sqref="A27:A34" name="Range1" securityDescriptor="O:WDG:WDD:(A;;CC;;;S-1-5-21-3588447096-1463914-869570945-3636980)"/>
  </protectedRanges>
  <autoFilter ref="A8:FW19" xr:uid="{7988B55A-02E0-4163-AAFE-D6E093B4BA9A}"/>
  <mergeCells count="91">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H1:H2"/>
    <mergeCell ref="G1:G2"/>
    <mergeCell ref="I1:CU2"/>
    <mergeCell ref="J3:AA3"/>
    <mergeCell ref="AE3:AG3"/>
    <mergeCell ref="AH3:AP3"/>
    <mergeCell ref="AQ3:BA3"/>
    <mergeCell ref="BC3:BH3"/>
    <mergeCell ref="AK7:AM7"/>
    <mergeCell ref="AN7:AP7"/>
    <mergeCell ref="AQ7:AS7"/>
    <mergeCell ref="AT7:AV7"/>
    <mergeCell ref="AW7:AY7"/>
    <mergeCell ref="AB7:AD7"/>
    <mergeCell ref="A7:G7"/>
    <mergeCell ref="J7:L7"/>
    <mergeCell ref="M7:O7"/>
    <mergeCell ref="P7:R7"/>
    <mergeCell ref="S7:U7"/>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M19:O19"/>
    <mergeCell ref="P19:R19"/>
    <mergeCell ref="AH19:AJ19"/>
    <mergeCell ref="AQ19:AS19"/>
    <mergeCell ref="BC19:BE19"/>
    <mergeCell ref="CM7:CO7"/>
    <mergeCell ref="CT7:CV7"/>
    <mergeCell ref="CW7:CY7"/>
    <mergeCell ref="CZ7:DB7"/>
    <mergeCell ref="DC7:DE7"/>
    <mergeCell ref="DI7:DL7"/>
    <mergeCell ref="DS19:DV19"/>
    <mergeCell ref="DW19:DZ19"/>
    <mergeCell ref="DM7:DO7"/>
    <mergeCell ref="EA7:ED7"/>
    <mergeCell ref="FO19:FQ19"/>
    <mergeCell ref="FL19:FN19"/>
    <mergeCell ref="DF19:DH19"/>
    <mergeCell ref="DI19:DL19"/>
    <mergeCell ref="EE19:EG19"/>
    <mergeCell ref="EH19:EJ19"/>
    <mergeCell ref="EZ19:FB19"/>
    <mergeCell ref="FI19:FK19"/>
    <mergeCell ref="EA19:ED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4">
      <formula>LEN(TRIM(I10))&gt;0</formula>
    </cfRule>
  </conditionalFormatting>
  <conditionalFormatting sqref="E1:E22 E1048550:E1048576 E25">
    <cfRule type="cellIs" dxfId="29" priority="27" operator="equal">
      <formula>"Red"</formula>
    </cfRule>
    <cfRule type="cellIs" dxfId="28" priority="28" operator="equal">
      <formula>"Unknown"</formula>
    </cfRule>
    <cfRule type="cellIs" dxfId="27" priority="29" operator="equal">
      <formula>"Covered"</formula>
    </cfRule>
    <cfRule type="cellIs" dxfId="26" priority="30" operator="equal">
      <formula>"Green"</formula>
    </cfRule>
    <cfRule type="cellIs" dxfId="25" priority="31" operator="equal">
      <formula>"Yellow"</formula>
    </cfRule>
  </conditionalFormatting>
  <conditionalFormatting sqref="FR10:FS10 FR12:FS12 FR14:FS14 FR16:FS16 FR18:FS18">
    <cfRule type="cellIs" dxfId="24" priority="24" operator="equal">
      <formula>"Missed TCD"</formula>
    </cfRule>
    <cfRule type="cellIs" dxfId="23" priority="25" operator="equal">
      <formula>"On-Track"</formula>
    </cfRule>
    <cfRule type="cellIs" dxfId="22" priority="26" operator="equal">
      <formula>"At Risk"</formula>
    </cfRule>
  </conditionalFormatting>
  <conditionalFormatting sqref="CS10 CS12 CS14 CS16 CS18">
    <cfRule type="cellIs" dxfId="21" priority="22" operator="equal">
      <formula>"Execution schedule has been re-baselined w/ FAIR PO Ack ACD. Validate your durations before publishing"</formula>
    </cfRule>
  </conditionalFormatting>
  <conditionalFormatting sqref="E127:E1048549">
    <cfRule type="cellIs" dxfId="20" priority="17" operator="equal">
      <formula>"Red"</formula>
    </cfRule>
    <cfRule type="cellIs" dxfId="19" priority="18" operator="equal">
      <formula>"Unknown"</formula>
    </cfRule>
    <cfRule type="cellIs" dxfId="18" priority="19" operator="equal">
      <formula>"Covered"</formula>
    </cfRule>
    <cfRule type="cellIs" dxfId="17" priority="20" operator="equal">
      <formula>"Green"</formula>
    </cfRule>
    <cfRule type="cellIs" dxfId="16" priority="21" operator="equal">
      <formula>"Yellow"</formula>
    </cfRule>
  </conditionalFormatting>
  <conditionalFormatting sqref="E34:E126">
    <cfRule type="cellIs" dxfId="15" priority="12" operator="equal">
      <formula>"Red"</formula>
    </cfRule>
    <cfRule type="cellIs" dxfId="14" priority="13" operator="equal">
      <formula>"Unknown"</formula>
    </cfRule>
    <cfRule type="cellIs" dxfId="13" priority="14" operator="equal">
      <formula>"Covered"</formula>
    </cfRule>
    <cfRule type="cellIs" dxfId="12" priority="15" operator="equal">
      <formula>"Green"</formula>
    </cfRule>
    <cfRule type="cellIs" dxfId="11" priority="16" operator="equal">
      <formula>"Yellow"</formula>
    </cfRule>
  </conditionalFormatting>
  <conditionalFormatting sqref="A35:E126 B34:E34">
    <cfRule type="notContainsBlanks" dxfId="10" priority="11">
      <formula>LEN(TRIM(A34))&gt;0</formula>
    </cfRule>
  </conditionalFormatting>
  <conditionalFormatting sqref="E27:E33">
    <cfRule type="cellIs" dxfId="9" priority="6" operator="equal">
      <formula>"Red"</formula>
    </cfRule>
    <cfRule type="cellIs" dxfId="8" priority="7" operator="equal">
      <formula>"Unknown"</formula>
    </cfRule>
    <cfRule type="cellIs" dxfId="7" priority="8" operator="equal">
      <formula>"Covered"</formula>
    </cfRule>
    <cfRule type="cellIs" dxfId="6" priority="9" operator="equal">
      <formula>"Green"</formula>
    </cfRule>
    <cfRule type="cellIs" dxfId="5" priority="10" operator="equal">
      <formula>"Yellow"</formula>
    </cfRule>
  </conditionalFormatting>
  <conditionalFormatting sqref="B27:E33">
    <cfRule type="notContainsBlanks" dxfId="4" priority="5">
      <formula>LEN(TRIM(B27))&gt;0</formula>
    </cfRule>
  </conditionalFormatting>
  <conditionalFormatting sqref="A27:A34">
    <cfRule type="duplicateValues" dxfId="3" priority="1"/>
  </conditionalFormatting>
  <conditionalFormatting sqref="A27:A34">
    <cfRule type="duplicateValues" dxfId="2" priority="2"/>
  </conditionalFormatting>
  <conditionalFormatting sqref="A27:A34">
    <cfRule type="duplicateValues" dxfId="1" priority="3"/>
  </conditionalFormatting>
  <conditionalFormatting sqref="A27:A34">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filterMode="1">
    <tabColor rgb="FFC00000"/>
  </sheetPr>
  <dimension ref="A1:KY24"/>
  <sheetViews>
    <sheetView showGridLines="0" tabSelected="1" zoomScale="70" zoomScaleNormal="70" workbookViewId="0">
      <pane xSplit="7" ySplit="8" topLeftCell="FS10" activePane="bottomRight" state="frozen"/>
      <selection pane="topRight" activeCell="H1" sqref="H1"/>
      <selection pane="bottomLeft" activeCell="A9" sqref="A9"/>
      <selection pane="bottomRight" activeCell="FZ10" sqref="FZ10"/>
    </sheetView>
  </sheetViews>
  <sheetFormatPr defaultRowHeight="14.5" outlineLevelRow="1" outlineLevelCol="1" x14ac:dyDescent="0.35"/>
  <cols>
    <col min="1" max="1" width="24.26953125" customWidth="1"/>
    <col min="2" max="2" width="8.81640625" bestFit="1" customWidth="1"/>
    <col min="3" max="3" width="16.81640625" bestFit="1" customWidth="1"/>
    <col min="4" max="4" width="12.1796875" style="9"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0.726562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7.1796875" bestFit="1" customWidth="1"/>
    <col min="37" max="38" width="10.7265625" customWidth="1" outlineLevel="1"/>
    <col min="39" max="39" width="10.7265625" customWidth="1"/>
    <col min="40" max="41" width="10.7265625" customWidth="1" outlineLevel="1"/>
    <col min="42" max="42" width="10.7265625" customWidth="1"/>
    <col min="43" max="43" width="17.453125" bestFit="1" customWidth="1" outlineLevel="1"/>
    <col min="44"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6" width="10.7265625" customWidth="1" outlineLevel="1"/>
    <col min="57" max="57" width="10.7265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7.1796875" bestFit="1"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5" width="17.7265625" bestFit="1" customWidth="1" outlineLevel="1"/>
    <col min="136" max="136" width="18.26953125" bestFit="1" customWidth="1" outlineLevel="1"/>
    <col min="137" max="137" width="10.7265625" customWidth="1"/>
    <col min="138" max="139" width="10.7265625" customWidth="1" outlineLevel="1"/>
    <col min="140" max="140" width="17.453125" bestFit="1"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6" width="17.26953125" bestFit="1" customWidth="1" outlineLevel="1"/>
    <col min="157" max="157" width="10.7265625" customWidth="1" outlineLevel="1"/>
    <col min="158" max="158" width="17.1796875" bestFit="1"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7.453125" bestFit="1"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477</v>
      </c>
      <c r="FU5" s="143"/>
      <c r="FV5" s="143"/>
      <c r="FW5" s="143"/>
      <c r="FX5" s="36"/>
      <c r="FY5" s="36"/>
      <c r="FZ5" s="36"/>
      <c r="GA5" s="36"/>
      <c r="GB5" s="36"/>
      <c r="GC5" s="36"/>
      <c r="GD5" s="36"/>
    </row>
    <row r="6" spans="1:311" x14ac:dyDescent="0.3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3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hidden="1" outlineLevel="1" x14ac:dyDescent="0.35">
      <c r="A9" s="23"/>
      <c r="B9" s="23">
        <v>107134</v>
      </c>
      <c r="C9" s="24" t="s">
        <v>478</v>
      </c>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396</v>
      </c>
      <c r="FU9" s="54">
        <f>NETWORKDAYS($I10,FP10)</f>
        <v>396</v>
      </c>
      <c r="FV9" s="54">
        <f>IF(FQ10="",NETWORKDAYS($I10,FP10),NETWORKDAYS($I10,FQ10))</f>
        <v>396</v>
      </c>
      <c r="FW9" s="55" t="s">
        <v>464</v>
      </c>
    </row>
    <row r="10" spans="1:311" collapsed="1" x14ac:dyDescent="0.35">
      <c r="A10" s="23"/>
      <c r="B10" s="23">
        <v>107134</v>
      </c>
      <c r="C10" s="24" t="s">
        <v>478</v>
      </c>
      <c r="D10" s="65"/>
      <c r="E10" s="23" t="str">
        <f>IF(D10="","Unknown",IF(D10&lt;=FM10+90,"Red",IF(AND(D10&gt;FM10+90,D10&lt;=FM10+180),"Yellow",IF(AND(D10&gt;FM10+180,D10&lt;=FM10+690),"Green","Covered"))))</f>
        <v>Unknown</v>
      </c>
      <c r="F10" s="25" t="s">
        <v>466</v>
      </c>
      <c r="G10" s="26"/>
      <c r="H10" s="26" t="str">
        <f>IF(CR10="","Pre-Execution","Execution")</f>
        <v>Execution</v>
      </c>
      <c r="I10" s="13">
        <v>45814</v>
      </c>
      <c r="J10" s="28"/>
      <c r="K10" s="28"/>
      <c r="L10" s="28"/>
      <c r="M10" s="10">
        <v>45853</v>
      </c>
      <c r="N10" s="10">
        <f>WORKDAY(I10,N9)</f>
        <v>45853</v>
      </c>
      <c r="O10" s="10">
        <f>M10</f>
        <v>45853</v>
      </c>
      <c r="P10" s="10">
        <v>45853</v>
      </c>
      <c r="Q10" s="10">
        <f>IF(O10="",WORKDAY(N10,Q9),WORKDAY(O10,Q9))</f>
        <v>45853</v>
      </c>
      <c r="R10" s="56">
        <f>P10</f>
        <v>45853</v>
      </c>
      <c r="S10" s="28"/>
      <c r="T10" s="28"/>
      <c r="U10" s="28"/>
      <c r="V10" s="10">
        <v>45895</v>
      </c>
      <c r="W10" s="10">
        <f>IF(R10="",WORKDAY(Q10,W9),WORKDAY(R10,W9))</f>
        <v>45895</v>
      </c>
      <c r="X10" s="56"/>
      <c r="Y10" s="10">
        <v>45951</v>
      </c>
      <c r="Z10" s="10">
        <f>IF(R10="",WORKDAY(Q10,Z9),WORKDAY(R10,Z9))</f>
        <v>45951</v>
      </c>
      <c r="AA10" s="56"/>
      <c r="AB10" s="10">
        <v>45814</v>
      </c>
      <c r="AC10" s="10">
        <f>WORKDAY(I10,AC9)</f>
        <v>45814</v>
      </c>
      <c r="AD10" s="56"/>
      <c r="AE10" s="10">
        <v>45919</v>
      </c>
      <c r="AF10" s="10">
        <f>IF(AD10="",WORKDAY(AC10,AF9),WORKDAY(AD10,AF9))</f>
        <v>45919</v>
      </c>
      <c r="AG10" s="56"/>
      <c r="AH10" s="10">
        <v>45958</v>
      </c>
      <c r="AI10" s="10">
        <f>WORKDAY(IF(AA10="",IF(Z10&gt;AF10,Z10,AF10),IF(AA10&gt;AG10,AA10,AG10)),AI9)</f>
        <v>45958</v>
      </c>
      <c r="AJ10" s="10">
        <f>AH10</f>
        <v>45958</v>
      </c>
      <c r="AK10" s="10">
        <v>45986</v>
      </c>
      <c r="AL10" s="10">
        <f>IF(AJ10="",WORKDAY(AI10,AL9),WORKDAY(AJ10,AL9))</f>
        <v>45986</v>
      </c>
      <c r="AM10" s="56"/>
      <c r="AN10" s="10">
        <v>45986</v>
      </c>
      <c r="AO10" s="10">
        <f>IF(AM10="",WORKDAY(AL10,AO9),WORKDAY(AM10,AO9))</f>
        <v>45986</v>
      </c>
      <c r="AP10" s="56"/>
      <c r="AQ10" s="10">
        <v>46014</v>
      </c>
      <c r="AR10" s="10">
        <f>IF(AP10="",WORKDAY(AO10,AR9),WORKDAY(AP10,AR9))</f>
        <v>46014</v>
      </c>
      <c r="AS10" s="56">
        <f>AQ10</f>
        <v>46014</v>
      </c>
      <c r="AT10" s="10">
        <v>45993</v>
      </c>
      <c r="AU10" s="10">
        <v>45993</v>
      </c>
      <c r="AV10" s="56"/>
      <c r="AW10" s="10">
        <v>46028</v>
      </c>
      <c r="AX10" s="10">
        <f>IF(AS10="",IF(AR10&gt;AU10,WORKDAY(AR10,AX9),WORKDAY(AU10,AX9)),IF(AS10&gt;AV10,WORKDAY(AS10,AX9),WORKDAY(AV10,AX9)))</f>
        <v>46028</v>
      </c>
      <c r="AY10" s="56"/>
      <c r="AZ10" s="10">
        <v>46028</v>
      </c>
      <c r="BA10" s="10">
        <f>IF(AP10="",WORKDAY(AO10,BA9),WORKDAY(AP10,BA9))</f>
        <v>46028</v>
      </c>
      <c r="BB10" s="56"/>
      <c r="BC10" s="10">
        <v>46035</v>
      </c>
      <c r="BD10" s="10">
        <f>IF(AY10="",IF(AX10&gt;BA10,WORKDAY(AX10,BD9),WORKDAY(BA10,BD9)),IF(AY10&gt;BB10,WORKDAY(AY10,BD9),WORKDAY(BB10,BD9)))</f>
        <v>46035</v>
      </c>
      <c r="BE10" s="56">
        <f>BC10</f>
        <v>46035</v>
      </c>
      <c r="BF10" s="10">
        <v>46042</v>
      </c>
      <c r="BG10" s="10">
        <f>IF(BE10="",WORKDAY(BD10,BG9),WORKDAY(BE10,BG9))</f>
        <v>46042</v>
      </c>
      <c r="BH10" s="56">
        <f>BF10</f>
        <v>46042</v>
      </c>
      <c r="BI10" s="10">
        <v>46049</v>
      </c>
      <c r="BJ10" s="10">
        <f>IF(BH10="",WORKDAY(BG10,BJ9),WORKDAY(BH10,BJ9))</f>
        <v>46049</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46052</v>
      </c>
      <c r="CN10" s="10">
        <f>IF(BK10="",WORKDAY(BJ10,CN9),WORKDAY(BK10,CN9))</f>
        <v>46052</v>
      </c>
      <c r="CO10" s="56">
        <f>CM10</f>
        <v>46052</v>
      </c>
      <c r="CP10" s="10">
        <v>46059</v>
      </c>
      <c r="CQ10" s="10">
        <f>IF(CO10="",WORKDAY(CN10,CQ9),WORKDAY(CO10,CQ9))</f>
        <v>46059</v>
      </c>
      <c r="CR10" s="56">
        <f>CP10</f>
        <v>46059</v>
      </c>
      <c r="CS10" s="77" t="s">
        <v>479</v>
      </c>
      <c r="CT10" s="10">
        <v>46227</v>
      </c>
      <c r="CU10" s="10">
        <f>IF(CR10="",WORKDAY(CQ10,CU9),WORKDAY(CR10,CU9))</f>
        <v>46227</v>
      </c>
      <c r="CV10" s="56">
        <f>CT10</f>
        <v>46227</v>
      </c>
      <c r="CW10" s="10">
        <v>46042</v>
      </c>
      <c r="CX10" s="10">
        <f>IF(BB10="",WORKDAY(BA10,CX9),WORKDAY(BB10,CX9))</f>
        <v>46042</v>
      </c>
      <c r="CY10" s="56"/>
      <c r="CZ10" s="10">
        <v>46042</v>
      </c>
      <c r="DA10" s="10">
        <f>IF(CY10="",WORKDAY(CX10,DA9),WORKDAY(CY10,DA9))</f>
        <v>46042</v>
      </c>
      <c r="DB10" s="56"/>
      <c r="DC10" s="45"/>
      <c r="DD10" s="45"/>
      <c r="DE10" s="45"/>
      <c r="DF10" s="10">
        <v>46255</v>
      </c>
      <c r="DG10" s="10">
        <f>IF($CV10="",IF($CU10&gt;$DA10,WORKDAY($CU10,DG9),WORKDAY($DA10,DG9)),IF($CV10&gt;$DB10,WORKDAY($CV10,DG9),WORKDAY($DB10,DG9)))</f>
        <v>46255</v>
      </c>
      <c r="DH10" s="56">
        <f>DF10</f>
        <v>46255</v>
      </c>
      <c r="DI10" s="46"/>
      <c r="DJ10" s="10">
        <v>46283</v>
      </c>
      <c r="DK10" s="10">
        <f>IF(DH10="",WORKDAY(DG10,DK9*$DI9),WORKDAY(DH10,DK9*$DI9))</f>
        <v>46283</v>
      </c>
      <c r="DL10" s="10">
        <f>WORKDAY(DH10,DL9*$DI9)</f>
        <v>46255</v>
      </c>
      <c r="DM10" s="46"/>
      <c r="DN10" s="46"/>
      <c r="DO10" s="46"/>
      <c r="DP10" s="46"/>
      <c r="DQ10" s="46"/>
      <c r="DR10" s="46"/>
      <c r="DS10" s="46"/>
      <c r="DT10" s="46"/>
      <c r="DU10" s="46"/>
      <c r="DV10" s="46"/>
      <c r="DW10" s="46"/>
      <c r="DX10" s="46"/>
      <c r="DY10" s="46"/>
      <c r="DZ10" s="46"/>
      <c r="EA10" s="46"/>
      <c r="EB10" s="46"/>
      <c r="EC10" s="46"/>
      <c r="ED10" s="46"/>
      <c r="EE10" s="10">
        <v>46283</v>
      </c>
      <c r="EF10" s="10">
        <f>IF(DL10="",WORKDAY(DK10,EF9),WORKDAY(DL10,EF9))</f>
        <v>46255</v>
      </c>
      <c r="EG10" s="56">
        <f>EE10</f>
        <v>46283</v>
      </c>
      <c r="EH10" s="10">
        <v>46084</v>
      </c>
      <c r="EI10" s="10">
        <f>IF(BH10="",WORKDAY(BG10,EI9),WORKDAY(BH10,EI9))</f>
        <v>46084</v>
      </c>
      <c r="EJ10" s="10">
        <v>45719</v>
      </c>
      <c r="EK10" s="27"/>
      <c r="EL10" s="27"/>
      <c r="EM10" s="27"/>
      <c r="EN10" s="27"/>
      <c r="EO10" s="28"/>
      <c r="EP10" s="28"/>
      <c r="EQ10" s="28"/>
      <c r="ER10" s="28"/>
      <c r="ES10" s="28"/>
      <c r="ET10" s="28"/>
      <c r="EU10" s="28"/>
      <c r="EV10" s="28"/>
      <c r="EW10" s="28"/>
      <c r="EX10" s="28"/>
      <c r="EY10" s="28"/>
      <c r="EZ10" s="10">
        <v>46290</v>
      </c>
      <c r="FA10" s="10">
        <f>IF(EG10="",WORKDAY(EF10,FA9),WORKDAY(EG10,FA9))</f>
        <v>46290</v>
      </c>
      <c r="FB10" s="10">
        <f>WORKDAY(EG10,FB9)</f>
        <v>46283</v>
      </c>
      <c r="FC10" s="28"/>
      <c r="FD10" s="28"/>
      <c r="FE10" s="28"/>
      <c r="FF10" s="28"/>
      <c r="FG10" s="28"/>
      <c r="FH10" s="28"/>
      <c r="FI10" s="10">
        <v>46311</v>
      </c>
      <c r="FJ10" s="10">
        <f>IF(FB10="",WORKDAY(FA10,FJ9),WORKDAY(FB10,FJ9))</f>
        <v>46304</v>
      </c>
      <c r="FK10" s="10"/>
      <c r="FL10" s="10">
        <v>46311</v>
      </c>
      <c r="FM10" s="10">
        <f>IF(FK10="",WORKDAY(FJ10,FM9),WORKDAY(FK10,FM9))</f>
        <v>46304</v>
      </c>
      <c r="FN10" s="10"/>
      <c r="FO10" s="10">
        <v>46367</v>
      </c>
      <c r="FP10" s="10">
        <v>46367</v>
      </c>
      <c r="FQ10" s="10"/>
      <c r="FR10" s="77" t="str">
        <f>IF(NETWORKDAYS(FJ10,FO10)&gt;=30,"On-Track",IF(AND(NETWORKDAYS(FJ10,FO10)&lt;30,FJ10&lt;=FO10),"At Risk","Missed TCD"))</f>
        <v>On-Track</v>
      </c>
      <c r="FS10" s="110" t="s">
        <v>480</v>
      </c>
      <c r="FT10" s="57">
        <f>NETWORKDAYS(CP10,FI10)</f>
        <v>181</v>
      </c>
      <c r="FU10" s="57">
        <f>NETWORKDAYS(CQ10,FJ10)</f>
        <v>176</v>
      </c>
      <c r="FV10" s="57">
        <f>IF(BH10="",NETWORKDAYS(BG10,FJ10),IF(FK10="",NETWORKDAYS(BH10,FJ10),NETWORKDAYS(BH10,FK10)))</f>
        <v>189</v>
      </c>
      <c r="FW10" s="58" t="s">
        <v>467</v>
      </c>
    </row>
    <row r="11" spans="1:311" hidden="1" outlineLevel="1" x14ac:dyDescent="0.35">
      <c r="A11" s="23"/>
      <c r="B11" s="23">
        <v>107135</v>
      </c>
      <c r="C11" s="24" t="s">
        <v>481</v>
      </c>
      <c r="D11" s="95"/>
      <c r="E11" s="24"/>
      <c r="F11" s="25" t="s">
        <v>463</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c r="CW11" s="5">
        <v>10</v>
      </c>
      <c r="CX11" s="5">
        <v>10</v>
      </c>
      <c r="CY11" s="27"/>
      <c r="CZ11" s="5">
        <v>0</v>
      </c>
      <c r="DA11" s="5">
        <v>0</v>
      </c>
      <c r="DB11" s="27"/>
      <c r="DC11" s="31"/>
      <c r="DD11" s="31"/>
      <c r="DE11" s="31"/>
      <c r="DF11" s="4">
        <v>20</v>
      </c>
      <c r="DG11" s="4">
        <v>20</v>
      </c>
      <c r="DH11" s="27"/>
      <c r="DI11" s="89">
        <v>1</v>
      </c>
      <c r="DJ11" s="4">
        <v>20</v>
      </c>
      <c r="DK11" s="4">
        <v>20</v>
      </c>
      <c r="DL11" s="27"/>
      <c r="DM11" s="27"/>
      <c r="DN11" s="27"/>
      <c r="DO11" s="27"/>
      <c r="DP11" s="27"/>
      <c r="DQ11" s="27"/>
      <c r="DR11" s="27"/>
      <c r="DS11" s="27"/>
      <c r="DT11" s="27"/>
      <c r="DU11" s="27"/>
      <c r="DV11" s="27"/>
      <c r="DW11" s="27"/>
      <c r="DX11" s="27"/>
      <c r="DY11" s="27"/>
      <c r="DZ11" s="27"/>
      <c r="EA11" s="27"/>
      <c r="EB11" s="27"/>
      <c r="EC11" s="27"/>
      <c r="ED11" s="27"/>
      <c r="EE11" s="4">
        <v>0</v>
      </c>
      <c r="EF11" s="4">
        <v>0</v>
      </c>
      <c r="EG11" s="27"/>
      <c r="EH11" s="4">
        <v>30</v>
      </c>
      <c r="EI11" s="4">
        <v>30</v>
      </c>
      <c r="EJ11" s="27">
        <v>45719</v>
      </c>
      <c r="EK11" s="27"/>
      <c r="EL11" s="27"/>
      <c r="EM11" s="27"/>
      <c r="EN11" s="27"/>
      <c r="EO11" s="27"/>
      <c r="EP11" s="27"/>
      <c r="EQ11" s="27"/>
      <c r="ER11" s="27"/>
      <c r="ES11" s="27"/>
      <c r="ET11" s="27"/>
      <c r="EU11" s="27"/>
      <c r="EV11" s="27"/>
      <c r="EW11" s="27"/>
      <c r="EX11" s="27"/>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NETWORKDAYS($I12,FO12)</f>
        <v>396</v>
      </c>
      <c r="FU11" s="54">
        <f>NETWORKDAYS($I12,FP12)</f>
        <v>396</v>
      </c>
      <c r="FV11" s="54">
        <f>IF(FQ12="",NETWORKDAYS($I12,FP12),NETWORKDAYS($I12,FQ12))</f>
        <v>396</v>
      </c>
      <c r="FW11" s="55" t="s">
        <v>464</v>
      </c>
    </row>
    <row r="12" spans="1:311" collapsed="1" x14ac:dyDescent="0.35">
      <c r="A12" s="23"/>
      <c r="B12" s="23">
        <v>107135</v>
      </c>
      <c r="C12" s="24" t="s">
        <v>481</v>
      </c>
      <c r="D12" s="65"/>
      <c r="E12" s="23" t="str">
        <f>IF(D12="","Unknown",IF(D12&lt;=FM12+90,"Red",IF(AND(D12&gt;FM12+90,D12&lt;=FM12+180),"Yellow",IF(AND(D12&gt;FM12+180,D12&lt;=FM12+690),"Green","Covered"))))</f>
        <v>Unknown</v>
      </c>
      <c r="F12" s="25" t="s">
        <v>466</v>
      </c>
      <c r="G12" s="26"/>
      <c r="H12" s="26" t="str">
        <f>IF(CR12="","Pre-Execution","Execution")</f>
        <v>Execution</v>
      </c>
      <c r="I12" s="13">
        <v>45814</v>
      </c>
      <c r="J12" s="28"/>
      <c r="K12" s="28"/>
      <c r="L12" s="28"/>
      <c r="M12" s="10">
        <v>45853</v>
      </c>
      <c r="N12" s="10">
        <f>WORKDAY(I12,N11)</f>
        <v>45853</v>
      </c>
      <c r="O12" s="10">
        <f>M12</f>
        <v>45853</v>
      </c>
      <c r="P12" s="10">
        <v>45853</v>
      </c>
      <c r="Q12" s="10">
        <f>IF(O12="",WORKDAY(N12,Q11),WORKDAY(O12,Q11))</f>
        <v>45853</v>
      </c>
      <c r="R12" s="56">
        <f>P12</f>
        <v>45853</v>
      </c>
      <c r="S12" s="28"/>
      <c r="T12" s="28"/>
      <c r="U12" s="28"/>
      <c r="V12" s="10">
        <v>45895</v>
      </c>
      <c r="W12" s="10">
        <f>IF(R12="",WORKDAY(Q12,W11),WORKDAY(R12,W11))</f>
        <v>45895</v>
      </c>
      <c r="X12" s="56"/>
      <c r="Y12" s="10">
        <v>45951</v>
      </c>
      <c r="Z12" s="10">
        <f>IF(R12="",WORKDAY(Q12,Z11),WORKDAY(R12,Z11))</f>
        <v>45951</v>
      </c>
      <c r="AA12" s="56"/>
      <c r="AB12" s="10">
        <v>45814</v>
      </c>
      <c r="AC12" s="10">
        <f>WORKDAY(I12,AC11)</f>
        <v>45814</v>
      </c>
      <c r="AD12" s="56"/>
      <c r="AE12" s="10">
        <v>45919</v>
      </c>
      <c r="AF12" s="10">
        <f>IF(AD12="",WORKDAY(AC12,AF11),WORKDAY(AD12,AF11))</f>
        <v>45919</v>
      </c>
      <c r="AG12" s="56"/>
      <c r="AH12" s="10">
        <v>45958</v>
      </c>
      <c r="AI12" s="10">
        <f>WORKDAY(IF(AA12="",IF(Z12&gt;AF12,Z12,AF12),IF(AA12&gt;AG12,AA12,AG12)),AI11)</f>
        <v>45958</v>
      </c>
      <c r="AJ12" s="10">
        <f>AH12</f>
        <v>45958</v>
      </c>
      <c r="AK12" s="10">
        <v>45986</v>
      </c>
      <c r="AL12" s="10">
        <f>IF(AJ12="",WORKDAY(AI12,AL11),WORKDAY(AJ12,AL11))</f>
        <v>45986</v>
      </c>
      <c r="AM12" s="56"/>
      <c r="AN12" s="10">
        <v>45986</v>
      </c>
      <c r="AO12" s="10">
        <f>IF(AM12="",WORKDAY(AL12,AO11),WORKDAY(AM12,AO11))</f>
        <v>45986</v>
      </c>
      <c r="AP12" s="56"/>
      <c r="AQ12" s="10">
        <v>46014</v>
      </c>
      <c r="AR12" s="10">
        <f>IF(AP12="",WORKDAY(AO12,AR11),WORKDAY(AP12,AR11))</f>
        <v>46014</v>
      </c>
      <c r="AS12" s="56">
        <f>AQ12</f>
        <v>46014</v>
      </c>
      <c r="AT12" s="10">
        <v>45993</v>
      </c>
      <c r="AU12" s="10">
        <v>45993</v>
      </c>
      <c r="AV12" s="56"/>
      <c r="AW12" s="10">
        <v>46028</v>
      </c>
      <c r="AX12" s="10">
        <f>IF(AS12="",IF(AR12&gt;AU12,WORKDAY(AR12,AX11),WORKDAY(AU12,AX11)),IF(AS12&gt;AV12,WORKDAY(AS12,AX11),WORKDAY(AV12,AX11)))</f>
        <v>46028</v>
      </c>
      <c r="AY12" s="56"/>
      <c r="AZ12" s="10">
        <v>46028</v>
      </c>
      <c r="BA12" s="10">
        <f>IF(AP12="",WORKDAY(AO12,BA11),WORKDAY(AP12,BA11))</f>
        <v>46028</v>
      </c>
      <c r="BB12" s="56"/>
      <c r="BC12" s="10">
        <v>46035</v>
      </c>
      <c r="BD12" s="10">
        <f>IF(AY12="",IF(AX12&gt;BA12,WORKDAY(AX12,BD11),WORKDAY(BA12,BD11)),IF(AY12&gt;BB12,WORKDAY(AY12,BD11),WORKDAY(BB12,BD11)))</f>
        <v>46035</v>
      </c>
      <c r="BE12" s="56">
        <f>BC12</f>
        <v>46035</v>
      </c>
      <c r="BF12" s="10">
        <v>46042</v>
      </c>
      <c r="BG12" s="10">
        <f>IF(BE12="",WORKDAY(BD12,BG11),WORKDAY(BE12,BG11))</f>
        <v>46042</v>
      </c>
      <c r="BH12" s="56">
        <f>BF12</f>
        <v>46042</v>
      </c>
      <c r="BI12" s="10">
        <v>46049</v>
      </c>
      <c r="BJ12" s="10">
        <f>IF(BH12="",WORKDAY(BG12,BJ11),WORKDAY(BH12,BJ11))</f>
        <v>46049</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46052</v>
      </c>
      <c r="CN12" s="10">
        <f>IF(BK12="",WORKDAY(BJ12,CN11),WORKDAY(BK12,CN11))</f>
        <v>46052</v>
      </c>
      <c r="CO12" s="56">
        <f>CM12</f>
        <v>46052</v>
      </c>
      <c r="CP12" s="10">
        <v>46059</v>
      </c>
      <c r="CQ12" s="10">
        <f>IF(CO12="",WORKDAY(CN12,CQ11),WORKDAY(CO12,CQ11))</f>
        <v>46059</v>
      </c>
      <c r="CR12" s="56">
        <f>CP12</f>
        <v>46059</v>
      </c>
      <c r="CS12" s="77" t="s">
        <v>479</v>
      </c>
      <c r="CT12" s="10">
        <v>46227</v>
      </c>
      <c r="CU12" s="10">
        <f>IF(CR12="",WORKDAY(CQ12,CU11),WORKDAY(CR12,CU11))</f>
        <v>46227</v>
      </c>
      <c r="CV12" s="56">
        <f>CT12</f>
        <v>46227</v>
      </c>
      <c r="CW12" s="10">
        <v>46042</v>
      </c>
      <c r="CX12" s="10">
        <f>IF(BB12="",WORKDAY(BA12,CX11),WORKDAY(BB12,CX11))</f>
        <v>46042</v>
      </c>
      <c r="CY12" s="56"/>
      <c r="CZ12" s="10">
        <v>46042</v>
      </c>
      <c r="DA12" s="10">
        <f>IF(CY12="",WORKDAY(CX12,DA11),WORKDAY(CY12,DA11))</f>
        <v>46042</v>
      </c>
      <c r="DB12" s="56"/>
      <c r="DC12" s="45"/>
      <c r="DD12" s="45"/>
      <c r="DE12" s="45"/>
      <c r="DF12" s="10">
        <v>46255</v>
      </c>
      <c r="DG12" s="10">
        <f>IF($CV12="",IF($CU12&gt;$DA12,WORKDAY($CU12,DG11),WORKDAY($DA12,DG11)),IF($CV12&gt;$DB12,WORKDAY($CV12,DG11),WORKDAY($DB12,DG11)))</f>
        <v>46255</v>
      </c>
      <c r="DH12" s="56">
        <f>DF12</f>
        <v>46255</v>
      </c>
      <c r="DI12" s="46"/>
      <c r="DJ12" s="10">
        <v>46283</v>
      </c>
      <c r="DK12" s="10">
        <f>IF(DH12="",WORKDAY(DG12,DK11*$DI11),WORKDAY(DH12,DK11*$DI11))</f>
        <v>46283</v>
      </c>
      <c r="DL12" s="10">
        <f>WORKDAY(DH12,DL11*$DI11)</f>
        <v>46255</v>
      </c>
      <c r="DM12" s="46"/>
      <c r="DN12" s="46"/>
      <c r="DO12" s="46"/>
      <c r="DP12" s="46"/>
      <c r="DQ12" s="46"/>
      <c r="DR12" s="46"/>
      <c r="DS12" s="46"/>
      <c r="DT12" s="46"/>
      <c r="DU12" s="46"/>
      <c r="DV12" s="46"/>
      <c r="DW12" s="46"/>
      <c r="DX12" s="46"/>
      <c r="DY12" s="46"/>
      <c r="DZ12" s="46"/>
      <c r="EA12" s="46"/>
      <c r="EB12" s="46"/>
      <c r="EC12" s="46"/>
      <c r="ED12" s="46"/>
      <c r="EE12" s="10">
        <v>46283</v>
      </c>
      <c r="EF12" s="10">
        <f>IF(DL12="",WORKDAY(DK12,EF11),WORKDAY(DL12,EF11))</f>
        <v>46255</v>
      </c>
      <c r="EG12" s="56">
        <f>EE12</f>
        <v>46283</v>
      </c>
      <c r="EH12" s="10">
        <v>46084</v>
      </c>
      <c r="EI12" s="10">
        <f>IF(BH12="",WORKDAY(BG12,EI11),WORKDAY(BH12,EI11))</f>
        <v>46084</v>
      </c>
      <c r="EJ12" s="10">
        <v>45719</v>
      </c>
      <c r="EK12" s="27"/>
      <c r="EL12" s="27"/>
      <c r="EM12" s="27"/>
      <c r="EN12" s="27"/>
      <c r="EO12" s="28"/>
      <c r="EP12" s="28"/>
      <c r="EQ12" s="28"/>
      <c r="ER12" s="28"/>
      <c r="ES12" s="28"/>
      <c r="ET12" s="28"/>
      <c r="EU12" s="28"/>
      <c r="EV12" s="28"/>
      <c r="EW12" s="28"/>
      <c r="EX12" s="28"/>
      <c r="EY12" s="28"/>
      <c r="EZ12" s="10">
        <v>46290</v>
      </c>
      <c r="FA12" s="10">
        <f>IF(EG12="",WORKDAY(EF12,FA11),WORKDAY(EG12,FA11))</f>
        <v>46290</v>
      </c>
      <c r="FB12" s="10">
        <f>WORKDAY(EG12,FB11)</f>
        <v>46283</v>
      </c>
      <c r="FC12" s="28"/>
      <c r="FD12" s="28"/>
      <c r="FE12" s="28"/>
      <c r="FF12" s="28"/>
      <c r="FG12" s="28"/>
      <c r="FH12" s="28"/>
      <c r="FI12" s="10">
        <v>46311</v>
      </c>
      <c r="FJ12" s="10">
        <f>IF(FB12="",WORKDAY(FA12,FJ11),WORKDAY(FB12,FJ11))</f>
        <v>46304</v>
      </c>
      <c r="FK12" s="10"/>
      <c r="FL12" s="10">
        <v>46311</v>
      </c>
      <c r="FM12" s="10">
        <f>IF(FK12="",WORKDAY(FJ12,FM11),WORKDAY(FK12,FM11))</f>
        <v>46304</v>
      </c>
      <c r="FN12" s="10"/>
      <c r="FO12" s="10">
        <v>46367</v>
      </c>
      <c r="FP12" s="10">
        <v>46367</v>
      </c>
      <c r="FQ12" s="10"/>
      <c r="FR12" s="77" t="str">
        <f>IF(NETWORKDAYS(FJ12,FO12)&gt;=30,"On-Track",IF(AND(NETWORKDAYS(FJ12,FO12)&lt;30,FJ12&lt;=FO12),"At Risk","Missed TCD"))</f>
        <v>On-Track</v>
      </c>
      <c r="FS12" s="110" t="s">
        <v>480</v>
      </c>
      <c r="FT12" s="57">
        <f>NETWORKDAYS(CP12,FI12)</f>
        <v>181</v>
      </c>
      <c r="FU12" s="57">
        <f>NETWORKDAYS(CQ12,FJ12)</f>
        <v>176</v>
      </c>
      <c r="FV12" s="57">
        <f>IF(BH12="",NETWORKDAYS(BG12,FJ12),IF(FK12="",NETWORKDAYS(BH12,FJ12),NETWORKDAYS(BH12,FK12)))</f>
        <v>189</v>
      </c>
      <c r="FW12" s="58" t="s">
        <v>467</v>
      </c>
    </row>
    <row r="13" spans="1:311" hidden="1" outlineLevel="1" x14ac:dyDescent="0.35">
      <c r="A13" s="23"/>
      <c r="B13" s="23">
        <v>107136</v>
      </c>
      <c r="C13" s="24" t="s">
        <v>482</v>
      </c>
      <c r="D13" s="95"/>
      <c r="E13" s="24"/>
      <c r="F13" s="25" t="s">
        <v>463</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30</v>
      </c>
      <c r="BA13" s="4">
        <v>30</v>
      </c>
      <c r="BB13" s="27"/>
      <c r="BC13" s="4">
        <v>5</v>
      </c>
      <c r="BD13" s="4">
        <v>5</v>
      </c>
      <c r="BE13" s="27"/>
      <c r="BF13" s="4">
        <v>5</v>
      </c>
      <c r="BG13" s="4">
        <v>5</v>
      </c>
      <c r="BH13" s="27"/>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c r="CW13" s="5">
        <v>10</v>
      </c>
      <c r="CX13" s="5">
        <v>10</v>
      </c>
      <c r="CY13" s="27"/>
      <c r="CZ13" s="5">
        <v>0</v>
      </c>
      <c r="DA13" s="5">
        <v>0</v>
      </c>
      <c r="DB13" s="27"/>
      <c r="DC13" s="31"/>
      <c r="DD13" s="31"/>
      <c r="DE13" s="31"/>
      <c r="DF13" s="4">
        <v>20</v>
      </c>
      <c r="DG13" s="4">
        <v>20</v>
      </c>
      <c r="DH13" s="27"/>
      <c r="DI13" s="89">
        <v>1</v>
      </c>
      <c r="DJ13" s="4">
        <v>20</v>
      </c>
      <c r="DK13" s="4">
        <v>20</v>
      </c>
      <c r="DL13" s="27"/>
      <c r="DM13" s="27"/>
      <c r="DN13" s="27"/>
      <c r="DO13" s="27"/>
      <c r="DP13" s="27"/>
      <c r="DQ13" s="27"/>
      <c r="DR13" s="27"/>
      <c r="DS13" s="27"/>
      <c r="DT13" s="27"/>
      <c r="DU13" s="27"/>
      <c r="DV13" s="27"/>
      <c r="DW13" s="27"/>
      <c r="DX13" s="27"/>
      <c r="DY13" s="27"/>
      <c r="DZ13" s="27"/>
      <c r="EA13" s="27"/>
      <c r="EB13" s="27"/>
      <c r="EC13" s="27"/>
      <c r="ED13" s="27"/>
      <c r="EE13" s="4">
        <v>0</v>
      </c>
      <c r="EF13" s="4">
        <v>0</v>
      </c>
      <c r="EG13" s="27"/>
      <c r="EH13" s="4">
        <v>30</v>
      </c>
      <c r="EI13" s="4">
        <v>30</v>
      </c>
      <c r="EJ13" s="27">
        <v>45719</v>
      </c>
      <c r="EK13" s="27"/>
      <c r="EL13" s="27"/>
      <c r="EM13" s="27"/>
      <c r="EN13" s="27"/>
      <c r="EO13" s="27"/>
      <c r="EP13" s="27"/>
      <c r="EQ13" s="27"/>
      <c r="ER13" s="27"/>
      <c r="ES13" s="27"/>
      <c r="ET13" s="27"/>
      <c r="EU13" s="27"/>
      <c r="EV13" s="27"/>
      <c r="EW13" s="27"/>
      <c r="EX13" s="27"/>
      <c r="EY13" s="27"/>
      <c r="EZ13" s="4">
        <v>5</v>
      </c>
      <c r="FA13" s="4">
        <v>5</v>
      </c>
      <c r="FB13" s="27"/>
      <c r="FC13" s="27"/>
      <c r="FD13" s="27"/>
      <c r="FE13" s="27"/>
      <c r="FF13" s="27"/>
      <c r="FG13" s="27"/>
      <c r="FH13" s="27"/>
      <c r="FI13" s="4">
        <v>15</v>
      </c>
      <c r="FJ13" s="4">
        <v>15</v>
      </c>
      <c r="FK13" s="27"/>
      <c r="FL13" s="4">
        <v>0</v>
      </c>
      <c r="FM13" s="4">
        <v>0</v>
      </c>
      <c r="FN13" s="27"/>
      <c r="FO13" s="4">
        <v>40</v>
      </c>
      <c r="FP13" s="4">
        <v>40</v>
      </c>
      <c r="FQ13" s="27"/>
      <c r="FR13" s="27"/>
      <c r="FS13" s="109"/>
      <c r="FT13" s="54">
        <f>NETWORKDAYS($I14,FO14)</f>
        <v>396</v>
      </c>
      <c r="FU13" s="54">
        <f>NETWORKDAYS($I14,FP14)</f>
        <v>396</v>
      </c>
      <c r="FV13" s="54">
        <f>IF(FQ14="",NETWORKDAYS($I14,FP14),NETWORKDAYS($I14,FQ14))</f>
        <v>396</v>
      </c>
      <c r="FW13" s="55" t="s">
        <v>464</v>
      </c>
    </row>
    <row r="14" spans="1:311" collapsed="1" x14ac:dyDescent="0.35">
      <c r="A14" s="23"/>
      <c r="B14" s="23">
        <v>107136</v>
      </c>
      <c r="C14" s="24" t="s">
        <v>482</v>
      </c>
      <c r="D14" s="65"/>
      <c r="E14" s="23" t="str">
        <f>IF(D14="","Unknown",IF(D14&lt;=FM14+90,"Red",IF(AND(D14&gt;FM14+90,D14&lt;=FM14+180),"Yellow",IF(AND(D14&gt;FM14+180,D14&lt;=FM14+690),"Green","Covered"))))</f>
        <v>Unknown</v>
      </c>
      <c r="F14" s="25" t="s">
        <v>466</v>
      </c>
      <c r="G14" s="26"/>
      <c r="H14" s="26" t="str">
        <f>IF(CR14="","Pre-Execution","Execution")</f>
        <v>Execution</v>
      </c>
      <c r="I14" s="13">
        <v>45814</v>
      </c>
      <c r="J14" s="28"/>
      <c r="K14" s="28"/>
      <c r="L14" s="28"/>
      <c r="M14" s="10">
        <v>45853</v>
      </c>
      <c r="N14" s="10">
        <f>WORKDAY(I14,N13)</f>
        <v>45853</v>
      </c>
      <c r="O14" s="10">
        <f>M14</f>
        <v>45853</v>
      </c>
      <c r="P14" s="10">
        <v>45853</v>
      </c>
      <c r="Q14" s="10">
        <f>IF(O14="",WORKDAY(N14,Q13),WORKDAY(O14,Q13))</f>
        <v>45853</v>
      </c>
      <c r="R14" s="56">
        <f>P14</f>
        <v>45853</v>
      </c>
      <c r="S14" s="28"/>
      <c r="T14" s="28"/>
      <c r="U14" s="28"/>
      <c r="V14" s="10">
        <v>45895</v>
      </c>
      <c r="W14" s="10">
        <f>IF(R14="",WORKDAY(Q14,W13),WORKDAY(R14,W13))</f>
        <v>45895</v>
      </c>
      <c r="X14" s="56"/>
      <c r="Y14" s="10">
        <v>45951</v>
      </c>
      <c r="Z14" s="10">
        <f>IF(R14="",WORKDAY(Q14,Z13),WORKDAY(R14,Z13))</f>
        <v>45951</v>
      </c>
      <c r="AA14" s="56"/>
      <c r="AB14" s="10">
        <v>45814</v>
      </c>
      <c r="AC14" s="10">
        <f>WORKDAY(I14,AC13)</f>
        <v>45814</v>
      </c>
      <c r="AD14" s="56"/>
      <c r="AE14" s="10">
        <v>45919</v>
      </c>
      <c r="AF14" s="10">
        <f>IF(AD14="",WORKDAY(AC14,AF13),WORKDAY(AD14,AF13))</f>
        <v>45919</v>
      </c>
      <c r="AG14" s="56"/>
      <c r="AH14" s="10">
        <v>45958</v>
      </c>
      <c r="AI14" s="10">
        <f>WORKDAY(IF(AA14="",IF(Z14&gt;AF14,Z14,AF14),IF(AA14&gt;AG14,AA14,AG14)),AI13)</f>
        <v>45958</v>
      </c>
      <c r="AJ14" s="10">
        <f>AH14</f>
        <v>45958</v>
      </c>
      <c r="AK14" s="10">
        <v>45986</v>
      </c>
      <c r="AL14" s="10">
        <f>IF(AJ14="",WORKDAY(AI14,AL13),WORKDAY(AJ14,AL13))</f>
        <v>45986</v>
      </c>
      <c r="AM14" s="56"/>
      <c r="AN14" s="10">
        <v>45986</v>
      </c>
      <c r="AO14" s="10">
        <f>IF(AM14="",WORKDAY(AL14,AO13),WORKDAY(AM14,AO13))</f>
        <v>45986</v>
      </c>
      <c r="AP14" s="56"/>
      <c r="AQ14" s="10">
        <v>46014</v>
      </c>
      <c r="AR14" s="10">
        <f>IF(AP14="",WORKDAY(AO14,AR13),WORKDAY(AP14,AR13))</f>
        <v>46014</v>
      </c>
      <c r="AS14" s="56">
        <f>AQ14</f>
        <v>46014</v>
      </c>
      <c r="AT14" s="10">
        <v>45993</v>
      </c>
      <c r="AU14" s="10">
        <v>45993</v>
      </c>
      <c r="AV14" s="56"/>
      <c r="AW14" s="10">
        <v>46028</v>
      </c>
      <c r="AX14" s="10">
        <f>IF(AS14="",IF(AR14&gt;AU14,WORKDAY(AR14,AX13),WORKDAY(AU14,AX13)),IF(AS14&gt;AV14,WORKDAY(AS14,AX13),WORKDAY(AV14,AX13)))</f>
        <v>46028</v>
      </c>
      <c r="AY14" s="56"/>
      <c r="AZ14" s="10">
        <v>46028</v>
      </c>
      <c r="BA14" s="10">
        <f>IF(AP14="",WORKDAY(AO14,BA13),WORKDAY(AP14,BA13))</f>
        <v>46028</v>
      </c>
      <c r="BB14" s="56"/>
      <c r="BC14" s="10">
        <v>46035</v>
      </c>
      <c r="BD14" s="10">
        <f>IF(AY14="",IF(AX14&gt;BA14,WORKDAY(AX14,BD13),WORKDAY(BA14,BD13)),IF(AY14&gt;BB14,WORKDAY(AY14,BD13),WORKDAY(BB14,BD13)))</f>
        <v>46035</v>
      </c>
      <c r="BE14" s="56">
        <f>BC14</f>
        <v>46035</v>
      </c>
      <c r="BF14" s="10">
        <v>46042</v>
      </c>
      <c r="BG14" s="10">
        <f>IF(BE14="",WORKDAY(BD14,BG13),WORKDAY(BE14,BG13))</f>
        <v>46042</v>
      </c>
      <c r="BH14" s="56">
        <f>BF14</f>
        <v>46042</v>
      </c>
      <c r="BI14" s="10">
        <v>46049</v>
      </c>
      <c r="BJ14" s="10">
        <f>IF(BH14="",WORKDAY(BG14,BJ13),WORKDAY(BH14,BJ13))</f>
        <v>46049</v>
      </c>
      <c r="BK14" s="56"/>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46052</v>
      </c>
      <c r="CN14" s="10">
        <f>IF(BK14="",WORKDAY(BJ14,CN13),WORKDAY(BK14,CN13))</f>
        <v>46052</v>
      </c>
      <c r="CO14" s="56">
        <f>CM14</f>
        <v>46052</v>
      </c>
      <c r="CP14" s="10">
        <v>46059</v>
      </c>
      <c r="CQ14" s="10">
        <f>IF(CO14="",WORKDAY(CN14,CQ13),WORKDAY(CO14,CQ13))</f>
        <v>46059</v>
      </c>
      <c r="CR14" s="56">
        <f>CP14</f>
        <v>46059</v>
      </c>
      <c r="CS14" s="77" t="s">
        <v>479</v>
      </c>
      <c r="CT14" s="10">
        <v>46227</v>
      </c>
      <c r="CU14" s="10">
        <f>IF(CR14="",WORKDAY(CQ14,CU13),WORKDAY(CR14,CU13))</f>
        <v>46227</v>
      </c>
      <c r="CV14" s="56">
        <f>CT14</f>
        <v>46227</v>
      </c>
      <c r="CW14" s="10">
        <v>46042</v>
      </c>
      <c r="CX14" s="10">
        <f>IF(BB14="",WORKDAY(BA14,CX13),WORKDAY(BB14,CX13))</f>
        <v>46042</v>
      </c>
      <c r="CY14" s="56"/>
      <c r="CZ14" s="10">
        <v>46042</v>
      </c>
      <c r="DA14" s="10">
        <f>IF(CY14="",WORKDAY(CX14,DA13),WORKDAY(CY14,DA13))</f>
        <v>46042</v>
      </c>
      <c r="DB14" s="56"/>
      <c r="DC14" s="45"/>
      <c r="DD14" s="45"/>
      <c r="DE14" s="45"/>
      <c r="DF14" s="10">
        <v>46255</v>
      </c>
      <c r="DG14" s="10">
        <f>IF($CV14="",IF($CU14&gt;$DA14,WORKDAY($CU14,DG13),WORKDAY($DA14,DG13)),IF($CV14&gt;$DB14,WORKDAY($CV14,DG13),WORKDAY($DB14,DG13)))</f>
        <v>46255</v>
      </c>
      <c r="DH14" s="56">
        <f>DF14</f>
        <v>46255</v>
      </c>
      <c r="DI14" s="46"/>
      <c r="DJ14" s="10">
        <v>46283</v>
      </c>
      <c r="DK14" s="10">
        <f>IF(DH14="",WORKDAY(DG14,DK13*$DI13),WORKDAY(DH14,DK13*$DI13))</f>
        <v>46283</v>
      </c>
      <c r="DL14" s="10">
        <f>WORKDAY(DH14,DL13*$DI13)</f>
        <v>46255</v>
      </c>
      <c r="DM14" s="46"/>
      <c r="DN14" s="46"/>
      <c r="DO14" s="46"/>
      <c r="DP14" s="46"/>
      <c r="DQ14" s="46"/>
      <c r="DR14" s="46"/>
      <c r="DS14" s="46"/>
      <c r="DT14" s="46"/>
      <c r="DU14" s="46"/>
      <c r="DV14" s="46"/>
      <c r="DW14" s="46"/>
      <c r="DX14" s="46"/>
      <c r="DY14" s="46"/>
      <c r="DZ14" s="46"/>
      <c r="EA14" s="46"/>
      <c r="EB14" s="46"/>
      <c r="EC14" s="46"/>
      <c r="ED14" s="46"/>
      <c r="EE14" s="10">
        <v>46283</v>
      </c>
      <c r="EF14" s="10">
        <f>IF(DL14="",WORKDAY(DK14,EF13),WORKDAY(DL14,EF13))</f>
        <v>46255</v>
      </c>
      <c r="EG14" s="56">
        <f>EE14</f>
        <v>46283</v>
      </c>
      <c r="EH14" s="10">
        <v>46084</v>
      </c>
      <c r="EI14" s="10">
        <f>IF(BH14="",WORKDAY(BG14,EI13),WORKDAY(BH14,EI13))</f>
        <v>46084</v>
      </c>
      <c r="EJ14" s="10">
        <v>45719</v>
      </c>
      <c r="EK14" s="27"/>
      <c r="EL14" s="27"/>
      <c r="EM14" s="27"/>
      <c r="EN14" s="27"/>
      <c r="EO14" s="28"/>
      <c r="EP14" s="28"/>
      <c r="EQ14" s="28"/>
      <c r="ER14" s="28"/>
      <c r="ES14" s="28"/>
      <c r="ET14" s="28"/>
      <c r="EU14" s="28"/>
      <c r="EV14" s="28"/>
      <c r="EW14" s="28"/>
      <c r="EX14" s="28"/>
      <c r="EY14" s="28"/>
      <c r="EZ14" s="10">
        <v>46290</v>
      </c>
      <c r="FA14" s="10">
        <f>IF(EG14="",WORKDAY(EF14,FA13),WORKDAY(EG14,FA13))</f>
        <v>46290</v>
      </c>
      <c r="FB14" s="10">
        <f>WORKDAY(EG14,FB13)</f>
        <v>46283</v>
      </c>
      <c r="FC14" s="28"/>
      <c r="FD14" s="28"/>
      <c r="FE14" s="28"/>
      <c r="FF14" s="28"/>
      <c r="FG14" s="28"/>
      <c r="FH14" s="28"/>
      <c r="FI14" s="10">
        <v>46311</v>
      </c>
      <c r="FJ14" s="10">
        <f>IF(FB14="",WORKDAY(FA14,FJ13),WORKDAY(FB14,FJ13))</f>
        <v>46304</v>
      </c>
      <c r="FK14" s="10"/>
      <c r="FL14" s="10">
        <v>46311</v>
      </c>
      <c r="FM14" s="10">
        <f>IF(FK14="",WORKDAY(FJ14,FM13),WORKDAY(FK14,FM13))</f>
        <v>46304</v>
      </c>
      <c r="FN14" s="10"/>
      <c r="FO14" s="10">
        <v>46367</v>
      </c>
      <c r="FP14" s="10">
        <v>46367</v>
      </c>
      <c r="FQ14" s="10"/>
      <c r="FR14" s="77" t="str">
        <f>IF(NETWORKDAYS(FJ14,FO14)&gt;=30,"On-Track",IF(AND(NETWORKDAYS(FJ14,FO14)&lt;30,FJ14&lt;=FO14),"At Risk","Missed TCD"))</f>
        <v>On-Track</v>
      </c>
      <c r="FS14" s="110" t="s">
        <v>480</v>
      </c>
      <c r="FT14" s="57">
        <f>NETWORKDAYS(CP14,FI14)</f>
        <v>181</v>
      </c>
      <c r="FU14" s="57">
        <f>NETWORKDAYS(CQ14,FJ14)</f>
        <v>176</v>
      </c>
      <c r="FV14" s="57">
        <f>IF(BH14="",NETWORKDAYS(BG14,FJ14),IF(FK14="",NETWORKDAYS(BH14,FJ14),NETWORKDAYS(BH14,FK14)))</f>
        <v>189</v>
      </c>
      <c r="FW14" s="58" t="s">
        <v>467</v>
      </c>
    </row>
    <row r="15" spans="1:311" hidden="1" outlineLevel="1" x14ac:dyDescent="0.35">
      <c r="A15" s="23"/>
      <c r="B15" s="23">
        <v>107137</v>
      </c>
      <c r="C15" s="24" t="s">
        <v>483</v>
      </c>
      <c r="D15" s="95"/>
      <c r="E15" s="24"/>
      <c r="F15" s="25" t="s">
        <v>463</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c r="CW15" s="5">
        <v>10</v>
      </c>
      <c r="CX15" s="5">
        <v>10</v>
      </c>
      <c r="CY15" s="27"/>
      <c r="CZ15" s="5">
        <v>0</v>
      </c>
      <c r="DA15" s="5">
        <v>0</v>
      </c>
      <c r="DB15" s="27"/>
      <c r="DC15" s="31"/>
      <c r="DD15" s="31"/>
      <c r="DE15" s="31"/>
      <c r="DF15" s="4">
        <v>20</v>
      </c>
      <c r="DG15" s="4">
        <v>20</v>
      </c>
      <c r="DH15" s="27"/>
      <c r="DI15" s="89">
        <v>1</v>
      </c>
      <c r="DJ15" s="4">
        <v>20</v>
      </c>
      <c r="DK15" s="4">
        <v>20</v>
      </c>
      <c r="DL15" s="27"/>
      <c r="DM15" s="27"/>
      <c r="DN15" s="27"/>
      <c r="DO15" s="27"/>
      <c r="DP15" s="27"/>
      <c r="DQ15" s="27"/>
      <c r="DR15" s="27"/>
      <c r="DS15" s="27"/>
      <c r="DT15" s="27"/>
      <c r="DU15" s="27"/>
      <c r="DV15" s="27"/>
      <c r="DW15" s="27"/>
      <c r="DX15" s="27"/>
      <c r="DY15" s="27"/>
      <c r="DZ15" s="27"/>
      <c r="EA15" s="27"/>
      <c r="EB15" s="27"/>
      <c r="EC15" s="27"/>
      <c r="ED15" s="27"/>
      <c r="EE15" s="4">
        <v>0</v>
      </c>
      <c r="EF15" s="4">
        <v>0</v>
      </c>
      <c r="EG15" s="27"/>
      <c r="EH15" s="4">
        <v>30</v>
      </c>
      <c r="EI15" s="4">
        <v>30</v>
      </c>
      <c r="EJ15" s="27">
        <v>45719</v>
      </c>
      <c r="EK15" s="27"/>
      <c r="EL15" s="27"/>
      <c r="EM15" s="27"/>
      <c r="EN15" s="27"/>
      <c r="EO15" s="27"/>
      <c r="EP15" s="27"/>
      <c r="EQ15" s="27"/>
      <c r="ER15" s="27"/>
      <c r="ES15" s="27"/>
      <c r="ET15" s="27"/>
      <c r="EU15" s="27"/>
      <c r="EV15" s="27"/>
      <c r="EW15" s="27"/>
      <c r="EX15" s="27"/>
      <c r="EY15" s="27"/>
      <c r="EZ15" s="4">
        <v>5</v>
      </c>
      <c r="FA15" s="4">
        <v>5</v>
      </c>
      <c r="FB15" s="27"/>
      <c r="FC15" s="27"/>
      <c r="FD15" s="27"/>
      <c r="FE15" s="27"/>
      <c r="FF15" s="27"/>
      <c r="FG15" s="27"/>
      <c r="FH15" s="27"/>
      <c r="FI15" s="4">
        <v>15</v>
      </c>
      <c r="FJ15" s="4">
        <v>15</v>
      </c>
      <c r="FK15" s="27"/>
      <c r="FL15" s="4">
        <v>0</v>
      </c>
      <c r="FM15" s="4">
        <v>0</v>
      </c>
      <c r="FN15" s="27"/>
      <c r="FO15" s="4">
        <v>40</v>
      </c>
      <c r="FP15" s="4">
        <v>40</v>
      </c>
      <c r="FQ15" s="27"/>
      <c r="FR15" s="27"/>
      <c r="FS15" s="109"/>
      <c r="FT15" s="54">
        <f>NETWORKDAYS($I16,FO16)</f>
        <v>396</v>
      </c>
      <c r="FU15" s="54">
        <f>NETWORKDAYS($I16,FP16)</f>
        <v>396</v>
      </c>
      <c r="FV15" s="54">
        <f>IF(FQ16="",NETWORKDAYS($I16,FP16),NETWORKDAYS($I16,FQ16))</f>
        <v>396</v>
      </c>
      <c r="FW15" s="55" t="s">
        <v>464</v>
      </c>
    </row>
    <row r="16" spans="1:311" collapsed="1" x14ac:dyDescent="0.35">
      <c r="A16" s="23"/>
      <c r="B16" s="23">
        <v>107137</v>
      </c>
      <c r="C16" s="24" t="s">
        <v>483</v>
      </c>
      <c r="D16" s="65"/>
      <c r="E16" s="23" t="str">
        <f>IF(D16="","Unknown",IF(D16&lt;=FM16+90,"Red",IF(AND(D16&gt;FM16+90,D16&lt;=FM16+180),"Yellow",IF(AND(D16&gt;FM16+180,D16&lt;=FM16+690),"Green","Covered"))))</f>
        <v>Unknown</v>
      </c>
      <c r="F16" s="25" t="s">
        <v>466</v>
      </c>
      <c r="G16" s="26"/>
      <c r="H16" s="26" t="str">
        <f>IF(CR16="","Pre-Execution","Execution")</f>
        <v>Execution</v>
      </c>
      <c r="I16" s="13">
        <v>45814</v>
      </c>
      <c r="J16" s="28"/>
      <c r="K16" s="28"/>
      <c r="L16" s="28"/>
      <c r="M16" s="10">
        <v>45853</v>
      </c>
      <c r="N16" s="10">
        <f>WORKDAY(I16,N15)</f>
        <v>45853</v>
      </c>
      <c r="O16" s="10">
        <f>M16</f>
        <v>45853</v>
      </c>
      <c r="P16" s="10">
        <v>45853</v>
      </c>
      <c r="Q16" s="10">
        <f>IF(O16="",WORKDAY(N16,Q15),WORKDAY(O16,Q15))</f>
        <v>45853</v>
      </c>
      <c r="R16" s="56">
        <f>P16</f>
        <v>45853</v>
      </c>
      <c r="S16" s="28"/>
      <c r="T16" s="28"/>
      <c r="U16" s="28"/>
      <c r="V16" s="10">
        <v>45895</v>
      </c>
      <c r="W16" s="10">
        <f>IF(R16="",WORKDAY(Q16,W15),WORKDAY(R16,W15))</f>
        <v>45895</v>
      </c>
      <c r="X16" s="56"/>
      <c r="Y16" s="10">
        <v>45951</v>
      </c>
      <c r="Z16" s="10">
        <f>IF(R16="",WORKDAY(Q16,Z15),WORKDAY(R16,Z15))</f>
        <v>45951</v>
      </c>
      <c r="AA16" s="56"/>
      <c r="AB16" s="10">
        <v>45814</v>
      </c>
      <c r="AC16" s="10">
        <f>WORKDAY(I16,AC15)</f>
        <v>45814</v>
      </c>
      <c r="AD16" s="56"/>
      <c r="AE16" s="10">
        <v>45919</v>
      </c>
      <c r="AF16" s="10">
        <f>IF(AD16="",WORKDAY(AC16,AF15),WORKDAY(AD16,AF15))</f>
        <v>45919</v>
      </c>
      <c r="AG16" s="56"/>
      <c r="AH16" s="10">
        <v>45958</v>
      </c>
      <c r="AI16" s="10">
        <f>WORKDAY(IF(AA16="",IF(Z16&gt;AF16,Z16,AF16),IF(AA16&gt;AG16,AA16,AG16)),AI15)</f>
        <v>45958</v>
      </c>
      <c r="AJ16" s="10">
        <f>AH16</f>
        <v>45958</v>
      </c>
      <c r="AK16" s="10">
        <v>45986</v>
      </c>
      <c r="AL16" s="10">
        <f>IF(AJ16="",WORKDAY(AI16,AL15),WORKDAY(AJ16,AL15))</f>
        <v>45986</v>
      </c>
      <c r="AM16" s="56"/>
      <c r="AN16" s="10">
        <v>45986</v>
      </c>
      <c r="AO16" s="10">
        <f>IF(AM16="",WORKDAY(AL16,AO15),WORKDAY(AM16,AO15))</f>
        <v>45986</v>
      </c>
      <c r="AP16" s="56"/>
      <c r="AQ16" s="10">
        <v>46014</v>
      </c>
      <c r="AR16" s="10">
        <f>IF(AP16="",WORKDAY(AO16,AR15),WORKDAY(AP16,AR15))</f>
        <v>46014</v>
      </c>
      <c r="AS16" s="56">
        <f>AQ16</f>
        <v>46014</v>
      </c>
      <c r="AT16" s="10">
        <v>45993</v>
      </c>
      <c r="AU16" s="10">
        <v>45993</v>
      </c>
      <c r="AV16" s="56"/>
      <c r="AW16" s="10">
        <v>46028</v>
      </c>
      <c r="AX16" s="10">
        <f>IF(AS16="",IF(AR16&gt;AU16,WORKDAY(AR16,AX15),WORKDAY(AU16,AX15)),IF(AS16&gt;AV16,WORKDAY(AS16,AX15),WORKDAY(AV16,AX15)))</f>
        <v>46028</v>
      </c>
      <c r="AY16" s="56"/>
      <c r="AZ16" s="10">
        <v>46028</v>
      </c>
      <c r="BA16" s="10">
        <f>IF(AP16="",WORKDAY(AO16,BA15),WORKDAY(AP16,BA15))</f>
        <v>46028</v>
      </c>
      <c r="BB16" s="56"/>
      <c r="BC16" s="10">
        <v>46035</v>
      </c>
      <c r="BD16" s="10">
        <f>IF(AY16="",IF(AX16&gt;BA16,WORKDAY(AX16,BD15),WORKDAY(BA16,BD15)),IF(AY16&gt;BB16,WORKDAY(AY16,BD15),WORKDAY(BB16,BD15)))</f>
        <v>46035</v>
      </c>
      <c r="BE16" s="56">
        <f>BC16</f>
        <v>46035</v>
      </c>
      <c r="BF16" s="10">
        <v>46042</v>
      </c>
      <c r="BG16" s="10">
        <f>IF(BE16="",WORKDAY(BD16,BG15),WORKDAY(BE16,BG15))</f>
        <v>46042</v>
      </c>
      <c r="BH16" s="56">
        <f>BF16</f>
        <v>46042</v>
      </c>
      <c r="BI16" s="10">
        <v>46049</v>
      </c>
      <c r="BJ16" s="10">
        <f>IF(BH16="",WORKDAY(BG16,BJ15),WORKDAY(BH16,BJ15))</f>
        <v>46049</v>
      </c>
      <c r="BK16" s="56"/>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46052</v>
      </c>
      <c r="CN16" s="10">
        <f>IF(BK16="",WORKDAY(BJ16,CN15),WORKDAY(BK16,CN15))</f>
        <v>46052</v>
      </c>
      <c r="CO16" s="56">
        <f>CM16</f>
        <v>46052</v>
      </c>
      <c r="CP16" s="10">
        <v>46059</v>
      </c>
      <c r="CQ16" s="10">
        <f>IF(CO16="",WORKDAY(CN16,CQ15),WORKDAY(CO16,CQ15))</f>
        <v>46059</v>
      </c>
      <c r="CR16" s="56">
        <f>CP16</f>
        <v>46059</v>
      </c>
      <c r="CS16" s="77" t="s">
        <v>479</v>
      </c>
      <c r="CT16" s="10">
        <v>46227</v>
      </c>
      <c r="CU16" s="10">
        <f>IF(CR16="",WORKDAY(CQ16,CU15),WORKDAY(CR16,CU15))</f>
        <v>46227</v>
      </c>
      <c r="CV16" s="56">
        <f>CT16</f>
        <v>46227</v>
      </c>
      <c r="CW16" s="10">
        <v>46042</v>
      </c>
      <c r="CX16" s="10">
        <f>IF(BB16="",WORKDAY(BA16,CX15),WORKDAY(BB16,CX15))</f>
        <v>46042</v>
      </c>
      <c r="CY16" s="56"/>
      <c r="CZ16" s="10">
        <v>46042</v>
      </c>
      <c r="DA16" s="10">
        <f>IF(CY16="",WORKDAY(CX16,DA15),WORKDAY(CY16,DA15))</f>
        <v>46042</v>
      </c>
      <c r="DB16" s="56"/>
      <c r="DC16" s="45"/>
      <c r="DD16" s="45"/>
      <c r="DE16" s="45"/>
      <c r="DF16" s="10">
        <v>46255</v>
      </c>
      <c r="DG16" s="10">
        <f>IF($CV16="",IF($CU16&gt;$DA16,WORKDAY($CU16,DG15),WORKDAY($DA16,DG15)),IF($CV16&gt;$DB16,WORKDAY($CV16,DG15),WORKDAY($DB16,DG15)))</f>
        <v>46255</v>
      </c>
      <c r="DH16" s="56">
        <f>DF16</f>
        <v>46255</v>
      </c>
      <c r="DI16" s="46"/>
      <c r="DJ16" s="10">
        <v>46283</v>
      </c>
      <c r="DK16" s="10">
        <f>IF(DH16="",WORKDAY(DG16,DK15*$DI15),WORKDAY(DH16,DK15*$DI15))</f>
        <v>46283</v>
      </c>
      <c r="DL16" s="10">
        <f>WORKDAY(DH16,DL15*$DI15)</f>
        <v>46255</v>
      </c>
      <c r="DM16" s="46"/>
      <c r="DN16" s="46"/>
      <c r="DO16" s="46"/>
      <c r="DP16" s="46"/>
      <c r="DQ16" s="46"/>
      <c r="DR16" s="46"/>
      <c r="DS16" s="46"/>
      <c r="DT16" s="46"/>
      <c r="DU16" s="46"/>
      <c r="DV16" s="46"/>
      <c r="DW16" s="46"/>
      <c r="DX16" s="46"/>
      <c r="DY16" s="46"/>
      <c r="DZ16" s="46"/>
      <c r="EA16" s="46"/>
      <c r="EB16" s="46"/>
      <c r="EC16" s="46"/>
      <c r="ED16" s="46"/>
      <c r="EE16" s="10">
        <v>46283</v>
      </c>
      <c r="EF16" s="10">
        <f>IF(DL16="",WORKDAY(DK16,EF15),WORKDAY(DL16,EF15))</f>
        <v>46255</v>
      </c>
      <c r="EG16" s="56">
        <f>EE16</f>
        <v>46283</v>
      </c>
      <c r="EH16" s="10">
        <v>46084</v>
      </c>
      <c r="EI16" s="10">
        <f>IF(BH16="",WORKDAY(BG16,EI15),WORKDAY(BH16,EI15))</f>
        <v>46084</v>
      </c>
      <c r="EJ16" s="10">
        <v>45719</v>
      </c>
      <c r="EK16" s="27"/>
      <c r="EL16" s="27"/>
      <c r="EM16" s="27"/>
      <c r="EN16" s="27"/>
      <c r="EO16" s="28"/>
      <c r="EP16" s="28"/>
      <c r="EQ16" s="28"/>
      <c r="ER16" s="28"/>
      <c r="ES16" s="28"/>
      <c r="ET16" s="28"/>
      <c r="EU16" s="28"/>
      <c r="EV16" s="28"/>
      <c r="EW16" s="28"/>
      <c r="EX16" s="28"/>
      <c r="EY16" s="28"/>
      <c r="EZ16" s="10">
        <v>46290</v>
      </c>
      <c r="FA16" s="10">
        <f>IF(EG16="",WORKDAY(EF16,FA15),WORKDAY(EG16,FA15))</f>
        <v>46290</v>
      </c>
      <c r="FB16" s="10">
        <f>WORKDAY(EG16,FB15)</f>
        <v>46283</v>
      </c>
      <c r="FC16" s="28"/>
      <c r="FD16" s="28"/>
      <c r="FE16" s="28"/>
      <c r="FF16" s="28"/>
      <c r="FG16" s="28"/>
      <c r="FH16" s="28"/>
      <c r="FI16" s="10">
        <v>46311</v>
      </c>
      <c r="FJ16" s="10">
        <f>IF(FB16="",WORKDAY(FA16,FJ15),WORKDAY(FB16,FJ15))</f>
        <v>46304</v>
      </c>
      <c r="FK16" s="10"/>
      <c r="FL16" s="10">
        <v>46311</v>
      </c>
      <c r="FM16" s="10">
        <f>IF(FK16="",WORKDAY(FJ16,FM15),WORKDAY(FK16,FM15))</f>
        <v>46304</v>
      </c>
      <c r="FN16" s="10"/>
      <c r="FO16" s="10">
        <v>46367</v>
      </c>
      <c r="FP16" s="10">
        <v>46367</v>
      </c>
      <c r="FQ16" s="10"/>
      <c r="FR16" s="77" t="str">
        <f>IF(NETWORKDAYS(FJ16,FO16)&gt;=30,"On-Track",IF(AND(NETWORKDAYS(FJ16,FO16)&lt;30,FJ16&lt;=FO16),"At Risk","Missed TCD"))</f>
        <v>On-Track</v>
      </c>
      <c r="FS16" s="110" t="s">
        <v>480</v>
      </c>
      <c r="FT16" s="57">
        <f>NETWORKDAYS(CP16,FI16)</f>
        <v>181</v>
      </c>
      <c r="FU16" s="57">
        <f>NETWORKDAYS(CQ16,FJ16)</f>
        <v>176</v>
      </c>
      <c r="FV16" s="57">
        <f>IF(BH16="",NETWORKDAYS(BG16,FJ16),IF(FK16="",NETWORKDAYS(BH16,FJ16),NETWORKDAYS(BH16,FK16)))</f>
        <v>189</v>
      </c>
      <c r="FW16" s="58" t="s">
        <v>467</v>
      </c>
    </row>
    <row r="17" spans="1:179" hidden="1" outlineLevel="1" x14ac:dyDescent="0.35">
      <c r="A17" s="23"/>
      <c r="B17" s="23">
        <v>107138</v>
      </c>
      <c r="C17" s="24" t="s">
        <v>484</v>
      </c>
      <c r="D17" s="95"/>
      <c r="E17" s="24"/>
      <c r="F17" s="25" t="s">
        <v>463</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c r="CW17" s="5">
        <v>10</v>
      </c>
      <c r="CX17" s="5">
        <v>10</v>
      </c>
      <c r="CY17" s="27"/>
      <c r="CZ17" s="5">
        <v>0</v>
      </c>
      <c r="DA17" s="5">
        <v>0</v>
      </c>
      <c r="DB17" s="27"/>
      <c r="DC17" s="31"/>
      <c r="DD17" s="31"/>
      <c r="DE17" s="31"/>
      <c r="DF17" s="4">
        <v>20</v>
      </c>
      <c r="DG17" s="4">
        <v>20</v>
      </c>
      <c r="DH17" s="27"/>
      <c r="DI17" s="89">
        <v>1</v>
      </c>
      <c r="DJ17" s="4">
        <v>20</v>
      </c>
      <c r="DK17" s="4">
        <v>20</v>
      </c>
      <c r="DL17" s="27"/>
      <c r="DM17" s="27"/>
      <c r="DN17" s="27"/>
      <c r="DO17" s="27"/>
      <c r="DP17" s="27"/>
      <c r="DQ17" s="27"/>
      <c r="DR17" s="27"/>
      <c r="DS17" s="27"/>
      <c r="DT17" s="27"/>
      <c r="DU17" s="27"/>
      <c r="DV17" s="27"/>
      <c r="DW17" s="27"/>
      <c r="DX17" s="27"/>
      <c r="DY17" s="27"/>
      <c r="DZ17" s="27"/>
      <c r="EA17" s="27"/>
      <c r="EB17" s="27"/>
      <c r="EC17" s="27"/>
      <c r="ED17" s="27"/>
      <c r="EE17" s="4">
        <v>0</v>
      </c>
      <c r="EF17" s="4">
        <v>0</v>
      </c>
      <c r="EG17" s="27"/>
      <c r="EH17" s="4">
        <v>30</v>
      </c>
      <c r="EI17" s="4">
        <v>30</v>
      </c>
      <c r="EJ17" s="27">
        <v>45719</v>
      </c>
      <c r="EK17" s="27"/>
      <c r="EL17" s="27"/>
      <c r="EM17" s="27"/>
      <c r="EN17" s="27"/>
      <c r="EO17" s="27"/>
      <c r="EP17" s="27"/>
      <c r="EQ17" s="27"/>
      <c r="ER17" s="27"/>
      <c r="ES17" s="27"/>
      <c r="ET17" s="27"/>
      <c r="EU17" s="27"/>
      <c r="EV17" s="27"/>
      <c r="EW17" s="27"/>
      <c r="EX17" s="27"/>
      <c r="EY17" s="27"/>
      <c r="EZ17" s="4">
        <v>5</v>
      </c>
      <c r="FA17" s="4">
        <v>5</v>
      </c>
      <c r="FB17" s="27"/>
      <c r="FC17" s="27"/>
      <c r="FD17" s="27"/>
      <c r="FE17" s="27"/>
      <c r="FF17" s="27"/>
      <c r="FG17" s="27"/>
      <c r="FH17" s="27"/>
      <c r="FI17" s="4">
        <v>15</v>
      </c>
      <c r="FJ17" s="4">
        <v>15</v>
      </c>
      <c r="FK17" s="27"/>
      <c r="FL17" s="4">
        <v>0</v>
      </c>
      <c r="FM17" s="4">
        <v>0</v>
      </c>
      <c r="FN17" s="27"/>
      <c r="FO17" s="4">
        <v>40</v>
      </c>
      <c r="FP17" s="4">
        <v>40</v>
      </c>
      <c r="FQ17" s="27"/>
      <c r="FR17" s="27"/>
      <c r="FS17" s="109"/>
      <c r="FT17" s="54">
        <f>NETWORKDAYS($I18,FO18)</f>
        <v>396</v>
      </c>
      <c r="FU17" s="54">
        <f>NETWORKDAYS($I18,FP18)</f>
        <v>396</v>
      </c>
      <c r="FV17" s="54">
        <f>IF(FQ18="",NETWORKDAYS($I18,FP18),NETWORKDAYS($I18,FQ18))</f>
        <v>396</v>
      </c>
      <c r="FW17" s="55" t="s">
        <v>464</v>
      </c>
    </row>
    <row r="18" spans="1:179" collapsed="1" x14ac:dyDescent="0.35">
      <c r="A18" s="23"/>
      <c r="B18" s="23">
        <v>107138</v>
      </c>
      <c r="C18" s="24" t="s">
        <v>484</v>
      </c>
      <c r="D18" s="65"/>
      <c r="E18" s="23" t="str">
        <f>IF(D18="","Unknown",IF(D18&lt;=FM18+90,"Red",IF(AND(D18&gt;FM18+90,D18&lt;=FM18+180),"Yellow",IF(AND(D18&gt;FM18+180,D18&lt;=FM18+690),"Green","Covered"))))</f>
        <v>Unknown</v>
      </c>
      <c r="F18" s="25" t="s">
        <v>466</v>
      </c>
      <c r="G18" s="26"/>
      <c r="H18" s="26" t="str">
        <f>IF(CR18="","Pre-Execution","Execution")</f>
        <v>Execution</v>
      </c>
      <c r="I18" s="13">
        <v>45814</v>
      </c>
      <c r="J18" s="28"/>
      <c r="K18" s="28"/>
      <c r="L18" s="28"/>
      <c r="M18" s="10">
        <v>45853</v>
      </c>
      <c r="N18" s="10">
        <f>WORKDAY(I18,N17)</f>
        <v>45853</v>
      </c>
      <c r="O18" s="10">
        <f>M18</f>
        <v>45853</v>
      </c>
      <c r="P18" s="10">
        <v>45853</v>
      </c>
      <c r="Q18" s="10">
        <f>IF(O18="",WORKDAY(N18,Q17),WORKDAY(O18,Q17))</f>
        <v>45853</v>
      </c>
      <c r="R18" s="56">
        <f>P18</f>
        <v>45853</v>
      </c>
      <c r="S18" s="28"/>
      <c r="T18" s="28"/>
      <c r="U18" s="28"/>
      <c r="V18" s="10">
        <v>45895</v>
      </c>
      <c r="W18" s="10">
        <f>IF(R18="",WORKDAY(Q18,W17),WORKDAY(R18,W17))</f>
        <v>45895</v>
      </c>
      <c r="X18" s="56"/>
      <c r="Y18" s="10">
        <v>45951</v>
      </c>
      <c r="Z18" s="10">
        <f>IF(R18="",WORKDAY(Q18,Z17),WORKDAY(R18,Z17))</f>
        <v>45951</v>
      </c>
      <c r="AA18" s="56"/>
      <c r="AB18" s="10">
        <v>45814</v>
      </c>
      <c r="AC18" s="10">
        <f>WORKDAY(I18,AC17)</f>
        <v>45814</v>
      </c>
      <c r="AD18" s="56"/>
      <c r="AE18" s="10">
        <v>45919</v>
      </c>
      <c r="AF18" s="10">
        <f>IF(AD18="",WORKDAY(AC18,AF17),WORKDAY(AD18,AF17))</f>
        <v>45919</v>
      </c>
      <c r="AG18" s="56"/>
      <c r="AH18" s="10">
        <v>45958</v>
      </c>
      <c r="AI18" s="10">
        <f>WORKDAY(IF(AA18="",IF(Z18&gt;AF18,Z18,AF18),IF(AA18&gt;AG18,AA18,AG18)),AI17)</f>
        <v>45958</v>
      </c>
      <c r="AJ18" s="10">
        <f>AH18</f>
        <v>45958</v>
      </c>
      <c r="AK18" s="10">
        <v>45986</v>
      </c>
      <c r="AL18" s="10">
        <f>IF(AJ18="",WORKDAY(AI18,AL17),WORKDAY(AJ18,AL17))</f>
        <v>45986</v>
      </c>
      <c r="AM18" s="56"/>
      <c r="AN18" s="10">
        <v>45986</v>
      </c>
      <c r="AO18" s="10">
        <f>IF(AM18="",WORKDAY(AL18,AO17),WORKDAY(AM18,AO17))</f>
        <v>45986</v>
      </c>
      <c r="AP18" s="56"/>
      <c r="AQ18" s="10">
        <v>46014</v>
      </c>
      <c r="AR18" s="10">
        <f>IF(AP18="",WORKDAY(AO18,AR17),WORKDAY(AP18,AR17))</f>
        <v>46014</v>
      </c>
      <c r="AS18" s="56">
        <f>AQ18</f>
        <v>46014</v>
      </c>
      <c r="AT18" s="10">
        <v>45993</v>
      </c>
      <c r="AU18" s="10">
        <v>45993</v>
      </c>
      <c r="AV18" s="56"/>
      <c r="AW18" s="10">
        <v>46028</v>
      </c>
      <c r="AX18" s="10">
        <f>IF(AS18="",IF(AR18&gt;AU18,WORKDAY(AR18,AX17),WORKDAY(AU18,AX17)),IF(AS18&gt;AV18,WORKDAY(AS18,AX17),WORKDAY(AV18,AX17)))</f>
        <v>46028</v>
      </c>
      <c r="AY18" s="56"/>
      <c r="AZ18" s="10">
        <v>46028</v>
      </c>
      <c r="BA18" s="10">
        <f>IF(AP18="",WORKDAY(AO18,BA17),WORKDAY(AP18,BA17))</f>
        <v>46028</v>
      </c>
      <c r="BB18" s="56"/>
      <c r="BC18" s="10">
        <v>46035</v>
      </c>
      <c r="BD18" s="10">
        <f>IF(AY18="",IF(AX18&gt;BA18,WORKDAY(AX18,BD17),WORKDAY(BA18,BD17)),IF(AY18&gt;BB18,WORKDAY(AY18,BD17),WORKDAY(BB18,BD17)))</f>
        <v>46035</v>
      </c>
      <c r="BE18" s="56">
        <f>BC18</f>
        <v>46035</v>
      </c>
      <c r="BF18" s="10">
        <v>46042</v>
      </c>
      <c r="BG18" s="10">
        <f>IF(BE18="",WORKDAY(BD18,BG17),WORKDAY(BE18,BG17))</f>
        <v>46042</v>
      </c>
      <c r="BH18" s="56">
        <f>BF18</f>
        <v>46042</v>
      </c>
      <c r="BI18" s="10">
        <v>46049</v>
      </c>
      <c r="BJ18" s="10">
        <f>IF(BH18="",WORKDAY(BG18,BJ17),WORKDAY(BH18,BJ17))</f>
        <v>46049</v>
      </c>
      <c r="BK18" s="56"/>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46052</v>
      </c>
      <c r="CN18" s="10">
        <f>IF(BK18="",WORKDAY(BJ18,CN17),WORKDAY(BK18,CN17))</f>
        <v>46052</v>
      </c>
      <c r="CO18" s="56">
        <f>CM18</f>
        <v>46052</v>
      </c>
      <c r="CP18" s="10">
        <v>46059</v>
      </c>
      <c r="CQ18" s="10">
        <f>IF(CO18="",WORKDAY(CN18,CQ17),WORKDAY(CO18,CQ17))</f>
        <v>46059</v>
      </c>
      <c r="CR18" s="56">
        <f>CP18</f>
        <v>46059</v>
      </c>
      <c r="CS18" s="77" t="s">
        <v>479</v>
      </c>
      <c r="CT18" s="10">
        <v>46227</v>
      </c>
      <c r="CU18" s="10">
        <f>IF(CR18="",WORKDAY(CQ18,CU17),WORKDAY(CR18,CU17))</f>
        <v>46227</v>
      </c>
      <c r="CV18" s="56">
        <f>CT18</f>
        <v>46227</v>
      </c>
      <c r="CW18" s="10">
        <v>46042</v>
      </c>
      <c r="CX18" s="10">
        <f>IF(BB18="",WORKDAY(BA18,CX17),WORKDAY(BB18,CX17))</f>
        <v>46042</v>
      </c>
      <c r="CY18" s="56"/>
      <c r="CZ18" s="10">
        <v>46042</v>
      </c>
      <c r="DA18" s="10">
        <f>IF(CY18="",WORKDAY(CX18,DA17),WORKDAY(CY18,DA17))</f>
        <v>46042</v>
      </c>
      <c r="DB18" s="56"/>
      <c r="DC18" s="45"/>
      <c r="DD18" s="45"/>
      <c r="DE18" s="45"/>
      <c r="DF18" s="10">
        <v>46255</v>
      </c>
      <c r="DG18" s="10">
        <f>IF($CV18="",IF($CU18&gt;$DA18,WORKDAY($CU18,DG17),WORKDAY($DA18,DG17)),IF($CV18&gt;$DB18,WORKDAY($CV18,DG17),WORKDAY($DB18,DG17)))</f>
        <v>46255</v>
      </c>
      <c r="DH18" s="56">
        <f>DF18</f>
        <v>46255</v>
      </c>
      <c r="DI18" s="46"/>
      <c r="DJ18" s="10">
        <v>46283</v>
      </c>
      <c r="DK18" s="10">
        <f>IF(DH18="",WORKDAY(DG18,DK17*$DI17),WORKDAY(DH18,DK17*$DI17))</f>
        <v>46283</v>
      </c>
      <c r="DL18" s="10">
        <f>WORKDAY(DH18,DL17*$DI17)</f>
        <v>46255</v>
      </c>
      <c r="DM18" s="46"/>
      <c r="DN18" s="46"/>
      <c r="DO18" s="46"/>
      <c r="DP18" s="46"/>
      <c r="DQ18" s="46"/>
      <c r="DR18" s="46"/>
      <c r="DS18" s="46"/>
      <c r="DT18" s="46"/>
      <c r="DU18" s="46"/>
      <c r="DV18" s="46"/>
      <c r="DW18" s="46"/>
      <c r="DX18" s="46"/>
      <c r="DY18" s="46"/>
      <c r="DZ18" s="46"/>
      <c r="EA18" s="46"/>
      <c r="EB18" s="46"/>
      <c r="EC18" s="46"/>
      <c r="ED18" s="46"/>
      <c r="EE18" s="10">
        <v>46283</v>
      </c>
      <c r="EF18" s="10">
        <f>IF(DL18="",WORKDAY(DK18,EF17),WORKDAY(DL18,EF17))</f>
        <v>46255</v>
      </c>
      <c r="EG18" s="56">
        <f>EE18</f>
        <v>46283</v>
      </c>
      <c r="EH18" s="10">
        <v>46084</v>
      </c>
      <c r="EI18" s="10">
        <f>IF(BH18="",WORKDAY(BG18,EI17),WORKDAY(BH18,EI17))</f>
        <v>46084</v>
      </c>
      <c r="EJ18" s="10">
        <v>45719</v>
      </c>
      <c r="EK18" s="27"/>
      <c r="EL18" s="27"/>
      <c r="EM18" s="27"/>
      <c r="EN18" s="27"/>
      <c r="EO18" s="28"/>
      <c r="EP18" s="28"/>
      <c r="EQ18" s="28"/>
      <c r="ER18" s="28"/>
      <c r="ES18" s="28"/>
      <c r="ET18" s="28"/>
      <c r="EU18" s="28"/>
      <c r="EV18" s="28"/>
      <c r="EW18" s="28"/>
      <c r="EX18" s="28"/>
      <c r="EY18" s="28"/>
      <c r="EZ18" s="10">
        <v>46290</v>
      </c>
      <c r="FA18" s="10">
        <f>IF(EG18="",WORKDAY(EF18,FA17),WORKDAY(EG18,FA17))</f>
        <v>46290</v>
      </c>
      <c r="FB18" s="10">
        <f>WORKDAY(EG18,FB17)</f>
        <v>46283</v>
      </c>
      <c r="FC18" s="28"/>
      <c r="FD18" s="28"/>
      <c r="FE18" s="28"/>
      <c r="FF18" s="28"/>
      <c r="FG18" s="28"/>
      <c r="FH18" s="28"/>
      <c r="FI18" s="10">
        <v>46311</v>
      </c>
      <c r="FJ18" s="10">
        <f>IF(FB18="",WORKDAY(FA18,FJ17),WORKDAY(FB18,FJ17))</f>
        <v>46304</v>
      </c>
      <c r="FK18" s="10"/>
      <c r="FL18" s="10">
        <v>46311</v>
      </c>
      <c r="FM18" s="10">
        <f>IF(FK18="",WORKDAY(FJ18,FM17),WORKDAY(FK18,FM17))</f>
        <v>46304</v>
      </c>
      <c r="FN18" s="10"/>
      <c r="FO18" s="10">
        <v>46367</v>
      </c>
      <c r="FP18" s="10">
        <v>46367</v>
      </c>
      <c r="FQ18" s="10"/>
      <c r="FR18" s="77" t="str">
        <f>IF(NETWORKDAYS(FJ18,FO18)&gt;=30,"On-Track",IF(AND(NETWORKDAYS(FJ18,FO18)&lt;30,FJ18&lt;=FO18),"At Risk","Missed TCD"))</f>
        <v>On-Track</v>
      </c>
      <c r="FS18" s="110" t="s">
        <v>480</v>
      </c>
      <c r="FT18" s="57">
        <f>NETWORKDAYS(CP18,FI18)</f>
        <v>181</v>
      </c>
      <c r="FU18" s="57">
        <f>NETWORKDAYS(CQ18,FJ18)</f>
        <v>176</v>
      </c>
      <c r="FV18" s="57">
        <f>IF(BH18="",NETWORKDAYS(BG18,FJ18),IF(FK18="",NETWORKDAYS(BH18,FJ18),NETWORKDAYS(BH18,FK18)))</f>
        <v>189</v>
      </c>
      <c r="FW18" s="58" t="s">
        <v>467</v>
      </c>
    </row>
    <row r="19" spans="1:179" hidden="1" outlineLevel="1" x14ac:dyDescent="0.35">
      <c r="A19" s="23"/>
      <c r="B19" s="23">
        <v>107139</v>
      </c>
      <c r="C19" s="24" t="s">
        <v>485</v>
      </c>
      <c r="D19" s="95"/>
      <c r="E19" s="24"/>
      <c r="F19" s="25" t="s">
        <v>463</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5</v>
      </c>
      <c r="AV19" s="27"/>
      <c r="AW19" s="4">
        <v>10</v>
      </c>
      <c r="AX19" s="4">
        <v>10</v>
      </c>
      <c r="AY19" s="27"/>
      <c r="AZ19" s="4">
        <v>30</v>
      </c>
      <c r="BA19" s="4">
        <v>30</v>
      </c>
      <c r="BB19" s="27"/>
      <c r="BC19" s="4">
        <v>5</v>
      </c>
      <c r="BD19" s="4">
        <v>5</v>
      </c>
      <c r="BE19" s="27"/>
      <c r="BF19" s="4">
        <v>5</v>
      </c>
      <c r="BG19" s="4">
        <v>5</v>
      </c>
      <c r="BH19" s="27"/>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c r="CW19" s="5">
        <v>10</v>
      </c>
      <c r="CX19" s="5">
        <v>10</v>
      </c>
      <c r="CY19" s="27"/>
      <c r="CZ19" s="5">
        <v>0</v>
      </c>
      <c r="DA19" s="5">
        <v>0</v>
      </c>
      <c r="DB19" s="27"/>
      <c r="DC19" s="31"/>
      <c r="DD19" s="31"/>
      <c r="DE19" s="31"/>
      <c r="DF19" s="4">
        <v>20</v>
      </c>
      <c r="DG19" s="4">
        <v>20</v>
      </c>
      <c r="DH19" s="27"/>
      <c r="DI19" s="89">
        <v>1</v>
      </c>
      <c r="DJ19" s="4">
        <v>20</v>
      </c>
      <c r="DK19" s="4">
        <v>20</v>
      </c>
      <c r="DL19" s="27"/>
      <c r="DM19" s="27"/>
      <c r="DN19" s="27"/>
      <c r="DO19" s="27"/>
      <c r="DP19" s="27"/>
      <c r="DQ19" s="27"/>
      <c r="DR19" s="27"/>
      <c r="DS19" s="27"/>
      <c r="DT19" s="27"/>
      <c r="DU19" s="27"/>
      <c r="DV19" s="27"/>
      <c r="DW19" s="27"/>
      <c r="DX19" s="27"/>
      <c r="DY19" s="27"/>
      <c r="DZ19" s="27"/>
      <c r="EA19" s="27"/>
      <c r="EB19" s="27"/>
      <c r="EC19" s="27"/>
      <c r="ED19" s="27"/>
      <c r="EE19" s="4">
        <v>0</v>
      </c>
      <c r="EF19" s="4">
        <v>0</v>
      </c>
      <c r="EG19" s="27"/>
      <c r="EH19" s="4">
        <v>30</v>
      </c>
      <c r="EI19" s="4">
        <v>30</v>
      </c>
      <c r="EJ19" s="27">
        <v>45719</v>
      </c>
      <c r="EK19" s="27"/>
      <c r="EL19" s="27"/>
      <c r="EM19" s="27"/>
      <c r="EN19" s="27"/>
      <c r="EO19" s="27"/>
      <c r="EP19" s="27"/>
      <c r="EQ19" s="27"/>
      <c r="ER19" s="27"/>
      <c r="ES19" s="27"/>
      <c r="ET19" s="27"/>
      <c r="EU19" s="27"/>
      <c r="EV19" s="27"/>
      <c r="EW19" s="27"/>
      <c r="EX19" s="27"/>
      <c r="EY19" s="27"/>
      <c r="EZ19" s="4">
        <v>5</v>
      </c>
      <c r="FA19" s="4">
        <v>5</v>
      </c>
      <c r="FB19" s="27"/>
      <c r="FC19" s="27"/>
      <c r="FD19" s="27"/>
      <c r="FE19" s="27"/>
      <c r="FF19" s="27"/>
      <c r="FG19" s="27"/>
      <c r="FH19" s="27"/>
      <c r="FI19" s="4">
        <v>15</v>
      </c>
      <c r="FJ19" s="4">
        <v>15</v>
      </c>
      <c r="FK19" s="27"/>
      <c r="FL19" s="4">
        <v>0</v>
      </c>
      <c r="FM19" s="4">
        <v>0</v>
      </c>
      <c r="FN19" s="27"/>
      <c r="FO19" s="4">
        <v>40</v>
      </c>
      <c r="FP19" s="4">
        <v>40</v>
      </c>
      <c r="FQ19" s="27"/>
      <c r="FR19" s="27"/>
      <c r="FS19" s="109"/>
      <c r="FT19" s="54">
        <f>NETWORKDAYS($I20,FO20)</f>
        <v>396</v>
      </c>
      <c r="FU19" s="54">
        <f>NETWORKDAYS($I20,FP20)</f>
        <v>396</v>
      </c>
      <c r="FV19" s="54">
        <f>IF(FQ20="",NETWORKDAYS($I20,FP20),NETWORKDAYS($I20,FQ20))</f>
        <v>396</v>
      </c>
      <c r="FW19" s="55" t="s">
        <v>464</v>
      </c>
    </row>
    <row r="20" spans="1:179" collapsed="1" x14ac:dyDescent="0.35">
      <c r="A20" s="23"/>
      <c r="B20" s="23">
        <v>107139</v>
      </c>
      <c r="C20" s="24" t="s">
        <v>485</v>
      </c>
      <c r="D20" s="65"/>
      <c r="E20" s="23" t="str">
        <f>IF(D20="","Unknown",IF(D20&lt;=FM20+90,"Red",IF(AND(D20&gt;FM20+90,D20&lt;=FM20+180),"Yellow",IF(AND(D20&gt;FM20+180,D20&lt;=FM20+690),"Green","Covered"))))</f>
        <v>Unknown</v>
      </c>
      <c r="F20" s="25" t="s">
        <v>466</v>
      </c>
      <c r="G20" s="26"/>
      <c r="H20" s="26" t="str">
        <f>IF(CR20="","Pre-Execution","Execution")</f>
        <v>Execution</v>
      </c>
      <c r="I20" s="13">
        <v>45814</v>
      </c>
      <c r="J20" s="28"/>
      <c r="K20" s="28"/>
      <c r="L20" s="28"/>
      <c r="M20" s="10">
        <v>45853</v>
      </c>
      <c r="N20" s="10">
        <f>WORKDAY(I20,N19)</f>
        <v>45853</v>
      </c>
      <c r="O20" s="10">
        <f>M20</f>
        <v>45853</v>
      </c>
      <c r="P20" s="10">
        <v>45853</v>
      </c>
      <c r="Q20" s="10">
        <f>IF(O20="",WORKDAY(N20,Q19),WORKDAY(O20,Q19))</f>
        <v>45853</v>
      </c>
      <c r="R20" s="56">
        <f>P20</f>
        <v>45853</v>
      </c>
      <c r="S20" s="28"/>
      <c r="T20" s="28"/>
      <c r="U20" s="28"/>
      <c r="V20" s="10">
        <v>45895</v>
      </c>
      <c r="W20" s="10">
        <f>IF(R20="",WORKDAY(Q20,W19),WORKDAY(R20,W19))</f>
        <v>45895</v>
      </c>
      <c r="X20" s="56"/>
      <c r="Y20" s="10">
        <v>45951</v>
      </c>
      <c r="Z20" s="10">
        <f>IF(R20="",WORKDAY(Q20,Z19),WORKDAY(R20,Z19))</f>
        <v>45951</v>
      </c>
      <c r="AA20" s="56"/>
      <c r="AB20" s="10">
        <v>45814</v>
      </c>
      <c r="AC20" s="10">
        <f>WORKDAY(I20,AC19)</f>
        <v>45814</v>
      </c>
      <c r="AD20" s="56"/>
      <c r="AE20" s="10">
        <v>45919</v>
      </c>
      <c r="AF20" s="10">
        <f>IF(AD20="",WORKDAY(AC20,AF19),WORKDAY(AD20,AF19))</f>
        <v>45919</v>
      </c>
      <c r="AG20" s="56"/>
      <c r="AH20" s="10">
        <v>45958</v>
      </c>
      <c r="AI20" s="10">
        <f>WORKDAY(IF(AA20="",IF(Z20&gt;AF20,Z20,AF20),IF(AA20&gt;AG20,AA20,AG20)),AI19)</f>
        <v>45958</v>
      </c>
      <c r="AJ20" s="10">
        <f>AH20</f>
        <v>45958</v>
      </c>
      <c r="AK20" s="10">
        <v>45986</v>
      </c>
      <c r="AL20" s="10">
        <f>IF(AJ20="",WORKDAY(AI20,AL19),WORKDAY(AJ20,AL19))</f>
        <v>45986</v>
      </c>
      <c r="AM20" s="56"/>
      <c r="AN20" s="10">
        <v>45986</v>
      </c>
      <c r="AO20" s="10">
        <f>IF(AM20="",WORKDAY(AL20,AO19),WORKDAY(AM20,AO19))</f>
        <v>45986</v>
      </c>
      <c r="AP20" s="56"/>
      <c r="AQ20" s="10">
        <v>46014</v>
      </c>
      <c r="AR20" s="10">
        <f>IF(AP20="",WORKDAY(AO20,AR19),WORKDAY(AP20,AR19))</f>
        <v>46014</v>
      </c>
      <c r="AS20" s="56">
        <f>AQ20</f>
        <v>46014</v>
      </c>
      <c r="AT20" s="10">
        <v>45993</v>
      </c>
      <c r="AU20" s="10">
        <v>45993</v>
      </c>
      <c r="AV20" s="56"/>
      <c r="AW20" s="10">
        <v>46028</v>
      </c>
      <c r="AX20" s="10">
        <f>IF(AS20="",IF(AR20&gt;AU20,WORKDAY(AR20,AX19),WORKDAY(AU20,AX19)),IF(AS20&gt;AV20,WORKDAY(AS20,AX19),WORKDAY(AV20,AX19)))</f>
        <v>46028</v>
      </c>
      <c r="AY20" s="56"/>
      <c r="AZ20" s="10">
        <v>46028</v>
      </c>
      <c r="BA20" s="10">
        <f>IF(AP20="",WORKDAY(AO20,BA19),WORKDAY(AP20,BA19))</f>
        <v>46028</v>
      </c>
      <c r="BB20" s="56"/>
      <c r="BC20" s="10">
        <v>46035</v>
      </c>
      <c r="BD20" s="10">
        <f>IF(AY20="",IF(AX20&gt;BA20,WORKDAY(AX20,BD19),WORKDAY(BA20,BD19)),IF(AY20&gt;BB20,WORKDAY(AY20,BD19),WORKDAY(BB20,BD19)))</f>
        <v>46035</v>
      </c>
      <c r="BE20" s="56">
        <f>BC20</f>
        <v>46035</v>
      </c>
      <c r="BF20" s="10">
        <v>46042</v>
      </c>
      <c r="BG20" s="10">
        <f>IF(BE20="",WORKDAY(BD20,BG19),WORKDAY(BE20,BG19))</f>
        <v>46042</v>
      </c>
      <c r="BH20" s="56">
        <f>BF20</f>
        <v>46042</v>
      </c>
      <c r="BI20" s="10">
        <v>46049</v>
      </c>
      <c r="BJ20" s="10">
        <f>IF(BH20="",WORKDAY(BG20,BJ19),WORKDAY(BH20,BJ19))</f>
        <v>46049</v>
      </c>
      <c r="BK20" s="56"/>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46052</v>
      </c>
      <c r="CN20" s="10">
        <f>IF(BK20="",WORKDAY(BJ20,CN19),WORKDAY(BK20,CN19))</f>
        <v>46052</v>
      </c>
      <c r="CO20" s="56">
        <f>CM20</f>
        <v>46052</v>
      </c>
      <c r="CP20" s="10">
        <v>46059</v>
      </c>
      <c r="CQ20" s="10">
        <f>IF(CO20="",WORKDAY(CN20,CQ19),WORKDAY(CO20,CQ19))</f>
        <v>46059</v>
      </c>
      <c r="CR20" s="56">
        <f>CP20</f>
        <v>46059</v>
      </c>
      <c r="CS20" s="77" t="s">
        <v>479</v>
      </c>
      <c r="CT20" s="10">
        <v>46227</v>
      </c>
      <c r="CU20" s="10">
        <f>IF(CR20="",WORKDAY(CQ20,CU19),WORKDAY(CR20,CU19))</f>
        <v>46227</v>
      </c>
      <c r="CV20" s="56">
        <f>CT20</f>
        <v>46227</v>
      </c>
      <c r="CW20" s="10">
        <v>46042</v>
      </c>
      <c r="CX20" s="10">
        <f>IF(BB20="",WORKDAY(BA20,CX19),WORKDAY(BB20,CX19))</f>
        <v>46042</v>
      </c>
      <c r="CY20" s="56"/>
      <c r="CZ20" s="10">
        <v>46042</v>
      </c>
      <c r="DA20" s="10">
        <f>IF(CY20="",WORKDAY(CX20,DA19),WORKDAY(CY20,DA19))</f>
        <v>46042</v>
      </c>
      <c r="DB20" s="56"/>
      <c r="DC20" s="45"/>
      <c r="DD20" s="45"/>
      <c r="DE20" s="45"/>
      <c r="DF20" s="10">
        <v>46255</v>
      </c>
      <c r="DG20" s="10">
        <f>IF($CV20="",IF($CU20&gt;$DA20,WORKDAY($CU20,DG19),WORKDAY($DA20,DG19)),IF($CV20&gt;$DB20,WORKDAY($CV20,DG19),WORKDAY($DB20,DG19)))</f>
        <v>46255</v>
      </c>
      <c r="DH20" s="56">
        <f>DF20</f>
        <v>46255</v>
      </c>
      <c r="DI20" s="46"/>
      <c r="DJ20" s="10">
        <v>46283</v>
      </c>
      <c r="DK20" s="10">
        <f>IF(DH20="",WORKDAY(DG20,DK19*$DI19),WORKDAY(DH20,DK19*$DI19))</f>
        <v>46283</v>
      </c>
      <c r="DL20" s="10">
        <f>WORKDAY(DH20,DL19*$DI19)</f>
        <v>46255</v>
      </c>
      <c r="DM20" s="46"/>
      <c r="DN20" s="46"/>
      <c r="DO20" s="46"/>
      <c r="DP20" s="46"/>
      <c r="DQ20" s="46"/>
      <c r="DR20" s="46"/>
      <c r="DS20" s="46"/>
      <c r="DT20" s="46"/>
      <c r="DU20" s="46"/>
      <c r="DV20" s="46"/>
      <c r="DW20" s="46"/>
      <c r="DX20" s="46"/>
      <c r="DY20" s="46"/>
      <c r="DZ20" s="46"/>
      <c r="EA20" s="46"/>
      <c r="EB20" s="46"/>
      <c r="EC20" s="46"/>
      <c r="ED20" s="46"/>
      <c r="EE20" s="10">
        <v>46283</v>
      </c>
      <c r="EF20" s="10">
        <f>IF(DL20="",WORKDAY(DK20,EF19),WORKDAY(DL20,EF19))</f>
        <v>46255</v>
      </c>
      <c r="EG20" s="56">
        <f>EE20</f>
        <v>46283</v>
      </c>
      <c r="EH20" s="10">
        <v>46084</v>
      </c>
      <c r="EI20" s="10">
        <f>IF(BH20="",WORKDAY(BG20,EI19),WORKDAY(BH20,EI19))</f>
        <v>46084</v>
      </c>
      <c r="EJ20" s="10">
        <v>45719</v>
      </c>
      <c r="EK20" s="27"/>
      <c r="EL20" s="27"/>
      <c r="EM20" s="27"/>
      <c r="EN20" s="27"/>
      <c r="EO20" s="28"/>
      <c r="EP20" s="28"/>
      <c r="EQ20" s="28"/>
      <c r="ER20" s="28"/>
      <c r="ES20" s="28"/>
      <c r="ET20" s="28"/>
      <c r="EU20" s="28"/>
      <c r="EV20" s="28"/>
      <c r="EW20" s="28"/>
      <c r="EX20" s="28"/>
      <c r="EY20" s="28"/>
      <c r="EZ20" s="10">
        <v>46290</v>
      </c>
      <c r="FA20" s="10">
        <f>IF(EG20="",WORKDAY(EF20,FA19),WORKDAY(EG20,FA19))</f>
        <v>46290</v>
      </c>
      <c r="FB20" s="10">
        <f>WORKDAY(EG20,FB19)</f>
        <v>46283</v>
      </c>
      <c r="FC20" s="28"/>
      <c r="FD20" s="28"/>
      <c r="FE20" s="28"/>
      <c r="FF20" s="28"/>
      <c r="FG20" s="28"/>
      <c r="FH20" s="28"/>
      <c r="FI20" s="10">
        <v>46311</v>
      </c>
      <c r="FJ20" s="10">
        <f>IF(FB20="",WORKDAY(FA20,FJ19),WORKDAY(FB20,FJ19))</f>
        <v>46304</v>
      </c>
      <c r="FK20" s="10"/>
      <c r="FL20" s="10">
        <v>46311</v>
      </c>
      <c r="FM20" s="10">
        <f>IF(FK20="",WORKDAY(FJ20,FM19),WORKDAY(FK20,FM19))</f>
        <v>46304</v>
      </c>
      <c r="FN20" s="10"/>
      <c r="FO20" s="10">
        <v>46367</v>
      </c>
      <c r="FP20" s="10">
        <v>46367</v>
      </c>
      <c r="FQ20" s="10"/>
      <c r="FR20" s="77" t="str">
        <f>IF(NETWORKDAYS(FJ20,FO20)&gt;=30,"On-Track",IF(AND(NETWORKDAYS(FJ20,FO20)&lt;30,FJ20&lt;=FO20),"At Risk","Missed TCD"))</f>
        <v>On-Track</v>
      </c>
      <c r="FS20" s="110" t="s">
        <v>480</v>
      </c>
      <c r="FT20" s="57">
        <f>NETWORKDAYS(CP20,FI20)</f>
        <v>181</v>
      </c>
      <c r="FU20" s="57">
        <f>NETWORKDAYS(CQ20,FJ20)</f>
        <v>176</v>
      </c>
      <c r="FV20" s="57">
        <f>IF(BH20="",NETWORKDAYS(BG20,FJ20),IF(FK20="",NETWORKDAYS(BH20,FJ20),NETWORKDAYS(BH20,FK20)))</f>
        <v>189</v>
      </c>
      <c r="FW20" s="58" t="s">
        <v>467</v>
      </c>
    </row>
    <row r="21" spans="1:179" hidden="1" outlineLevel="1" x14ac:dyDescent="0.35">
      <c r="A21" s="23"/>
      <c r="B21" s="23">
        <v>107140</v>
      </c>
      <c r="C21" s="24" t="s">
        <v>486</v>
      </c>
      <c r="D21" s="95"/>
      <c r="E21" s="24"/>
      <c r="F21" s="25" t="s">
        <v>463</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5</v>
      </c>
      <c r="AV21" s="27"/>
      <c r="AW21" s="4">
        <v>10</v>
      </c>
      <c r="AX21" s="4">
        <v>10</v>
      </c>
      <c r="AY21" s="27"/>
      <c r="AZ21" s="4">
        <v>30</v>
      </c>
      <c r="BA21" s="4">
        <v>30</v>
      </c>
      <c r="BB21" s="27"/>
      <c r="BC21" s="4">
        <v>5</v>
      </c>
      <c r="BD21" s="4">
        <v>5</v>
      </c>
      <c r="BE21" s="27"/>
      <c r="BF21" s="4">
        <v>5</v>
      </c>
      <c r="BG21" s="4">
        <v>5</v>
      </c>
      <c r="BH21" s="27"/>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c r="CW21" s="5">
        <v>10</v>
      </c>
      <c r="CX21" s="5">
        <v>10</v>
      </c>
      <c r="CY21" s="27"/>
      <c r="CZ21" s="5">
        <v>0</v>
      </c>
      <c r="DA21" s="5">
        <v>0</v>
      </c>
      <c r="DB21" s="27"/>
      <c r="DC21" s="31"/>
      <c r="DD21" s="31"/>
      <c r="DE21" s="31"/>
      <c r="DF21" s="4">
        <v>20</v>
      </c>
      <c r="DG21" s="4">
        <v>20</v>
      </c>
      <c r="DH21" s="27"/>
      <c r="DI21" s="89">
        <v>1</v>
      </c>
      <c r="DJ21" s="4">
        <v>20</v>
      </c>
      <c r="DK21" s="4">
        <v>20</v>
      </c>
      <c r="DL21" s="27"/>
      <c r="DM21" s="27"/>
      <c r="DN21" s="27"/>
      <c r="DO21" s="27"/>
      <c r="DP21" s="27"/>
      <c r="DQ21" s="27"/>
      <c r="DR21" s="27"/>
      <c r="DS21" s="27"/>
      <c r="DT21" s="27"/>
      <c r="DU21" s="27"/>
      <c r="DV21" s="27"/>
      <c r="DW21" s="27"/>
      <c r="DX21" s="27"/>
      <c r="DY21" s="27"/>
      <c r="DZ21" s="27"/>
      <c r="EA21" s="27"/>
      <c r="EB21" s="27"/>
      <c r="EC21" s="27"/>
      <c r="ED21" s="27"/>
      <c r="EE21" s="4">
        <v>0</v>
      </c>
      <c r="EF21" s="4">
        <v>0</v>
      </c>
      <c r="EG21" s="27"/>
      <c r="EH21" s="4">
        <v>30</v>
      </c>
      <c r="EI21" s="4">
        <v>30</v>
      </c>
      <c r="EJ21" s="27">
        <v>45719</v>
      </c>
      <c r="EK21" s="27"/>
      <c r="EL21" s="27"/>
      <c r="EM21" s="27"/>
      <c r="EN21" s="27"/>
      <c r="EO21" s="27"/>
      <c r="EP21" s="27"/>
      <c r="EQ21" s="27"/>
      <c r="ER21" s="27"/>
      <c r="ES21" s="27"/>
      <c r="ET21" s="27"/>
      <c r="EU21" s="27"/>
      <c r="EV21" s="27"/>
      <c r="EW21" s="27"/>
      <c r="EX21" s="27"/>
      <c r="EY21" s="27"/>
      <c r="EZ21" s="4">
        <v>5</v>
      </c>
      <c r="FA21" s="4">
        <v>5</v>
      </c>
      <c r="FB21" s="27"/>
      <c r="FC21" s="27"/>
      <c r="FD21" s="27"/>
      <c r="FE21" s="27"/>
      <c r="FF21" s="27"/>
      <c r="FG21" s="27"/>
      <c r="FH21" s="27"/>
      <c r="FI21" s="4">
        <v>15</v>
      </c>
      <c r="FJ21" s="4">
        <v>15</v>
      </c>
      <c r="FK21" s="27"/>
      <c r="FL21" s="4">
        <v>0</v>
      </c>
      <c r="FM21" s="4">
        <v>0</v>
      </c>
      <c r="FN21" s="27"/>
      <c r="FO21" s="4">
        <v>40</v>
      </c>
      <c r="FP21" s="4">
        <v>40</v>
      </c>
      <c r="FQ21" s="27"/>
      <c r="FR21" s="27"/>
      <c r="FS21" s="109"/>
      <c r="FT21" s="54">
        <f>NETWORKDAYS($I22,FO22)</f>
        <v>396</v>
      </c>
      <c r="FU21" s="54">
        <f>NETWORKDAYS($I22,FP22)</f>
        <v>396</v>
      </c>
      <c r="FV21" s="54">
        <f>IF(FQ22="",NETWORKDAYS($I22,FP22),NETWORKDAYS($I22,FQ22))</f>
        <v>396</v>
      </c>
      <c r="FW21" s="55" t="s">
        <v>464</v>
      </c>
    </row>
    <row r="22" spans="1:179" collapsed="1" x14ac:dyDescent="0.35">
      <c r="A22" s="23"/>
      <c r="B22" s="23">
        <v>107140</v>
      </c>
      <c r="C22" s="24" t="s">
        <v>486</v>
      </c>
      <c r="D22" s="65"/>
      <c r="E22" s="23" t="str">
        <f>IF(D22="","Unknown",IF(D22&lt;=FM22+90,"Red",IF(AND(D22&gt;FM22+90,D22&lt;=FM22+180),"Yellow",IF(AND(D22&gt;FM22+180,D22&lt;=FM22+690),"Green","Covered"))))</f>
        <v>Unknown</v>
      </c>
      <c r="F22" s="25" t="s">
        <v>466</v>
      </c>
      <c r="G22" s="26"/>
      <c r="H22" s="26" t="str">
        <f>IF(CR22="","Pre-Execution","Execution")</f>
        <v>Execution</v>
      </c>
      <c r="I22" s="13">
        <v>45814</v>
      </c>
      <c r="J22" s="28"/>
      <c r="K22" s="28"/>
      <c r="L22" s="28"/>
      <c r="M22" s="10">
        <v>45853</v>
      </c>
      <c r="N22" s="10">
        <f>WORKDAY(I22,N21)</f>
        <v>45853</v>
      </c>
      <c r="O22" s="10">
        <f>M22</f>
        <v>45853</v>
      </c>
      <c r="P22" s="10">
        <v>45853</v>
      </c>
      <c r="Q22" s="10">
        <f>IF(O22="",WORKDAY(N22,Q21),WORKDAY(O22,Q21))</f>
        <v>45853</v>
      </c>
      <c r="R22" s="56">
        <f>P22</f>
        <v>45853</v>
      </c>
      <c r="S22" s="28"/>
      <c r="T22" s="28"/>
      <c r="U22" s="28"/>
      <c r="V22" s="10">
        <v>45895</v>
      </c>
      <c r="W22" s="10">
        <f>IF(R22="",WORKDAY(Q22,W21),WORKDAY(R22,W21))</f>
        <v>45895</v>
      </c>
      <c r="X22" s="56"/>
      <c r="Y22" s="10">
        <v>45951</v>
      </c>
      <c r="Z22" s="10">
        <f>IF(R22="",WORKDAY(Q22,Z21),WORKDAY(R22,Z21))</f>
        <v>45951</v>
      </c>
      <c r="AA22" s="56"/>
      <c r="AB22" s="10">
        <v>45814</v>
      </c>
      <c r="AC22" s="10">
        <f>WORKDAY(I22,AC21)</f>
        <v>45814</v>
      </c>
      <c r="AD22" s="56"/>
      <c r="AE22" s="10">
        <v>45919</v>
      </c>
      <c r="AF22" s="10">
        <f>IF(AD22="",WORKDAY(AC22,AF21),WORKDAY(AD22,AF21))</f>
        <v>45919</v>
      </c>
      <c r="AG22" s="56"/>
      <c r="AH22" s="10">
        <v>45958</v>
      </c>
      <c r="AI22" s="10">
        <f>WORKDAY(IF(AA22="",IF(Z22&gt;AF22,Z22,AF22),IF(AA22&gt;AG22,AA22,AG22)),AI21)</f>
        <v>45958</v>
      </c>
      <c r="AJ22" s="10">
        <f>AH22</f>
        <v>45958</v>
      </c>
      <c r="AK22" s="10">
        <v>45986</v>
      </c>
      <c r="AL22" s="10">
        <f>IF(AJ22="",WORKDAY(AI22,AL21),WORKDAY(AJ22,AL21))</f>
        <v>45986</v>
      </c>
      <c r="AM22" s="56"/>
      <c r="AN22" s="10">
        <v>45986</v>
      </c>
      <c r="AO22" s="10">
        <f>IF(AM22="",WORKDAY(AL22,AO21),WORKDAY(AM22,AO21))</f>
        <v>45986</v>
      </c>
      <c r="AP22" s="56"/>
      <c r="AQ22" s="10">
        <v>46014</v>
      </c>
      <c r="AR22" s="10">
        <f>IF(AP22="",WORKDAY(AO22,AR21),WORKDAY(AP22,AR21))</f>
        <v>46014</v>
      </c>
      <c r="AS22" s="56">
        <f>AQ22</f>
        <v>46014</v>
      </c>
      <c r="AT22" s="10">
        <v>45993</v>
      </c>
      <c r="AU22" s="10">
        <v>45993</v>
      </c>
      <c r="AV22" s="56"/>
      <c r="AW22" s="10">
        <v>46028</v>
      </c>
      <c r="AX22" s="10">
        <f>IF(AS22="",IF(AR22&gt;AU22,WORKDAY(AR22,AX21),WORKDAY(AU22,AX21)),IF(AS22&gt;AV22,WORKDAY(AS22,AX21),WORKDAY(AV22,AX21)))</f>
        <v>46028</v>
      </c>
      <c r="AY22" s="56"/>
      <c r="AZ22" s="10">
        <v>46028</v>
      </c>
      <c r="BA22" s="10">
        <f>IF(AP22="",WORKDAY(AO22,BA21),WORKDAY(AP22,BA21))</f>
        <v>46028</v>
      </c>
      <c r="BB22" s="56"/>
      <c r="BC22" s="10">
        <v>46035</v>
      </c>
      <c r="BD22" s="10">
        <f>IF(AY22="",IF(AX22&gt;BA22,WORKDAY(AX22,BD21),WORKDAY(BA22,BD21)),IF(AY22&gt;BB22,WORKDAY(AY22,BD21),WORKDAY(BB22,BD21)))</f>
        <v>46035</v>
      </c>
      <c r="BE22" s="56">
        <f>BC22</f>
        <v>46035</v>
      </c>
      <c r="BF22" s="10">
        <v>46042</v>
      </c>
      <c r="BG22" s="10">
        <f>IF(BE22="",WORKDAY(BD22,BG21),WORKDAY(BE22,BG21))</f>
        <v>46042</v>
      </c>
      <c r="BH22" s="56">
        <f>BF22</f>
        <v>46042</v>
      </c>
      <c r="BI22" s="10">
        <v>46049</v>
      </c>
      <c r="BJ22" s="10">
        <f>IF(BH22="",WORKDAY(BG22,BJ21),WORKDAY(BH22,BJ21))</f>
        <v>46049</v>
      </c>
      <c r="BK22" s="56"/>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46052</v>
      </c>
      <c r="CN22" s="10">
        <f>IF(BK22="",WORKDAY(BJ22,CN21),WORKDAY(BK22,CN21))</f>
        <v>46052</v>
      </c>
      <c r="CO22" s="56">
        <f>CM22</f>
        <v>46052</v>
      </c>
      <c r="CP22" s="10">
        <v>46059</v>
      </c>
      <c r="CQ22" s="10">
        <f>IF(CO22="",WORKDAY(CN22,CQ21),WORKDAY(CO22,CQ21))</f>
        <v>46059</v>
      </c>
      <c r="CR22" s="56">
        <f>CP22</f>
        <v>46059</v>
      </c>
      <c r="CS22" s="77" t="s">
        <v>479</v>
      </c>
      <c r="CT22" s="10">
        <v>46227</v>
      </c>
      <c r="CU22" s="10">
        <f>IF(CR22="",WORKDAY(CQ22,CU21),WORKDAY(CR22,CU21))</f>
        <v>46227</v>
      </c>
      <c r="CV22" s="56">
        <f>CT22</f>
        <v>46227</v>
      </c>
      <c r="CW22" s="10">
        <v>46042</v>
      </c>
      <c r="CX22" s="10">
        <f>IF(BB22="",WORKDAY(BA22,CX21),WORKDAY(BB22,CX21))</f>
        <v>46042</v>
      </c>
      <c r="CY22" s="56"/>
      <c r="CZ22" s="10">
        <v>46042</v>
      </c>
      <c r="DA22" s="10">
        <f>IF(CY22="",WORKDAY(CX22,DA21),WORKDAY(CY22,DA21))</f>
        <v>46042</v>
      </c>
      <c r="DB22" s="56"/>
      <c r="DC22" s="45"/>
      <c r="DD22" s="45"/>
      <c r="DE22" s="45"/>
      <c r="DF22" s="10">
        <v>46255</v>
      </c>
      <c r="DG22" s="10">
        <f>IF($CV22="",IF($CU22&gt;$DA22,WORKDAY($CU22,DG21),WORKDAY($DA22,DG21)),IF($CV22&gt;$DB22,WORKDAY($CV22,DG21),WORKDAY($DB22,DG21)))</f>
        <v>46255</v>
      </c>
      <c r="DH22" s="56">
        <f>DF22</f>
        <v>46255</v>
      </c>
      <c r="DI22" s="46"/>
      <c r="DJ22" s="10">
        <v>46283</v>
      </c>
      <c r="DK22" s="10">
        <f>IF(DH22="",WORKDAY(DG22,DK21*$DI21),WORKDAY(DH22,DK21*$DI21))</f>
        <v>46283</v>
      </c>
      <c r="DL22" s="10">
        <f>WORKDAY(DH22,DL21*$DI21)</f>
        <v>46255</v>
      </c>
      <c r="DM22" s="46"/>
      <c r="DN22" s="46"/>
      <c r="DO22" s="46"/>
      <c r="DP22" s="46"/>
      <c r="DQ22" s="46"/>
      <c r="DR22" s="46"/>
      <c r="DS22" s="46"/>
      <c r="DT22" s="46"/>
      <c r="DU22" s="46"/>
      <c r="DV22" s="46"/>
      <c r="DW22" s="46"/>
      <c r="DX22" s="46"/>
      <c r="DY22" s="46"/>
      <c r="DZ22" s="46"/>
      <c r="EA22" s="46"/>
      <c r="EB22" s="46"/>
      <c r="EC22" s="46"/>
      <c r="ED22" s="46"/>
      <c r="EE22" s="10">
        <v>46283</v>
      </c>
      <c r="EF22" s="10">
        <f>IF(DL22="",WORKDAY(DK22,EF21),WORKDAY(DL22,EF21))</f>
        <v>46255</v>
      </c>
      <c r="EG22" s="56">
        <f>EE22</f>
        <v>46283</v>
      </c>
      <c r="EH22" s="10">
        <v>46084</v>
      </c>
      <c r="EI22" s="10">
        <f>IF(BH22="",WORKDAY(BG22,EI21),WORKDAY(BH22,EI21))</f>
        <v>46084</v>
      </c>
      <c r="EJ22" s="10">
        <v>45719</v>
      </c>
      <c r="EK22" s="27"/>
      <c r="EL22" s="27"/>
      <c r="EM22" s="27"/>
      <c r="EN22" s="27"/>
      <c r="EO22" s="28"/>
      <c r="EP22" s="28"/>
      <c r="EQ22" s="28"/>
      <c r="ER22" s="28"/>
      <c r="ES22" s="28"/>
      <c r="ET22" s="28"/>
      <c r="EU22" s="28"/>
      <c r="EV22" s="28"/>
      <c r="EW22" s="28"/>
      <c r="EX22" s="28"/>
      <c r="EY22" s="28"/>
      <c r="EZ22" s="10">
        <v>46290</v>
      </c>
      <c r="FA22" s="10">
        <f>IF(EG22="",WORKDAY(EF22,FA21),WORKDAY(EG22,FA21))</f>
        <v>46290</v>
      </c>
      <c r="FB22" s="10">
        <f>WORKDAY(EG22,FB21)</f>
        <v>46283</v>
      </c>
      <c r="FC22" s="28"/>
      <c r="FD22" s="28"/>
      <c r="FE22" s="28"/>
      <c r="FF22" s="28"/>
      <c r="FG22" s="28"/>
      <c r="FH22" s="28"/>
      <c r="FI22" s="10">
        <v>46311</v>
      </c>
      <c r="FJ22" s="10">
        <f>IF(FB22="",WORKDAY(FA22,FJ21),WORKDAY(FB22,FJ21))</f>
        <v>46304</v>
      </c>
      <c r="FK22" s="10"/>
      <c r="FL22" s="10">
        <v>46311</v>
      </c>
      <c r="FM22" s="10">
        <f>IF(FK22="",WORKDAY(FJ22,FM21),WORKDAY(FK22,FM21))</f>
        <v>46304</v>
      </c>
      <c r="FN22" s="10"/>
      <c r="FO22" s="10">
        <v>46367</v>
      </c>
      <c r="FP22" s="10">
        <v>46367</v>
      </c>
      <c r="FQ22" s="10"/>
      <c r="FR22" s="77" t="str">
        <f>IF(NETWORKDAYS(FJ22,FO22)&gt;=30,"On-Track",IF(AND(NETWORKDAYS(FJ22,FO22)&lt;30,FJ22&lt;=FO22),"At Risk","Missed TCD"))</f>
        <v>On-Track</v>
      </c>
      <c r="FS22" s="110" t="s">
        <v>480</v>
      </c>
      <c r="FT22" s="57">
        <f>NETWORKDAYS(CP22,FI22)</f>
        <v>181</v>
      </c>
      <c r="FU22" s="57">
        <f>NETWORKDAYS(CQ22,FJ22)</f>
        <v>176</v>
      </c>
      <c r="FV22" s="57">
        <f>IF(BH22="",NETWORKDAYS(BG22,FJ22),IF(FK22="",NETWORKDAYS(BH22,FJ22),NETWORKDAYS(BH22,FK22)))</f>
        <v>189</v>
      </c>
      <c r="FW22" s="58" t="s">
        <v>467</v>
      </c>
    </row>
    <row r="23" spans="1:179" hidden="1" outlineLevel="1" x14ac:dyDescent="0.35">
      <c r="A23" s="23"/>
      <c r="B23" s="23">
        <v>107141</v>
      </c>
      <c r="C23" s="24" t="s">
        <v>487</v>
      </c>
      <c r="D23" s="95"/>
      <c r="E23" s="24"/>
      <c r="F23" s="25" t="s">
        <v>463</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5</v>
      </c>
      <c r="AV23" s="27"/>
      <c r="AW23" s="4">
        <v>10</v>
      </c>
      <c r="AX23" s="4">
        <v>10</v>
      </c>
      <c r="AY23" s="27"/>
      <c r="AZ23" s="4">
        <v>30</v>
      </c>
      <c r="BA23" s="4">
        <v>30</v>
      </c>
      <c r="BB23" s="27"/>
      <c r="BC23" s="4">
        <v>5</v>
      </c>
      <c r="BD23" s="4">
        <v>5</v>
      </c>
      <c r="BE23" s="27"/>
      <c r="BF23" s="4">
        <v>5</v>
      </c>
      <c r="BG23" s="4">
        <v>5</v>
      </c>
      <c r="BH23" s="27"/>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c r="CW23" s="5">
        <v>10</v>
      </c>
      <c r="CX23" s="5">
        <v>10</v>
      </c>
      <c r="CY23" s="27"/>
      <c r="CZ23" s="5">
        <v>0</v>
      </c>
      <c r="DA23" s="5">
        <v>0</v>
      </c>
      <c r="DB23" s="27"/>
      <c r="DC23" s="31"/>
      <c r="DD23" s="31"/>
      <c r="DE23" s="31"/>
      <c r="DF23" s="4">
        <v>20</v>
      </c>
      <c r="DG23" s="4">
        <v>20</v>
      </c>
      <c r="DH23" s="27"/>
      <c r="DI23" s="89">
        <v>1</v>
      </c>
      <c r="DJ23" s="4">
        <v>20</v>
      </c>
      <c r="DK23" s="4">
        <v>20</v>
      </c>
      <c r="DL23" s="27"/>
      <c r="DM23" s="27"/>
      <c r="DN23" s="27"/>
      <c r="DO23" s="27"/>
      <c r="DP23" s="27"/>
      <c r="DQ23" s="27"/>
      <c r="DR23" s="27"/>
      <c r="DS23" s="27"/>
      <c r="DT23" s="27"/>
      <c r="DU23" s="27"/>
      <c r="DV23" s="27"/>
      <c r="DW23" s="27"/>
      <c r="DX23" s="27"/>
      <c r="DY23" s="27"/>
      <c r="DZ23" s="27"/>
      <c r="EA23" s="27"/>
      <c r="EB23" s="27"/>
      <c r="EC23" s="27"/>
      <c r="ED23" s="27"/>
      <c r="EE23" s="4">
        <v>0</v>
      </c>
      <c r="EF23" s="4">
        <v>0</v>
      </c>
      <c r="EG23" s="27"/>
      <c r="EH23" s="4">
        <v>30</v>
      </c>
      <c r="EI23" s="4">
        <v>30</v>
      </c>
      <c r="EJ23" s="27">
        <v>45719</v>
      </c>
      <c r="EK23" s="27"/>
      <c r="EL23" s="27"/>
      <c r="EM23" s="27"/>
      <c r="EN23" s="27"/>
      <c r="EO23" s="27"/>
      <c r="EP23" s="27"/>
      <c r="EQ23" s="27"/>
      <c r="ER23" s="27"/>
      <c r="ES23" s="27"/>
      <c r="ET23" s="27"/>
      <c r="EU23" s="27"/>
      <c r="EV23" s="27"/>
      <c r="EW23" s="27"/>
      <c r="EX23" s="27"/>
      <c r="EY23" s="27"/>
      <c r="EZ23" s="4">
        <v>5</v>
      </c>
      <c r="FA23" s="4">
        <v>5</v>
      </c>
      <c r="FB23" s="27"/>
      <c r="FC23" s="27"/>
      <c r="FD23" s="27"/>
      <c r="FE23" s="27"/>
      <c r="FF23" s="27"/>
      <c r="FG23" s="27"/>
      <c r="FH23" s="27"/>
      <c r="FI23" s="4">
        <v>15</v>
      </c>
      <c r="FJ23" s="4">
        <v>15</v>
      </c>
      <c r="FK23" s="27"/>
      <c r="FL23" s="4">
        <v>0</v>
      </c>
      <c r="FM23" s="4">
        <v>0</v>
      </c>
      <c r="FN23" s="27"/>
      <c r="FO23" s="4">
        <v>40</v>
      </c>
      <c r="FP23" s="4">
        <v>40</v>
      </c>
      <c r="FQ23" s="27"/>
      <c r="FR23" s="27"/>
      <c r="FS23" s="109"/>
      <c r="FT23" s="54">
        <f>NETWORKDAYS($I24,FO24)</f>
        <v>396</v>
      </c>
      <c r="FU23" s="54">
        <f>NETWORKDAYS($I24,FP24)</f>
        <v>396</v>
      </c>
      <c r="FV23" s="54">
        <f>IF(FQ24="",NETWORKDAYS($I24,FP24),NETWORKDAYS($I24,FQ24))</f>
        <v>396</v>
      </c>
      <c r="FW23" s="55" t="s">
        <v>464</v>
      </c>
    </row>
    <row r="24" spans="1:179" collapsed="1" x14ac:dyDescent="0.35">
      <c r="A24" s="23"/>
      <c r="B24" s="23">
        <v>107141</v>
      </c>
      <c r="C24" s="24" t="s">
        <v>487</v>
      </c>
      <c r="D24" s="65"/>
      <c r="E24" s="23" t="str">
        <f>IF(D24="","Unknown",IF(D24&lt;=FM24+90,"Red",IF(AND(D24&gt;FM24+90,D24&lt;=FM24+180),"Yellow",IF(AND(D24&gt;FM24+180,D24&lt;=FM24+690),"Green","Covered"))))</f>
        <v>Unknown</v>
      </c>
      <c r="F24" s="25" t="s">
        <v>466</v>
      </c>
      <c r="G24" s="26"/>
      <c r="H24" s="26" t="str">
        <f>IF(CR24="","Pre-Execution","Execution")</f>
        <v>Execution</v>
      </c>
      <c r="I24" s="13">
        <v>45814</v>
      </c>
      <c r="J24" s="28"/>
      <c r="K24" s="28"/>
      <c r="L24" s="28"/>
      <c r="M24" s="10">
        <v>45853</v>
      </c>
      <c r="N24" s="10">
        <f>WORKDAY(I24,N23)</f>
        <v>45853</v>
      </c>
      <c r="O24" s="10">
        <f>M24</f>
        <v>45853</v>
      </c>
      <c r="P24" s="10">
        <v>45853</v>
      </c>
      <c r="Q24" s="10">
        <f>IF(O24="",WORKDAY(N24,Q23),WORKDAY(O24,Q23))</f>
        <v>45853</v>
      </c>
      <c r="R24" s="56">
        <f>P24</f>
        <v>45853</v>
      </c>
      <c r="S24" s="28"/>
      <c r="T24" s="28"/>
      <c r="U24" s="28"/>
      <c r="V24" s="10">
        <v>45895</v>
      </c>
      <c r="W24" s="10">
        <f>IF(R24="",WORKDAY(Q24,W23),WORKDAY(R24,W23))</f>
        <v>45895</v>
      </c>
      <c r="X24" s="56"/>
      <c r="Y24" s="10">
        <v>45951</v>
      </c>
      <c r="Z24" s="10">
        <f>IF(R24="",WORKDAY(Q24,Z23),WORKDAY(R24,Z23))</f>
        <v>45951</v>
      </c>
      <c r="AA24" s="56"/>
      <c r="AB24" s="10">
        <v>45814</v>
      </c>
      <c r="AC24" s="10">
        <f>WORKDAY(I24,AC23)</f>
        <v>45814</v>
      </c>
      <c r="AD24" s="56"/>
      <c r="AE24" s="10">
        <v>45919</v>
      </c>
      <c r="AF24" s="10">
        <f>IF(AD24="",WORKDAY(AC24,AF23),WORKDAY(AD24,AF23))</f>
        <v>45919</v>
      </c>
      <c r="AG24" s="56"/>
      <c r="AH24" s="10">
        <v>45958</v>
      </c>
      <c r="AI24" s="10">
        <f>WORKDAY(IF(AA24="",IF(Z24&gt;AF24,Z24,AF24),IF(AA24&gt;AG24,AA24,AG24)),AI23)</f>
        <v>45958</v>
      </c>
      <c r="AJ24" s="10">
        <f>AH24</f>
        <v>45958</v>
      </c>
      <c r="AK24" s="10">
        <v>45986</v>
      </c>
      <c r="AL24" s="10">
        <f>IF(AJ24="",WORKDAY(AI24,AL23),WORKDAY(AJ24,AL23))</f>
        <v>45986</v>
      </c>
      <c r="AM24" s="56"/>
      <c r="AN24" s="10">
        <v>45986</v>
      </c>
      <c r="AO24" s="10">
        <f>IF(AM24="",WORKDAY(AL24,AO23),WORKDAY(AM24,AO23))</f>
        <v>45986</v>
      </c>
      <c r="AP24" s="56"/>
      <c r="AQ24" s="10">
        <v>46014</v>
      </c>
      <c r="AR24" s="10">
        <f>IF(AP24="",WORKDAY(AO24,AR23),WORKDAY(AP24,AR23))</f>
        <v>46014</v>
      </c>
      <c r="AS24" s="56">
        <f>AQ24</f>
        <v>46014</v>
      </c>
      <c r="AT24" s="10">
        <v>45993</v>
      </c>
      <c r="AU24" s="10">
        <v>45993</v>
      </c>
      <c r="AV24" s="56"/>
      <c r="AW24" s="10">
        <v>46028</v>
      </c>
      <c r="AX24" s="10">
        <f>IF(AS24="",IF(AR24&gt;AU24,WORKDAY(AR24,AX23),WORKDAY(AU24,AX23)),IF(AS24&gt;AV24,WORKDAY(AS24,AX23),WORKDAY(AV24,AX23)))</f>
        <v>46028</v>
      </c>
      <c r="AY24" s="56"/>
      <c r="AZ24" s="10">
        <v>46028</v>
      </c>
      <c r="BA24" s="10">
        <f>IF(AP24="",WORKDAY(AO24,BA23),WORKDAY(AP24,BA23))</f>
        <v>46028</v>
      </c>
      <c r="BB24" s="56"/>
      <c r="BC24" s="10">
        <v>46035</v>
      </c>
      <c r="BD24" s="10">
        <f>IF(AY24="",IF(AX24&gt;BA24,WORKDAY(AX24,BD23),WORKDAY(BA24,BD23)),IF(AY24&gt;BB24,WORKDAY(AY24,BD23),WORKDAY(BB24,BD23)))</f>
        <v>46035</v>
      </c>
      <c r="BE24" s="56">
        <f>BC24</f>
        <v>46035</v>
      </c>
      <c r="BF24" s="10">
        <v>46042</v>
      </c>
      <c r="BG24" s="10">
        <f>IF(BE24="",WORKDAY(BD24,BG23),WORKDAY(BE24,BG23))</f>
        <v>46042</v>
      </c>
      <c r="BH24" s="56">
        <f>BF24</f>
        <v>46042</v>
      </c>
      <c r="BI24" s="10">
        <v>46049</v>
      </c>
      <c r="BJ24" s="10">
        <f>IF(BH24="",WORKDAY(BG24,BJ23),WORKDAY(BH24,BJ23))</f>
        <v>46049</v>
      </c>
      <c r="BK24" s="56"/>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46052</v>
      </c>
      <c r="CN24" s="10">
        <f>IF(BK24="",WORKDAY(BJ24,CN23),WORKDAY(BK24,CN23))</f>
        <v>46052</v>
      </c>
      <c r="CO24" s="56">
        <f>CM24</f>
        <v>46052</v>
      </c>
      <c r="CP24" s="10">
        <v>46059</v>
      </c>
      <c r="CQ24" s="10">
        <f>IF(CO24="",WORKDAY(CN24,CQ23),WORKDAY(CO24,CQ23))</f>
        <v>46059</v>
      </c>
      <c r="CR24" s="56">
        <f>CP24</f>
        <v>46059</v>
      </c>
      <c r="CS24" s="77" t="s">
        <v>479</v>
      </c>
      <c r="CT24" s="10">
        <v>46227</v>
      </c>
      <c r="CU24" s="10">
        <f>IF(CR24="",WORKDAY(CQ24,CU23),WORKDAY(CR24,CU23))</f>
        <v>46227</v>
      </c>
      <c r="CV24" s="56">
        <f>CT24</f>
        <v>46227</v>
      </c>
      <c r="CW24" s="10">
        <v>46042</v>
      </c>
      <c r="CX24" s="10">
        <f>IF(BB24="",WORKDAY(BA24,CX23),WORKDAY(BB24,CX23))</f>
        <v>46042</v>
      </c>
      <c r="CY24" s="56"/>
      <c r="CZ24" s="10">
        <v>46042</v>
      </c>
      <c r="DA24" s="10">
        <f>IF(CY24="",WORKDAY(CX24,DA23),WORKDAY(CY24,DA23))</f>
        <v>46042</v>
      </c>
      <c r="DB24" s="56"/>
      <c r="DC24" s="45"/>
      <c r="DD24" s="45"/>
      <c r="DE24" s="45"/>
      <c r="DF24" s="10">
        <v>46255</v>
      </c>
      <c r="DG24" s="10">
        <f>IF($CV24="",IF($CU24&gt;$DA24,WORKDAY($CU24,DG23),WORKDAY($DA24,DG23)),IF($CV24&gt;$DB24,WORKDAY($CV24,DG23),WORKDAY($DB24,DG23)))</f>
        <v>46255</v>
      </c>
      <c r="DH24" s="56">
        <f>DF24</f>
        <v>46255</v>
      </c>
      <c r="DI24" s="46"/>
      <c r="DJ24" s="10">
        <v>46283</v>
      </c>
      <c r="DK24" s="10">
        <f>IF(DH24="",WORKDAY(DG24,DK23*$DI23),WORKDAY(DH24,DK23*$DI23))</f>
        <v>46283</v>
      </c>
      <c r="DL24" s="10">
        <f>WORKDAY(DH24,DL23*$DI23)</f>
        <v>46255</v>
      </c>
      <c r="DM24" s="46"/>
      <c r="DN24" s="46"/>
      <c r="DO24" s="46"/>
      <c r="DP24" s="46"/>
      <c r="DQ24" s="46"/>
      <c r="DR24" s="46"/>
      <c r="DS24" s="46"/>
      <c r="DT24" s="46"/>
      <c r="DU24" s="46"/>
      <c r="DV24" s="46"/>
      <c r="DW24" s="46"/>
      <c r="DX24" s="46"/>
      <c r="DY24" s="46"/>
      <c r="DZ24" s="46"/>
      <c r="EA24" s="46"/>
      <c r="EB24" s="46"/>
      <c r="EC24" s="46"/>
      <c r="ED24" s="46"/>
      <c r="EE24" s="10">
        <v>46283</v>
      </c>
      <c r="EF24" s="10">
        <f>IF(DL24="",WORKDAY(DK24,EF23),WORKDAY(DL24,EF23))</f>
        <v>46255</v>
      </c>
      <c r="EG24" s="56">
        <f>EE24</f>
        <v>46283</v>
      </c>
      <c r="EH24" s="10">
        <v>46084</v>
      </c>
      <c r="EI24" s="10">
        <f>IF(BH24="",WORKDAY(BG24,EI23),WORKDAY(BH24,EI23))</f>
        <v>46084</v>
      </c>
      <c r="EJ24" s="10">
        <v>45719</v>
      </c>
      <c r="EK24" s="27"/>
      <c r="EL24" s="27"/>
      <c r="EM24" s="27"/>
      <c r="EN24" s="27"/>
      <c r="EO24" s="28"/>
      <c r="EP24" s="28"/>
      <c r="EQ24" s="28"/>
      <c r="ER24" s="28"/>
      <c r="ES24" s="28"/>
      <c r="ET24" s="28"/>
      <c r="EU24" s="28"/>
      <c r="EV24" s="28"/>
      <c r="EW24" s="28"/>
      <c r="EX24" s="28"/>
      <c r="EY24" s="28"/>
      <c r="EZ24" s="10">
        <v>46290</v>
      </c>
      <c r="FA24" s="10">
        <f>IF(EG24="",WORKDAY(EF24,FA23),WORKDAY(EG24,FA23))</f>
        <v>46290</v>
      </c>
      <c r="FB24" s="10">
        <f>WORKDAY(EG24,FB23)</f>
        <v>46283</v>
      </c>
      <c r="FC24" s="28"/>
      <c r="FD24" s="28"/>
      <c r="FE24" s="28"/>
      <c r="FF24" s="28"/>
      <c r="FG24" s="28"/>
      <c r="FH24" s="28"/>
      <c r="FI24" s="10">
        <v>46311</v>
      </c>
      <c r="FJ24" s="10">
        <f>IF(FB24="",WORKDAY(FA24,FJ23),WORKDAY(FB24,FJ23))</f>
        <v>46304</v>
      </c>
      <c r="FK24" s="10"/>
      <c r="FL24" s="10">
        <v>46311</v>
      </c>
      <c r="FM24" s="10">
        <f>IF(FK24="",WORKDAY(FJ24,FM23),WORKDAY(FK24,FM23))</f>
        <v>46304</v>
      </c>
      <c r="FN24" s="10"/>
      <c r="FO24" s="10">
        <v>46367</v>
      </c>
      <c r="FP24" s="10">
        <v>46367</v>
      </c>
      <c r="FQ24" s="10"/>
      <c r="FR24" s="77" t="str">
        <f>IF(NETWORKDAYS(FJ24,FO24)&gt;=30,"On-Track",IF(AND(NETWORKDAYS(FJ24,FO24)&lt;30,FJ24&lt;=FO24),"At Risk","Missed TCD"))</f>
        <v>On-Track</v>
      </c>
      <c r="FS24" s="110" t="s">
        <v>480</v>
      </c>
      <c r="FT24" s="57">
        <f>NETWORKDAYS(CP24,FI24)</f>
        <v>181</v>
      </c>
      <c r="FU24" s="57">
        <f>NETWORKDAYS(CQ24,FJ24)</f>
        <v>176</v>
      </c>
      <c r="FV24" s="57">
        <f>IF(BH24="",NETWORKDAYS(BG24,FJ24),IF(FK24="",NETWORKDAYS(BH24,FJ24),NETWORKDAYS(BH24,FK24)))</f>
        <v>189</v>
      </c>
      <c r="FW24" s="58" t="s">
        <v>467</v>
      </c>
    </row>
  </sheetData>
  <autoFilter ref="A8:FW24" xr:uid="{F4E22136-C518-4089-A549-24027D094DBC}">
    <filterColumn colId="3">
      <colorFilter dxfId="146"/>
    </filterColumn>
  </autoFilter>
  <mergeCells count="70">
    <mergeCell ref="FI7:FK7"/>
    <mergeCell ref="FL7:FN7"/>
    <mergeCell ref="FO7:FQ7"/>
    <mergeCell ref="EQ7:ES7"/>
    <mergeCell ref="ET7:EV7"/>
    <mergeCell ref="EW7:EY7"/>
    <mergeCell ref="EZ7:FB7"/>
    <mergeCell ref="FC7:FE7"/>
    <mergeCell ref="FF7:FH7"/>
    <mergeCell ref="EN7:EP7"/>
    <mergeCell ref="DC7:DE7"/>
    <mergeCell ref="DF7:DH7"/>
    <mergeCell ref="DI7:DL7"/>
    <mergeCell ref="DM7:DO7"/>
    <mergeCell ref="DP7:DR7"/>
    <mergeCell ref="DS7:DV7"/>
    <mergeCell ref="DW7:DZ7"/>
    <mergeCell ref="EA7:ED7"/>
    <mergeCell ref="EE7:EG7"/>
    <mergeCell ref="EH7:EJ7"/>
    <mergeCell ref="EK7:EM7"/>
    <mergeCell ref="BL7:BN7"/>
    <mergeCell ref="CZ7:DB7"/>
    <mergeCell ref="BR7:BT7"/>
    <mergeCell ref="BU7:BW7"/>
    <mergeCell ref="BX7:BZ7"/>
    <mergeCell ref="CA7:CC7"/>
    <mergeCell ref="CD7:CF7"/>
    <mergeCell ref="CG7:CI7"/>
    <mergeCell ref="CJ7:CL7"/>
    <mergeCell ref="CM7:CO7"/>
    <mergeCell ref="CP7:CS7"/>
    <mergeCell ref="CT7:CV7"/>
    <mergeCell ref="CW7:CY7"/>
    <mergeCell ref="AW7:AY7"/>
    <mergeCell ref="AZ7:BB7"/>
    <mergeCell ref="BC7:BE7"/>
    <mergeCell ref="BF7:BH7"/>
    <mergeCell ref="BI7:BK7"/>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J4:BE4"/>
    <mergeCell ref="BF4:CL4"/>
    <mergeCell ref="CM4:EY4"/>
    <mergeCell ref="EZ4:FR4"/>
    <mergeCell ref="I5:BH6"/>
    <mergeCell ref="BI5:FK6"/>
    <mergeCell ref="FL5:FR6"/>
    <mergeCell ref="G1:G2"/>
    <mergeCell ref="H1:H2"/>
    <mergeCell ref="I1:CU2"/>
    <mergeCell ref="J3:AA3"/>
    <mergeCell ref="AE3:AG3"/>
    <mergeCell ref="AH3:AP3"/>
    <mergeCell ref="AQ3:BA3"/>
    <mergeCell ref="BC3:BH3"/>
  </mergeCells>
  <conditionalFormatting sqref="L10 U10 X10 AA10 AG10 AM10 AP10 AS10 AV10 AY10 BB10 BE10 BH10 BK10 BN10 BQ10 BT10 BW10 BZ10 CC10 CF10 CI10 CL10 CO10 CV10 CY10 DB10 DE10 DH10 DO10 DZ10:EA10 ED10 EM10 EP10 ES10 EV10 EY10 FE10 FH10 R10 EG10 DR10 DV10 I10 AD10 CR10">
    <cfRule type="notContainsBlanks" dxfId="145" priority="112">
      <formula>LEN(TRIM(I10))&gt;0</formula>
    </cfRule>
  </conditionalFormatting>
  <conditionalFormatting sqref="E1:E1048576">
    <cfRule type="cellIs" dxfId="144" priority="107" operator="equal">
      <formula>"Red"</formula>
    </cfRule>
    <cfRule type="cellIs" dxfId="143" priority="108" operator="equal">
      <formula>"Unknown"</formula>
    </cfRule>
    <cfRule type="cellIs" dxfId="142" priority="109" operator="equal">
      <formula>"Covered"</formula>
    </cfRule>
    <cfRule type="cellIs" dxfId="141" priority="110" operator="equal">
      <formula>"Green"</formula>
    </cfRule>
    <cfRule type="cellIs" dxfId="140" priority="111" operator="equal">
      <formula>"Yellow"</formula>
    </cfRule>
  </conditionalFormatting>
  <conditionalFormatting sqref="FR10:FS10">
    <cfRule type="cellIs" dxfId="139" priority="104" operator="equal">
      <formula>"Requires Re-Baseline"</formula>
    </cfRule>
    <cfRule type="cellIs" dxfId="138" priority="105" operator="equal">
      <formula>"On-Track"</formula>
    </cfRule>
    <cfRule type="cellIs" dxfId="137" priority="106" operator="equal">
      <formula>"At Risk"</formula>
    </cfRule>
  </conditionalFormatting>
  <conditionalFormatting sqref="CS10">
    <cfRule type="cellIs" dxfId="136" priority="103" operator="equal">
      <formula>"Execution schedule has been re-baselined w/ FAIR PO Ack ACD. Validate your durations before publishing"</formula>
    </cfRule>
  </conditionalFormatting>
  <conditionalFormatting sqref="L10 U10 X10 AA10 AG10 AM10 AP10 AS10 AV10 AY10 BB10 BE10 BH10 BK10 BN10 BQ10 BT10 BW10 BZ10 CC10 CF10 CI10 CL10 CO10 CV10 CY10 DB10 DE10 DH10 DO10 DZ10:EA10 ED10 EM10 EP10 ES10 EV10 EY10 FE10 FH10 R10 EG10 DR10 DV10 I10 AD10 CR10">
    <cfRule type="notContainsBlanks" dxfId="135" priority="102">
      <formula>LEN(TRIM(I10))&gt;0</formula>
    </cfRule>
  </conditionalFormatting>
  <conditionalFormatting sqref="E9:E10">
    <cfRule type="cellIs" dxfId="134" priority="97" operator="equal">
      <formula>"Red"</formula>
    </cfRule>
    <cfRule type="cellIs" dxfId="133" priority="98" operator="equal">
      <formula>"Unknown"</formula>
    </cfRule>
    <cfRule type="cellIs" dxfId="132" priority="99" operator="equal">
      <formula>"Covered"</formula>
    </cfRule>
    <cfRule type="cellIs" dxfId="131" priority="100" operator="equal">
      <formula>"Green"</formula>
    </cfRule>
    <cfRule type="cellIs" dxfId="130" priority="101" operator="equal">
      <formula>"Yellow"</formula>
    </cfRule>
  </conditionalFormatting>
  <conditionalFormatting sqref="FR10:FS10">
    <cfRule type="cellIs" dxfId="129" priority="94" operator="equal">
      <formula>"Missed TCD"</formula>
    </cfRule>
    <cfRule type="cellIs" dxfId="128" priority="95" operator="equal">
      <formula>"On-Track"</formula>
    </cfRule>
    <cfRule type="cellIs" dxfId="127" priority="96" operator="equal">
      <formula>"At Risk"</formula>
    </cfRule>
  </conditionalFormatting>
  <conditionalFormatting sqref="CS10">
    <cfRule type="cellIs" dxfId="126" priority="93" operator="equal">
      <formula>"Execution schedule has been re-baselined w/ FAIR PO Ack ACD. Validate your durations before publishing"</formula>
    </cfRule>
  </conditionalFormatting>
  <conditionalFormatting sqref="L12 U12 X12 AA12 AG12 AM12 AP12 AV12 AY12 BB12 BK12 BN12 BQ12 BT12 BW12 BZ12 CC12 CF12 CI12 CL12 CY12 DB12 DE12 DO12 DZ12:EA12 ED12 EM12 EP12 ES12 EV12 EY12 FE12 FH12 DR12 DV12 AD12">
    <cfRule type="notContainsBlanks" dxfId="125" priority="92">
      <formula>LEN(TRIM(L12))&gt;0</formula>
    </cfRule>
  </conditionalFormatting>
  <conditionalFormatting sqref="E11:E12">
    <cfRule type="cellIs" dxfId="124" priority="87" operator="equal">
      <formula>"Red"</formula>
    </cfRule>
    <cfRule type="cellIs" dxfId="123" priority="88" operator="equal">
      <formula>"Unknown"</formula>
    </cfRule>
    <cfRule type="cellIs" dxfId="122" priority="89" operator="equal">
      <formula>"Covered"</formula>
    </cfRule>
    <cfRule type="cellIs" dxfId="121" priority="90" operator="equal">
      <formula>"Green"</formula>
    </cfRule>
    <cfRule type="cellIs" dxfId="120" priority="91" operator="equal">
      <formula>"Yellow"</formula>
    </cfRule>
  </conditionalFormatting>
  <conditionalFormatting sqref="FR12:FS12">
    <cfRule type="cellIs" dxfId="119" priority="84" operator="equal">
      <formula>"Missed TCD"</formula>
    </cfRule>
    <cfRule type="cellIs" dxfId="118" priority="85" operator="equal">
      <formula>"On-Track"</formula>
    </cfRule>
    <cfRule type="cellIs" dxfId="117" priority="86" operator="equal">
      <formula>"At Risk"</formula>
    </cfRule>
  </conditionalFormatting>
  <conditionalFormatting sqref="CS12">
    <cfRule type="cellIs" dxfId="116" priority="83" operator="equal">
      <formula>"Execution schedule has been re-baselined w/ FAIR PO Ack ACD. Validate your durations before publishing"</formula>
    </cfRule>
  </conditionalFormatting>
  <conditionalFormatting sqref="L14 U14 X14 AA14 AG14 AM14 AP14 AV14 AY14 BB14 BK14 BN14 BQ14 BT14 BW14 BZ14 CC14 CF14 CI14 CL14 CY14 DB14 DE14 DO14 DZ14:EA14 ED14 EM14 EP14 ES14 EV14 EY14 FE14 FH14 DR14 DV14 AD14">
    <cfRule type="notContainsBlanks" dxfId="115" priority="82">
      <formula>LEN(TRIM(L14))&gt;0</formula>
    </cfRule>
  </conditionalFormatting>
  <conditionalFormatting sqref="E13:E14">
    <cfRule type="cellIs" dxfId="114" priority="77" operator="equal">
      <formula>"Red"</formula>
    </cfRule>
    <cfRule type="cellIs" dxfId="113" priority="78" operator="equal">
      <formula>"Unknown"</formula>
    </cfRule>
    <cfRule type="cellIs" dxfId="112" priority="79" operator="equal">
      <formula>"Covered"</formula>
    </cfRule>
    <cfRule type="cellIs" dxfId="111" priority="80" operator="equal">
      <formula>"Green"</formula>
    </cfRule>
    <cfRule type="cellIs" dxfId="110" priority="81" operator="equal">
      <formula>"Yellow"</formula>
    </cfRule>
  </conditionalFormatting>
  <conditionalFormatting sqref="FR14:FS14">
    <cfRule type="cellIs" dxfId="109" priority="74" operator="equal">
      <formula>"Missed TCD"</formula>
    </cfRule>
    <cfRule type="cellIs" dxfId="108" priority="75" operator="equal">
      <formula>"On-Track"</formula>
    </cfRule>
    <cfRule type="cellIs" dxfId="107" priority="76" operator="equal">
      <formula>"At Risk"</formula>
    </cfRule>
  </conditionalFormatting>
  <conditionalFormatting sqref="CS14">
    <cfRule type="cellIs" dxfId="106" priority="73" operator="equal">
      <formula>"Execution schedule has been re-baselined w/ FAIR PO Ack ACD. Validate your durations before publishing"</formula>
    </cfRule>
  </conditionalFormatting>
  <conditionalFormatting sqref="L16 U16 X16 AA16 AG16 AM16 AP16 AV16 AY16 BB16 BK16 BN16 BQ16 BT16 BW16 BZ16 CC16 CF16 CI16 CL16 CY16 DB16 DE16 DO16 DZ16:EA16 ED16 EM16 EP16 ES16 EV16 EY16 FE16 FH16 DR16 DV16 AD16">
    <cfRule type="notContainsBlanks" dxfId="105" priority="72">
      <formula>LEN(TRIM(L16))&gt;0</formula>
    </cfRule>
  </conditionalFormatting>
  <conditionalFormatting sqref="E15:E16">
    <cfRule type="cellIs" dxfId="104" priority="67" operator="equal">
      <formula>"Red"</formula>
    </cfRule>
    <cfRule type="cellIs" dxfId="103" priority="68" operator="equal">
      <formula>"Unknown"</formula>
    </cfRule>
    <cfRule type="cellIs" dxfId="102" priority="69" operator="equal">
      <formula>"Covered"</formula>
    </cfRule>
    <cfRule type="cellIs" dxfId="101" priority="70" operator="equal">
      <formula>"Green"</formula>
    </cfRule>
    <cfRule type="cellIs" dxfId="100" priority="71" operator="equal">
      <formula>"Yellow"</formula>
    </cfRule>
  </conditionalFormatting>
  <conditionalFormatting sqref="FR16:FS16">
    <cfRule type="cellIs" dxfId="99" priority="64" operator="equal">
      <formula>"Missed TCD"</formula>
    </cfRule>
    <cfRule type="cellIs" dxfId="98" priority="65" operator="equal">
      <formula>"On-Track"</formula>
    </cfRule>
    <cfRule type="cellIs" dxfId="97" priority="66" operator="equal">
      <formula>"At Risk"</formula>
    </cfRule>
  </conditionalFormatting>
  <conditionalFormatting sqref="CS16">
    <cfRule type="cellIs" dxfId="96" priority="63" operator="equal">
      <formula>"Execution schedule has been re-baselined w/ FAIR PO Ack ACD. Validate your durations before publishing"</formula>
    </cfRule>
  </conditionalFormatting>
  <conditionalFormatting sqref="L18 U18 X18 AA18 AG18 AM18 AP18 AV18 AY18 BB18 BK18 BN18 BQ18 BT18 BW18 BZ18 CC18 CF18 CI18 CL18 CY18 DB18 DE18 DO18 DZ18:EA18 ED18 EM18 EP18 ES18 EV18 EY18 FE18 FH18 DR18 DV18 AD18">
    <cfRule type="notContainsBlanks" dxfId="95" priority="62">
      <formula>LEN(TRIM(L18))&gt;0</formula>
    </cfRule>
  </conditionalFormatting>
  <conditionalFormatting sqref="E17:E18">
    <cfRule type="cellIs" dxfId="94" priority="57" operator="equal">
      <formula>"Red"</formula>
    </cfRule>
    <cfRule type="cellIs" dxfId="93" priority="58" operator="equal">
      <formula>"Unknown"</formula>
    </cfRule>
    <cfRule type="cellIs" dxfId="92" priority="59" operator="equal">
      <formula>"Covered"</formula>
    </cfRule>
    <cfRule type="cellIs" dxfId="91" priority="60" operator="equal">
      <formula>"Green"</formula>
    </cfRule>
    <cfRule type="cellIs" dxfId="90" priority="61" operator="equal">
      <formula>"Yellow"</formula>
    </cfRule>
  </conditionalFormatting>
  <conditionalFormatting sqref="FR18:FS18">
    <cfRule type="cellIs" dxfId="89" priority="54" operator="equal">
      <formula>"Missed TCD"</formula>
    </cfRule>
    <cfRule type="cellIs" dxfId="88" priority="55" operator="equal">
      <formula>"On-Track"</formula>
    </cfRule>
    <cfRule type="cellIs" dxfId="87" priority="56" operator="equal">
      <formula>"At Risk"</formula>
    </cfRule>
  </conditionalFormatting>
  <conditionalFormatting sqref="CS18">
    <cfRule type="cellIs" dxfId="86" priority="53" operator="equal">
      <formula>"Execution schedule has been re-baselined w/ FAIR PO Ack ACD. Validate your durations before publishing"</formula>
    </cfRule>
  </conditionalFormatting>
  <conditionalFormatting sqref="L20 U20 X20 AA20 AG20 AM20 AP20 AV20 AY20 BB20 BK20 BN20 BQ20 BT20 BW20 BZ20 CC20 CF20 CI20 CL20 CY20 DB20 DE20 DO20 DZ20:EA20 ED20 EM20 EP20 ES20 EV20 EY20 FE20 FH20 DR20 DV20 AD20">
    <cfRule type="notContainsBlanks" dxfId="85" priority="52">
      <formula>LEN(TRIM(L20))&gt;0</formula>
    </cfRule>
  </conditionalFormatting>
  <conditionalFormatting sqref="E19:E20">
    <cfRule type="cellIs" dxfId="84" priority="47" operator="equal">
      <formula>"Red"</formula>
    </cfRule>
    <cfRule type="cellIs" dxfId="83" priority="48" operator="equal">
      <formula>"Unknown"</formula>
    </cfRule>
    <cfRule type="cellIs" dxfId="82" priority="49" operator="equal">
      <formula>"Covered"</formula>
    </cfRule>
    <cfRule type="cellIs" dxfId="81" priority="50" operator="equal">
      <formula>"Green"</formula>
    </cfRule>
    <cfRule type="cellIs" dxfId="80" priority="51" operator="equal">
      <formula>"Yellow"</formula>
    </cfRule>
  </conditionalFormatting>
  <conditionalFormatting sqref="FR20:FS20">
    <cfRule type="cellIs" dxfId="79" priority="44" operator="equal">
      <formula>"Missed TCD"</formula>
    </cfRule>
    <cfRule type="cellIs" dxfId="78" priority="45" operator="equal">
      <formula>"On-Track"</formula>
    </cfRule>
    <cfRule type="cellIs" dxfId="77" priority="46" operator="equal">
      <formula>"At Risk"</formula>
    </cfRule>
  </conditionalFormatting>
  <conditionalFormatting sqref="CS20">
    <cfRule type="cellIs" dxfId="76" priority="43" operator="equal">
      <formula>"Execution schedule has been re-baselined w/ FAIR PO Ack ACD. Validate your durations before publishing"</formula>
    </cfRule>
  </conditionalFormatting>
  <conditionalFormatting sqref="L22 U22 X22 AA22 AG22 AM22 AP22 AV22 AY22 BB22 BK22 BN22 BQ22 BT22 BW22 BZ22 CC22 CF22 CI22 CL22 CY22 DB22 DE22 DO22 DZ22:EA22 ED22 EM22 EP22 ES22 EV22 EY22 FE22 FH22 DR22 DV22 AD22">
    <cfRule type="notContainsBlanks" dxfId="75" priority="42">
      <formula>LEN(TRIM(L22))&gt;0</formula>
    </cfRule>
  </conditionalFormatting>
  <conditionalFormatting sqref="E21:E22">
    <cfRule type="cellIs" dxfId="74" priority="37" operator="equal">
      <formula>"Red"</formula>
    </cfRule>
    <cfRule type="cellIs" dxfId="73" priority="38" operator="equal">
      <formula>"Unknown"</formula>
    </cfRule>
    <cfRule type="cellIs" dxfId="72" priority="39" operator="equal">
      <formula>"Covered"</formula>
    </cfRule>
    <cfRule type="cellIs" dxfId="71" priority="40" operator="equal">
      <formula>"Green"</formula>
    </cfRule>
    <cfRule type="cellIs" dxfId="70" priority="41" operator="equal">
      <formula>"Yellow"</formula>
    </cfRule>
  </conditionalFormatting>
  <conditionalFormatting sqref="FR22:FS22">
    <cfRule type="cellIs" dxfId="69" priority="34" operator="equal">
      <formula>"Missed TCD"</formula>
    </cfRule>
    <cfRule type="cellIs" dxfId="68" priority="35" operator="equal">
      <formula>"On-Track"</formula>
    </cfRule>
    <cfRule type="cellIs" dxfId="67" priority="36" operator="equal">
      <formula>"At Risk"</formula>
    </cfRule>
  </conditionalFormatting>
  <conditionalFormatting sqref="CS22">
    <cfRule type="cellIs" dxfId="66" priority="33" operator="equal">
      <formula>"Execution schedule has been re-baselined w/ FAIR PO Ack ACD. Validate your durations before publishing"</formula>
    </cfRule>
  </conditionalFormatting>
  <conditionalFormatting sqref="L24 U24 X24 AA24 AG24 AM24 AP24 AV24 AY24 BB24 BK24 BN24 BQ24 BT24 BW24 BZ24 CC24 CF24 CI24 CL24 CY24 DB24 DE24 DO24 DZ24:EA24 ED24 EM24 EP24 ES24 EV24 EY24 FE24 FH24 DR24 DV24 AD24">
    <cfRule type="notContainsBlanks" dxfId="65" priority="32">
      <formula>LEN(TRIM(L24))&gt;0</formula>
    </cfRule>
  </conditionalFormatting>
  <conditionalFormatting sqref="E23:E24">
    <cfRule type="cellIs" dxfId="64" priority="27" operator="equal">
      <formula>"Red"</formula>
    </cfRule>
    <cfRule type="cellIs" dxfId="63" priority="28" operator="equal">
      <formula>"Unknown"</formula>
    </cfRule>
    <cfRule type="cellIs" dxfId="62" priority="29" operator="equal">
      <formula>"Covered"</formula>
    </cfRule>
    <cfRule type="cellIs" dxfId="61" priority="30" operator="equal">
      <formula>"Green"</formula>
    </cfRule>
    <cfRule type="cellIs" dxfId="60" priority="31" operator="equal">
      <formula>"Yellow"</formula>
    </cfRule>
  </conditionalFormatting>
  <conditionalFormatting sqref="FR24:FS24">
    <cfRule type="cellIs" dxfId="59" priority="24" operator="equal">
      <formula>"Missed TCD"</formula>
    </cfRule>
    <cfRule type="cellIs" dxfId="58" priority="25" operator="equal">
      <formula>"On-Track"</formula>
    </cfRule>
    <cfRule type="cellIs" dxfId="57" priority="26" operator="equal">
      <formula>"At Risk"</formula>
    </cfRule>
  </conditionalFormatting>
  <conditionalFormatting sqref="CS24">
    <cfRule type="cellIs" dxfId="56" priority="23" operator="equal">
      <formula>"Execution schedule has been re-baselined w/ FAIR PO Ack ACD. Validate your durations before publishing"</formula>
    </cfRule>
  </conditionalFormatting>
  <conditionalFormatting sqref="R24 R22 R20 R18 R16 R14 R12">
    <cfRule type="notContainsBlanks" dxfId="55" priority="20">
      <formula>LEN(TRIM(R12))&gt;0</formula>
    </cfRule>
  </conditionalFormatting>
  <conditionalFormatting sqref="R24 R22 R20 R18 R16 R14 R12">
    <cfRule type="notContainsBlanks" dxfId="54" priority="19">
      <formula>LEN(TRIM(R12))&gt;0</formula>
    </cfRule>
  </conditionalFormatting>
  <conditionalFormatting sqref="AS24 AS22 AS20 AS18 AS16 AS14 AS12">
    <cfRule type="notContainsBlanks" dxfId="53" priority="18">
      <formula>LEN(TRIM(AS12))&gt;0</formula>
    </cfRule>
  </conditionalFormatting>
  <conditionalFormatting sqref="AS24 AS22 AS20 AS18 AS16 AS14 AS12">
    <cfRule type="notContainsBlanks" dxfId="52" priority="17">
      <formula>LEN(TRIM(AS12))&gt;0</formula>
    </cfRule>
  </conditionalFormatting>
  <conditionalFormatting sqref="BE24 BE22 BE20 BE18 BE16 BE14 BE12">
    <cfRule type="notContainsBlanks" dxfId="51" priority="16">
      <formula>LEN(TRIM(BE12))&gt;0</formula>
    </cfRule>
  </conditionalFormatting>
  <conditionalFormatting sqref="BE24 BE22 BE20 BE18 BE16 BE14 BE12">
    <cfRule type="notContainsBlanks" dxfId="50" priority="15">
      <formula>LEN(TRIM(BE12))&gt;0</formula>
    </cfRule>
  </conditionalFormatting>
  <conditionalFormatting sqref="CO24 CO22 CO20 CO18 CO16 CO14 CO12">
    <cfRule type="notContainsBlanks" dxfId="49" priority="14">
      <formula>LEN(TRIM(CO12))&gt;0</formula>
    </cfRule>
  </conditionalFormatting>
  <conditionalFormatting sqref="CO24 CO22 CO20 CO18 CO16 CO14 CO12">
    <cfRule type="notContainsBlanks" dxfId="48" priority="13">
      <formula>LEN(TRIM(CO12))&gt;0</formula>
    </cfRule>
  </conditionalFormatting>
  <conditionalFormatting sqref="CR24 CR22 CR20 CR18 CR16 CR14 CR12">
    <cfRule type="notContainsBlanks" dxfId="47" priority="12">
      <formula>LEN(TRIM(CR12))&gt;0</formula>
    </cfRule>
  </conditionalFormatting>
  <conditionalFormatting sqref="CR24 CR22 CR20 CR18 CR16 CR14 CR12">
    <cfRule type="notContainsBlanks" dxfId="46" priority="11">
      <formula>LEN(TRIM(CR12))&gt;0</formula>
    </cfRule>
  </conditionalFormatting>
  <conditionalFormatting sqref="CV24 CV22 CV20 CV18 CV16 CV14 CV12">
    <cfRule type="notContainsBlanks" dxfId="45" priority="10">
      <formula>LEN(TRIM(CV12))&gt;0</formula>
    </cfRule>
  </conditionalFormatting>
  <conditionalFormatting sqref="CV24 CV22 CV20 CV18 CV16 CV14 CV12">
    <cfRule type="notContainsBlanks" dxfId="44" priority="9">
      <formula>LEN(TRIM(CV12))&gt;0</formula>
    </cfRule>
  </conditionalFormatting>
  <conditionalFormatting sqref="DH24 DH22 DH20 DH18 DH16 DH14 DH12">
    <cfRule type="notContainsBlanks" dxfId="43" priority="8">
      <formula>LEN(TRIM(DH12))&gt;0</formula>
    </cfRule>
  </conditionalFormatting>
  <conditionalFormatting sqref="DH24 DH22 DH20 DH18 DH16 DH14 DH12">
    <cfRule type="notContainsBlanks" dxfId="42" priority="7">
      <formula>LEN(TRIM(DH12))&gt;0</formula>
    </cfRule>
  </conditionalFormatting>
  <conditionalFormatting sqref="EG24 EG22 EG20 EG18 EG16 EG14 EG12">
    <cfRule type="notContainsBlanks" dxfId="41" priority="6">
      <formula>LEN(TRIM(EG12))&gt;0</formula>
    </cfRule>
  </conditionalFormatting>
  <conditionalFormatting sqref="EG24 EG22 EG20 EG18 EG16 EG14 EG12">
    <cfRule type="notContainsBlanks" dxfId="40" priority="5">
      <formula>LEN(TRIM(EG12))&gt;0</formula>
    </cfRule>
  </conditionalFormatting>
  <conditionalFormatting sqref="BH24 BH22 BH20 BH18 BH16 BH14 BH12">
    <cfRule type="notContainsBlanks" dxfId="39" priority="4">
      <formula>LEN(TRIM(BH12))&gt;0</formula>
    </cfRule>
  </conditionalFormatting>
  <conditionalFormatting sqref="BH24 BH22 BH20 BH18 BH16 BH14 BH12">
    <cfRule type="notContainsBlanks" dxfId="38" priority="3">
      <formula>LEN(TRIM(BH12))&gt;0</formula>
    </cfRule>
  </conditionalFormatting>
  <conditionalFormatting sqref="I24 I22 I20 I18 I16 I14 I12">
    <cfRule type="notContainsBlanks" dxfId="37" priority="2">
      <formula>LEN(TRIM(I12))&gt;0</formula>
    </cfRule>
  </conditionalFormatting>
  <conditionalFormatting sqref="I24 I22 I20 I18 I16 I14 I12">
    <cfRule type="notContainsBlanks" dxfId="36" priority="1">
      <formula>LEN(TRIM(I12))&gt;0</formula>
    </cfRule>
  </conditionalFormatting>
  <dataValidations count="4">
    <dataValidation operator="greaterThan" allowBlank="1" showInputMessage="1" showErrorMessage="1" sqref="FR1:FS2 CS9:CS24 FR7: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BI7:CP1048576 BG5:BH1048576 CQ8:CR24 FC7:FC1048576 CW7:CZ1048576 AE1:AZ1048576 I1:AB1048576 DM7:DP1048576 DA8:DE1048576 FD8:FH1048576 DF7:DH1048576 CT7:CT1048576 CU8:CV1048576 AC8:AD1048576 FM8:FN1048576 DI8:DL1048576 BF1:BF1048576 EE7:EM1048576 DQ8:ED1048576 FI7:FL1048576 EN8:FB1048576 D9:D1048576 CQ25:CS1048576 BA8:BE1048576 FO7:FQ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4.5" x14ac:dyDescent="0.35"/>
  <cols>
    <col min="3" max="3" width="10.26953125" bestFit="1" customWidth="1"/>
  </cols>
  <sheetData>
    <row r="1" spans="1:3" x14ac:dyDescent="0.35">
      <c r="A1" s="14" t="s">
        <v>488</v>
      </c>
      <c r="B1" s="15" t="s">
        <v>489</v>
      </c>
      <c r="C1" s="15" t="s">
        <v>490</v>
      </c>
    </row>
    <row r="2" spans="1:3" x14ac:dyDescent="0.35">
      <c r="A2" t="s">
        <v>491</v>
      </c>
      <c r="C2" s="9">
        <v>45758</v>
      </c>
    </row>
    <row r="3" spans="1:3" x14ac:dyDescent="0.35">
      <c r="A3" t="s">
        <v>492</v>
      </c>
      <c r="B3">
        <v>5</v>
      </c>
      <c r="C3" s="9">
        <f>WORKDAY(C2,B3)</f>
        <v>45765</v>
      </c>
    </row>
    <row r="4" spans="1:3" x14ac:dyDescent="0.35">
      <c r="A4" t="s">
        <v>493</v>
      </c>
      <c r="B4">
        <v>10</v>
      </c>
      <c r="C4" s="9">
        <f t="shared" ref="C4:C13" si="0">WORKDAY(C3,B4)</f>
        <v>45779</v>
      </c>
    </row>
    <row r="5" spans="1:3" x14ac:dyDescent="0.35">
      <c r="A5" t="s">
        <v>494</v>
      </c>
      <c r="B5">
        <v>15</v>
      </c>
      <c r="C5" s="9">
        <f t="shared" si="0"/>
        <v>45800</v>
      </c>
    </row>
    <row r="6" spans="1:3" x14ac:dyDescent="0.35">
      <c r="A6" t="s">
        <v>495</v>
      </c>
      <c r="B6">
        <v>5</v>
      </c>
      <c r="C6" s="9">
        <f t="shared" si="0"/>
        <v>45807</v>
      </c>
    </row>
    <row r="7" spans="1:3" x14ac:dyDescent="0.35">
      <c r="A7" t="s">
        <v>496</v>
      </c>
      <c r="B7">
        <v>45</v>
      </c>
      <c r="C7" s="9">
        <f t="shared" si="0"/>
        <v>45870</v>
      </c>
    </row>
    <row r="8" spans="1:3" x14ac:dyDescent="0.35">
      <c r="A8" t="s">
        <v>497</v>
      </c>
      <c r="B8">
        <v>10</v>
      </c>
      <c r="C8" s="9">
        <f t="shared" si="0"/>
        <v>45884</v>
      </c>
    </row>
    <row r="9" spans="1:3" x14ac:dyDescent="0.35">
      <c r="A9" t="s">
        <v>498</v>
      </c>
      <c r="B9">
        <v>50</v>
      </c>
      <c r="C9" s="9">
        <f t="shared" si="0"/>
        <v>45954</v>
      </c>
    </row>
    <row r="10" spans="1:3" x14ac:dyDescent="0.35">
      <c r="A10" t="s">
        <v>499</v>
      </c>
      <c r="B10">
        <v>10</v>
      </c>
      <c r="C10" s="9">
        <f t="shared" si="0"/>
        <v>45968</v>
      </c>
    </row>
    <row r="11" spans="1:3" x14ac:dyDescent="0.35">
      <c r="A11" t="s">
        <v>500</v>
      </c>
      <c r="B11">
        <v>5</v>
      </c>
      <c r="C11" s="9">
        <f t="shared" si="0"/>
        <v>45975</v>
      </c>
    </row>
    <row r="12" spans="1:3" x14ac:dyDescent="0.35">
      <c r="A12" t="s">
        <v>501</v>
      </c>
      <c r="B12">
        <v>85</v>
      </c>
      <c r="C12" s="9">
        <f t="shared" si="0"/>
        <v>46094</v>
      </c>
    </row>
    <row r="13" spans="1:3" x14ac:dyDescent="0.35">
      <c r="A13" t="s">
        <v>502</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53671D-8E32-4494-911E-4892D952E0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04276B-22BA-48E5-8D2C-E35445855F0E}">
  <ds:schemaRefs>
    <ds:schemaRef ds:uri="http://schemas.microsoft.com/office/2006/metadata/properties"/>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d42d171d-8134-49e3-9261-5540650d98f6"/>
    <ds:schemaRef ds:uri="http://www.w3.org/XML/1998/namespace"/>
  </ds:schemaRefs>
</ds:datastoreItem>
</file>

<file path=customXml/itemProps3.xml><?xml version="1.0" encoding="utf-8"?>
<ds:datastoreItem xmlns:ds="http://schemas.openxmlformats.org/officeDocument/2006/customXml" ds:itemID="{E4DC704B-3B43-4446-949D-CF537C83CBE4}">
  <ds:schemaRefs>
    <ds:schemaRef ds:uri="http://schemas.microsoft.com/sharepoint/v3/contenttype/forms"/>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2026-04-30T20:33:03Z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