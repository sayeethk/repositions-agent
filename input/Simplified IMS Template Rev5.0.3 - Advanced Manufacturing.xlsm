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honaero.sharepoint.com/teams/DL_SR_ToW_India/Shared Documents/IMS/ELE/Sayee/"/>
    </mc:Choice>
  </mc:AlternateContent>
  <xr:revisionPtr revIDLastSave="452" documentId="13_ncr:1_{CE152B62-B260-4332-9BA4-B176FF67B67F}" xr6:coauthVersionLast="47" xr6:coauthVersionMax="47" xr10:uidLastSave="{48D0BE63-516E-420B-AF3D-DDFECB61567E}"/>
  <bookViews>
    <workbookView xWindow="-110" yWindow="-110" windowWidth="19420" windowHeight="10300" tabRatio="587" firstSheet="2" activeTab="2" xr2:uid="{D3CD9099-DA27-4BA4-AFE1-4D3091A45DA0}"/>
  </bookViews>
  <sheets>
    <sheet name="Instructions" sheetId="7" r:id="rId1"/>
    <sheet name="SIMS_Template" sheetId="19" r:id="rId2"/>
    <sheet name="SIMS" sheetId="26" r:id="rId3"/>
    <sheet name="Inchstone Example" sheetId="17" r:id="rId4"/>
  </sheets>
  <definedNames>
    <definedName name="_xlnm._FilterDatabase" localSheetId="0" hidden="1">Instructions!$A$26:$B$26</definedName>
    <definedName name="_xlnm._FilterDatabase" localSheetId="2" hidden="1">SIMS!$A$8:$FW$28</definedName>
    <definedName name="_xlnm._FilterDatabase" localSheetId="1" hidden="1">SIMS_Template!$A$8:$FW$19</definedName>
    <definedName name="_xleta.BASE" hidden="1" xlm="1">#NAME?</definedName>
    <definedName name="_xleta.DAYS" hidden="1" xlm="1">#NAME?</definedName>
    <definedName name="_xleta.N" hidden="1" xlm="1">#NAME?</definedName>
    <definedName name="_xleta.NETWORKDAYS" hidden="1" xlm="1">#NAME?</definedName>
    <definedName name="_xleta.T" hidden="1" xlm="1">#NAME?</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28" i="26" l="1"/>
  <c r="BE26" i="26"/>
  <c r="BE24" i="26"/>
  <c r="BE22" i="26"/>
  <c r="BE20" i="26"/>
  <c r="BE18" i="26"/>
  <c r="BE16" i="26"/>
  <c r="BE14" i="26"/>
  <c r="BE12" i="26"/>
  <c r="BE10" i="26"/>
  <c r="BK28" i="26"/>
  <c r="BK26" i="26"/>
  <c r="BK24" i="26"/>
  <c r="BK22" i="26"/>
  <c r="BK20" i="26"/>
  <c r="BK18" i="26"/>
  <c r="BK16" i="26"/>
  <c r="BK14" i="26"/>
  <c r="BK12" i="26"/>
  <c r="BK10" i="26"/>
  <c r="BH28" i="26"/>
  <c r="BH26" i="26"/>
  <c r="BH24" i="26"/>
  <c r="BH22" i="26"/>
  <c r="BH20" i="26"/>
  <c r="BH18" i="26"/>
  <c r="BH16" i="26"/>
  <c r="BH14" i="26"/>
  <c r="BH12" i="26"/>
  <c r="BH10" i="26"/>
  <c r="DB28" i="26"/>
  <c r="DB26" i="26"/>
  <c r="DB24" i="26"/>
  <c r="DB22" i="26"/>
  <c r="DB20" i="26"/>
  <c r="DB18" i="26"/>
  <c r="DB16" i="26"/>
  <c r="DB14" i="26"/>
  <c r="DB12" i="26"/>
  <c r="DB10" i="26"/>
  <c r="CY28" i="26"/>
  <c r="CY26" i="26"/>
  <c r="CY24" i="26"/>
  <c r="CY22" i="26"/>
  <c r="CY20" i="26"/>
  <c r="CY18" i="26"/>
  <c r="CY16" i="26"/>
  <c r="CY14" i="26"/>
  <c r="CY12" i="26"/>
  <c r="CY10" i="26"/>
  <c r="R26" i="26"/>
  <c r="R16" i="26"/>
  <c r="O28" i="26"/>
  <c r="O20" i="26"/>
  <c r="O12" i="26"/>
  <c r="AC28" i="26"/>
  <c r="AF28" i="26" s="1"/>
  <c r="N28" i="26"/>
  <c r="R28" i="26"/>
  <c r="E28" i="26"/>
  <c r="AC26" i="26"/>
  <c r="AF26" i="26" s="1"/>
  <c r="N26" i="26"/>
  <c r="E26" i="26"/>
  <c r="AC24" i="26"/>
  <c r="AF24" i="26" s="1"/>
  <c r="N24" i="26"/>
  <c r="R24" i="26"/>
  <c r="E24" i="26"/>
  <c r="AC22" i="26"/>
  <c r="AF22" i="26" s="1"/>
  <c r="N22" i="26"/>
  <c r="R22" i="26"/>
  <c r="E22" i="26"/>
  <c r="AC20" i="26"/>
  <c r="AF20" i="26" s="1"/>
  <c r="N20" i="26"/>
  <c r="R20" i="26"/>
  <c r="E20" i="26"/>
  <c r="AC18" i="26"/>
  <c r="AF18" i="26" s="1"/>
  <c r="N18" i="26"/>
  <c r="R18" i="26"/>
  <c r="E18" i="26"/>
  <c r="AC16" i="26"/>
  <c r="AF16" i="26" s="1"/>
  <c r="N16" i="26"/>
  <c r="E16" i="26"/>
  <c r="AC14" i="26"/>
  <c r="AF14" i="26" s="1"/>
  <c r="N14" i="26"/>
  <c r="R14" i="26"/>
  <c r="E14" i="26"/>
  <c r="AC12" i="26"/>
  <c r="AF12" i="26" s="1"/>
  <c r="N12" i="26"/>
  <c r="R12" i="26"/>
  <c r="E12" i="26"/>
  <c r="AC10" i="26"/>
  <c r="AF10" i="26" s="1"/>
  <c r="N10" i="26"/>
  <c r="R10" i="26"/>
  <c r="E10" i="26"/>
  <c r="FP18" i="19"/>
  <c r="FP16" i="19"/>
  <c r="FP14" i="19"/>
  <c r="FP12" i="19"/>
  <c r="FP10" i="19"/>
  <c r="CS18" i="19"/>
  <c r="CS16" i="19"/>
  <c r="CS14" i="19"/>
  <c r="CS12" i="19"/>
  <c r="CS10" i="19"/>
  <c r="AC18" i="19"/>
  <c r="AF18" i="19" s="1"/>
  <c r="AB18" i="19"/>
  <c r="AE18" i="19" s="1"/>
  <c r="AC16" i="19"/>
  <c r="AF16" i="19" s="1"/>
  <c r="AB16" i="19"/>
  <c r="AE16" i="19" s="1"/>
  <c r="AC14" i="19"/>
  <c r="AF14" i="19" s="1"/>
  <c r="AB14" i="19"/>
  <c r="AE14" i="19" s="1"/>
  <c r="AC12" i="19"/>
  <c r="AF12" i="19" s="1"/>
  <c r="AB12" i="19"/>
  <c r="AE12" i="19" s="1"/>
  <c r="AC10" i="19"/>
  <c r="AF10" i="19" s="1"/>
  <c r="AB10" i="19"/>
  <c r="AE10" i="19" s="1"/>
  <c r="O14" i="26" l="1"/>
  <c r="O16" i="26"/>
  <c r="Q28" i="26"/>
  <c r="Q14" i="26"/>
  <c r="O22" i="26"/>
  <c r="Q22" i="26" s="1"/>
  <c r="O18" i="26"/>
  <c r="Q18" i="26" s="1"/>
  <c r="O24" i="26"/>
  <c r="Q12" i="26"/>
  <c r="Q20" i="26"/>
  <c r="O26" i="26"/>
  <c r="Q26" i="26" s="1"/>
  <c r="O10" i="26"/>
  <c r="Q10" i="26" s="1"/>
  <c r="Z10" i="26" s="1"/>
  <c r="AI10" i="26" s="1"/>
  <c r="Q24" i="26"/>
  <c r="Q16" i="26"/>
  <c r="Z26" i="26"/>
  <c r="AI26" i="26" s="1"/>
  <c r="W26" i="26"/>
  <c r="Z28" i="26"/>
  <c r="AI28" i="26" s="1"/>
  <c r="W28" i="26"/>
  <c r="Z24" i="26"/>
  <c r="AI24" i="26" s="1"/>
  <c r="W24" i="26"/>
  <c r="Z22" i="26"/>
  <c r="AI22" i="26" s="1"/>
  <c r="W22" i="26"/>
  <c r="W20" i="26"/>
  <c r="Z20" i="26"/>
  <c r="AI20" i="26" s="1"/>
  <c r="Z18" i="26"/>
  <c r="AI18" i="26" s="1"/>
  <c r="W18" i="26"/>
  <c r="Z16" i="26"/>
  <c r="AI16" i="26" s="1"/>
  <c r="W16" i="26"/>
  <c r="Z14" i="26"/>
  <c r="AI14" i="26" s="1"/>
  <c r="W14" i="26"/>
  <c r="W12" i="26"/>
  <c r="Z12" i="26"/>
  <c r="AI12" i="26" s="1"/>
  <c r="A4" i="7" a="1"/>
  <c r="A4" i="7" s="1"/>
  <c r="N12" i="19"/>
  <c r="AJ28" i="26" l="1"/>
  <c r="AJ20" i="26"/>
  <c r="AJ18" i="26"/>
  <c r="AL18" i="26" s="1"/>
  <c r="AO18" i="26" s="1"/>
  <c r="AJ24" i="26"/>
  <c r="AL24" i="26" s="1"/>
  <c r="AO24" i="26" s="1"/>
  <c r="AJ22" i="26"/>
  <c r="AJ16" i="26"/>
  <c r="AL16" i="26"/>
  <c r="AO16" i="26" s="1"/>
  <c r="AR16" i="26" s="1"/>
  <c r="AS26" i="26"/>
  <c r="AJ26" i="26"/>
  <c r="AL26" i="26" s="1"/>
  <c r="AO26" i="26" s="1"/>
  <c r="BA26" i="26" s="1"/>
  <c r="CX26" i="26" s="1"/>
  <c r="DA26" i="26" s="1"/>
  <c r="AJ14" i="26"/>
  <c r="AL14" i="26" s="1"/>
  <c r="AO14" i="26" s="1"/>
  <c r="AL22" i="26"/>
  <c r="AO22" i="26" s="1"/>
  <c r="AR22" i="26" s="1"/>
  <c r="AL20" i="26"/>
  <c r="AO20" i="26" s="1"/>
  <c r="AR20" i="26" s="1"/>
  <c r="AJ12" i="26"/>
  <c r="AL12" i="26" s="1"/>
  <c r="AO12" i="26" s="1"/>
  <c r="AL28" i="26"/>
  <c r="AO28" i="26" s="1"/>
  <c r="AS10" i="26"/>
  <c r="AJ10" i="26"/>
  <c r="AL10" i="26" s="1"/>
  <c r="AO10" i="26" s="1"/>
  <c r="AR10" i="26" s="1"/>
  <c r="W10" i="26"/>
  <c r="AS28" i="26"/>
  <c r="AR28" i="26"/>
  <c r="BA28" i="26"/>
  <c r="CX28" i="26" s="1"/>
  <c r="DA28" i="26" s="1"/>
  <c r="AS22" i="26"/>
  <c r="AS20" i="26"/>
  <c r="H18" i="19"/>
  <c r="H16" i="19"/>
  <c r="H14" i="19"/>
  <c r="H12" i="19"/>
  <c r="H10" i="19"/>
  <c r="AR12" i="26" l="1"/>
  <c r="BA12" i="26"/>
  <c r="CX12" i="26" s="1"/>
  <c r="DA12" i="26" s="1"/>
  <c r="AR24" i="26"/>
  <c r="BA24" i="26"/>
  <c r="CX24" i="26" s="1"/>
  <c r="DA24" i="26" s="1"/>
  <c r="AS24" i="26"/>
  <c r="AX24" i="26" s="1"/>
  <c r="BD24" i="26" s="1"/>
  <c r="AS12" i="26"/>
  <c r="AX12" i="26" s="1"/>
  <c r="BD12" i="26" s="1"/>
  <c r="EI12" i="26" s="1"/>
  <c r="BA14" i="26"/>
  <c r="CX14" i="26" s="1"/>
  <c r="DA14" i="26" s="1"/>
  <c r="AR14" i="26"/>
  <c r="AR18" i="26"/>
  <c r="BA18" i="26"/>
  <c r="CX18" i="26" s="1"/>
  <c r="DA18" i="26" s="1"/>
  <c r="BA16" i="26"/>
  <c r="CX16" i="26" s="1"/>
  <c r="DA16" i="26" s="1"/>
  <c r="AS14" i="26"/>
  <c r="AX14" i="26" s="1"/>
  <c r="BD14" i="26" s="1"/>
  <c r="BA22" i="26"/>
  <c r="CX22" i="26" s="1"/>
  <c r="DA22" i="26" s="1"/>
  <c r="AS16" i="26"/>
  <c r="AX16" i="26" s="1"/>
  <c r="BA20" i="26"/>
  <c r="CX20" i="26" s="1"/>
  <c r="DA20" i="26" s="1"/>
  <c r="AR26" i="26"/>
  <c r="AX26" i="26" s="1"/>
  <c r="BD26" i="26" s="1"/>
  <c r="BA10" i="26"/>
  <c r="CX10" i="26" s="1"/>
  <c r="DA10" i="26" s="1"/>
  <c r="AX28" i="26"/>
  <c r="BD28" i="26" s="1"/>
  <c r="EI26" i="26"/>
  <c r="BJ26" i="26"/>
  <c r="CN26" i="26" s="1"/>
  <c r="AX22" i="26"/>
  <c r="BD22" i="26" s="1"/>
  <c r="AX20" i="26"/>
  <c r="BD20" i="26" s="1"/>
  <c r="AX10" i="26"/>
  <c r="E10" i="19"/>
  <c r="E18" i="19"/>
  <c r="E16" i="19"/>
  <c r="E14" i="19"/>
  <c r="E12" i="19"/>
  <c r="BD10" i="26" l="1"/>
  <c r="CR24" i="26"/>
  <c r="CO24" i="26"/>
  <c r="CR20" i="26"/>
  <c r="CO20" i="26"/>
  <c r="AS18" i="26"/>
  <c r="AX18" i="26" s="1"/>
  <c r="BD18" i="26" s="1"/>
  <c r="BJ18" i="26" s="1"/>
  <c r="CN18" i="26" s="1"/>
  <c r="BD16" i="26"/>
  <c r="BJ12" i="26"/>
  <c r="CN12" i="26" s="1"/>
  <c r="EI28" i="26"/>
  <c r="BJ28" i="26"/>
  <c r="CN28" i="26" s="1"/>
  <c r="EI24" i="26"/>
  <c r="BJ24" i="26"/>
  <c r="CN24" i="26" s="1"/>
  <c r="CQ24" i="26" s="1"/>
  <c r="EI22" i="26"/>
  <c r="BJ22" i="26"/>
  <c r="CN22" i="26" s="1"/>
  <c r="EI20" i="26"/>
  <c r="BJ20" i="26"/>
  <c r="CN20" i="26" s="1"/>
  <c r="CQ20" i="26" s="1"/>
  <c r="EI16" i="26"/>
  <c r="BJ16" i="26"/>
  <c r="CN16" i="26" s="1"/>
  <c r="EI14" i="26"/>
  <c r="BJ14" i="26"/>
  <c r="CN14" i="26" s="1"/>
  <c r="EI10" i="26"/>
  <c r="BJ10" i="26"/>
  <c r="CN10" i="26" s="1"/>
  <c r="N18" i="19"/>
  <c r="Q18" i="19" s="1"/>
  <c r="W18" i="19" s="1"/>
  <c r="M18" i="19"/>
  <c r="P18" i="19" s="1"/>
  <c r="N16" i="19"/>
  <c r="Q16" i="19" s="1"/>
  <c r="M16" i="19"/>
  <c r="P16" i="19" s="1"/>
  <c r="K14" i="19"/>
  <c r="N14" i="19" s="1"/>
  <c r="Q14" i="19" s="1"/>
  <c r="Z14" i="19" s="1"/>
  <c r="J14" i="19"/>
  <c r="M14" i="19" s="1"/>
  <c r="P14" i="19" s="1"/>
  <c r="Q12" i="19"/>
  <c r="M12" i="19"/>
  <c r="P12" i="19" s="1"/>
  <c r="V12" i="19" s="1"/>
  <c r="N10" i="19"/>
  <c r="Q10" i="19" s="1"/>
  <c r="M10" i="19"/>
  <c r="FT19" i="26" l="1"/>
  <c r="CV20" i="26"/>
  <c r="EI18" i="26"/>
  <c r="CO28" i="26"/>
  <c r="FT23" i="26"/>
  <c r="CV24" i="26"/>
  <c r="CR14" i="26"/>
  <c r="CO14" i="26"/>
  <c r="CQ14" i="26" s="1"/>
  <c r="CO18" i="26"/>
  <c r="CQ18" i="26" s="1"/>
  <c r="CR26" i="26"/>
  <c r="CO26" i="26"/>
  <c r="CQ26" i="26" s="1"/>
  <c r="CR16" i="26"/>
  <c r="CO16" i="26"/>
  <c r="CQ16" i="26" s="1"/>
  <c r="CR12" i="26"/>
  <c r="CO12" i="26"/>
  <c r="CQ12" i="26" s="1"/>
  <c r="CU12" i="26" s="1"/>
  <c r="CQ28" i="26"/>
  <c r="H24" i="26"/>
  <c r="H20" i="26"/>
  <c r="CR22" i="26"/>
  <c r="CO22" i="26"/>
  <c r="CQ22" i="26" s="1"/>
  <c r="CR10" i="26"/>
  <c r="CO10" i="26"/>
  <c r="CQ10" i="26" s="1"/>
  <c r="CU24" i="26"/>
  <c r="DG24" i="26" s="1"/>
  <c r="DK24" i="26" s="1"/>
  <c r="EF24" i="26" s="1"/>
  <c r="FA24" i="26" s="1"/>
  <c r="FJ24" i="26" s="1"/>
  <c r="FU24" i="26" s="1"/>
  <c r="FT24" i="26"/>
  <c r="FT20" i="26"/>
  <c r="CU20" i="26"/>
  <c r="DG20" i="26" s="1"/>
  <c r="DK20" i="26" s="1"/>
  <c r="EF20" i="26" s="1"/>
  <c r="FA20" i="26" s="1"/>
  <c r="FJ20" i="26" s="1"/>
  <c r="CU14" i="26"/>
  <c r="S14" i="19"/>
  <c r="Y14" i="19"/>
  <c r="Z12" i="19"/>
  <c r="AI12" i="19" s="1"/>
  <c r="AL12" i="19" s="1"/>
  <c r="AO12" i="19" s="1"/>
  <c r="W12" i="19"/>
  <c r="Z18" i="19"/>
  <c r="AI18" i="19" s="1"/>
  <c r="AL18" i="19" s="1"/>
  <c r="AO18" i="19" s="1"/>
  <c r="Z16" i="19"/>
  <c r="AI16" i="19" s="1"/>
  <c r="AL16" i="19" s="1"/>
  <c r="AO16" i="19" s="1"/>
  <c r="AU16" i="19" s="1"/>
  <c r="W16" i="19"/>
  <c r="Y18" i="19"/>
  <c r="AH18" i="19" s="1"/>
  <c r="AK18" i="19" s="1"/>
  <c r="AN18" i="19" s="1"/>
  <c r="AT18" i="19" s="1"/>
  <c r="V18" i="19"/>
  <c r="T14" i="19"/>
  <c r="Y12" i="19"/>
  <c r="AH12" i="19" s="1"/>
  <c r="AK12" i="19" s="1"/>
  <c r="AN12" i="19" s="1"/>
  <c r="AT12" i="19" s="1"/>
  <c r="V16" i="19"/>
  <c r="Y16" i="19"/>
  <c r="AH16" i="19" s="1"/>
  <c r="AK16" i="19" s="1"/>
  <c r="AN16" i="19" s="1"/>
  <c r="AT16" i="19" s="1"/>
  <c r="P10" i="19"/>
  <c r="H14" i="26" l="1"/>
  <c r="H22" i="26"/>
  <c r="CR28" i="26"/>
  <c r="FT25" i="26"/>
  <c r="CV26" i="26"/>
  <c r="H26" i="26"/>
  <c r="CU26" i="26"/>
  <c r="DG26" i="26" s="1"/>
  <c r="DK26" i="26" s="1"/>
  <c r="EF26" i="26" s="1"/>
  <c r="FA26" i="26" s="1"/>
  <c r="FJ26" i="26" s="1"/>
  <c r="CR18" i="26"/>
  <c r="H16" i="26"/>
  <c r="CU16" i="26"/>
  <c r="H12" i="26"/>
  <c r="CU22" i="26"/>
  <c r="DG22" i="26" s="1"/>
  <c r="DK22" i="26" s="1"/>
  <c r="EF22" i="26" s="1"/>
  <c r="FA22" i="26" s="1"/>
  <c r="FJ22" i="26" s="1"/>
  <c r="FU22" i="26" s="1"/>
  <c r="FT21" i="26"/>
  <c r="CV22" i="26"/>
  <c r="H10" i="26"/>
  <c r="CU10" i="26"/>
  <c r="FT26" i="26"/>
  <c r="FR24" i="26"/>
  <c r="FM24" i="26"/>
  <c r="FP24" i="26" s="1"/>
  <c r="FV24" i="26"/>
  <c r="FM20" i="26"/>
  <c r="FP20" i="26" s="1"/>
  <c r="FR20" i="26"/>
  <c r="FV20" i="26"/>
  <c r="FU20" i="26"/>
  <c r="AH14" i="19"/>
  <c r="AK14" i="19" s="1"/>
  <c r="AN14" i="19" s="1"/>
  <c r="AT14" i="19" s="1"/>
  <c r="AR18" i="19"/>
  <c r="AU18" i="19"/>
  <c r="Z10" i="19"/>
  <c r="AI10" i="19" s="1"/>
  <c r="AL10" i="19" s="1"/>
  <c r="AO10" i="19" s="1"/>
  <c r="W10" i="19"/>
  <c r="BA12" i="19"/>
  <c r="CX12" i="19" s="1"/>
  <c r="DA12" i="19" s="1"/>
  <c r="AU12" i="19"/>
  <c r="AR12" i="19"/>
  <c r="BA18" i="19"/>
  <c r="CX18" i="19" s="1"/>
  <c r="DA18" i="19" s="1"/>
  <c r="BA16" i="19"/>
  <c r="CX16" i="19" s="1"/>
  <c r="DA16" i="19" s="1"/>
  <c r="AR16" i="19"/>
  <c r="AX16" i="19" s="1"/>
  <c r="AI14" i="19"/>
  <c r="AL14" i="19" s="1"/>
  <c r="AO14" i="19" s="1"/>
  <c r="AU14" i="19" s="1"/>
  <c r="V10" i="19"/>
  <c r="Y10" i="19"/>
  <c r="AH10" i="19" s="1"/>
  <c r="AK10" i="19" s="1"/>
  <c r="AN10" i="19" s="1"/>
  <c r="AT10" i="19" s="1"/>
  <c r="AZ18" i="19"/>
  <c r="CW18" i="19" s="1"/>
  <c r="CZ18" i="19" s="1"/>
  <c r="AQ18" i="19"/>
  <c r="AZ16" i="19"/>
  <c r="CW16" i="19" s="1"/>
  <c r="CZ16" i="19" s="1"/>
  <c r="AQ16" i="19"/>
  <c r="AZ12" i="19"/>
  <c r="CW12" i="19" s="1"/>
  <c r="CZ12" i="19" s="1"/>
  <c r="AQ12" i="19"/>
  <c r="FM26" i="26" l="1"/>
  <c r="FP26" i="26" s="1"/>
  <c r="FU26" i="26"/>
  <c r="FV26" i="26"/>
  <c r="FV22" i="26"/>
  <c r="CV14" i="26"/>
  <c r="DG14" i="26" s="1"/>
  <c r="DK14" i="26" s="1"/>
  <c r="EF14" i="26" s="1"/>
  <c r="FA14" i="26" s="1"/>
  <c r="FJ14" i="26" s="1"/>
  <c r="CV16" i="26"/>
  <c r="DG16" i="26" s="1"/>
  <c r="DK16" i="26" s="1"/>
  <c r="EF16" i="26" s="1"/>
  <c r="FA16" i="26" s="1"/>
  <c r="FJ16" i="26" s="1"/>
  <c r="CV12" i="26"/>
  <c r="DG12" i="26" s="1"/>
  <c r="DK12" i="26" s="1"/>
  <c r="EF12" i="26" s="1"/>
  <c r="FA12" i="26" s="1"/>
  <c r="FJ12" i="26" s="1"/>
  <c r="FR26" i="26"/>
  <c r="FM22" i="26"/>
  <c r="FP22" i="26" s="1"/>
  <c r="FU21" i="26" s="1"/>
  <c r="FT22" i="26"/>
  <c r="H18" i="26"/>
  <c r="CU18" i="26"/>
  <c r="H28" i="26"/>
  <c r="CU28" i="26"/>
  <c r="FR22" i="26"/>
  <c r="CV10" i="26"/>
  <c r="DG10" i="26" s="1"/>
  <c r="DK10" i="26" s="1"/>
  <c r="EF10" i="26" s="1"/>
  <c r="FA10" i="26" s="1"/>
  <c r="FJ10" i="26" s="1"/>
  <c r="FU23" i="26"/>
  <c r="FV23" i="26"/>
  <c r="FV19" i="26"/>
  <c r="FU19" i="26"/>
  <c r="AX12" i="19"/>
  <c r="AQ14" i="19"/>
  <c r="AW14" i="19" s="1"/>
  <c r="AZ14" i="19"/>
  <c r="CW14" i="19" s="1"/>
  <c r="CZ14" i="19" s="1"/>
  <c r="BA10" i="19"/>
  <c r="CX10" i="19" s="1"/>
  <c r="DA10" i="19" s="1"/>
  <c r="AU10" i="19"/>
  <c r="AR10" i="19"/>
  <c r="AX18" i="19"/>
  <c r="BD18" i="19" s="1"/>
  <c r="BG18" i="19" s="1"/>
  <c r="AW18" i="19"/>
  <c r="BD16" i="19"/>
  <c r="BG16" i="19" s="1"/>
  <c r="AW16" i="19"/>
  <c r="AZ10" i="19"/>
  <c r="CW10" i="19" s="1"/>
  <c r="CZ10" i="19" s="1"/>
  <c r="AQ10" i="19"/>
  <c r="AW12" i="19"/>
  <c r="BD12" i="19"/>
  <c r="BG12" i="19" s="1"/>
  <c r="AR14" i="19"/>
  <c r="AX14" i="19" s="1"/>
  <c r="BA14" i="19"/>
  <c r="CX14" i="19" s="1"/>
  <c r="DA14" i="19" s="1"/>
  <c r="FV21" i="26" l="1"/>
  <c r="FU16" i="26"/>
  <c r="FM16" i="26"/>
  <c r="FP16" i="26" s="1"/>
  <c r="FV16" i="26"/>
  <c r="CV18" i="26"/>
  <c r="DG18" i="26" s="1"/>
  <c r="DK18" i="26" s="1"/>
  <c r="EF18" i="26" s="1"/>
  <c r="FA18" i="26" s="1"/>
  <c r="FJ18" i="26" s="1"/>
  <c r="FT15" i="26"/>
  <c r="FT16" i="26"/>
  <c r="FU14" i="26"/>
  <c r="FM14" i="26"/>
  <c r="FP14" i="26" s="1"/>
  <c r="FV14" i="26"/>
  <c r="FT13" i="26"/>
  <c r="FT14" i="26"/>
  <c r="FU12" i="26"/>
  <c r="FV12" i="26"/>
  <c r="FM12" i="26"/>
  <c r="FP12" i="26" s="1"/>
  <c r="FT11" i="26"/>
  <c r="FT12" i="26"/>
  <c r="FU25" i="26"/>
  <c r="FV25" i="26"/>
  <c r="CV28" i="26"/>
  <c r="DG28" i="26" s="1"/>
  <c r="DK28" i="26" s="1"/>
  <c r="EF28" i="26" s="1"/>
  <c r="FA28" i="26" s="1"/>
  <c r="FJ28" i="26" s="1"/>
  <c r="FU10" i="26"/>
  <c r="FV10" i="26"/>
  <c r="FM10" i="26"/>
  <c r="FP10" i="26" s="1"/>
  <c r="FT9" i="26"/>
  <c r="FT10" i="26"/>
  <c r="AX10" i="19"/>
  <c r="BD10" i="19" s="1"/>
  <c r="BG10" i="19" s="1"/>
  <c r="BC14" i="19"/>
  <c r="BF14" i="19" s="1"/>
  <c r="EH14" i="19" s="1"/>
  <c r="BC12" i="19"/>
  <c r="BF12" i="19" s="1"/>
  <c r="EH12" i="19" s="1"/>
  <c r="BC16" i="19"/>
  <c r="BF16" i="19" s="1"/>
  <c r="EH16" i="19" s="1"/>
  <c r="BC18" i="19"/>
  <c r="BF18" i="19" s="1"/>
  <c r="EH18" i="19" s="1"/>
  <c r="BD14" i="19"/>
  <c r="BG14" i="19" s="1"/>
  <c r="EI12" i="19"/>
  <c r="BJ12" i="19"/>
  <c r="CK12" i="19" s="1"/>
  <c r="CN12" i="19" s="1"/>
  <c r="AW10" i="19"/>
  <c r="BJ16" i="19"/>
  <c r="EI16" i="19"/>
  <c r="EI18" i="19"/>
  <c r="BJ18" i="19"/>
  <c r="CK18" i="19" s="1"/>
  <c r="CN18" i="19" s="1"/>
  <c r="FV28" i="26" l="1"/>
  <c r="FU28" i="26"/>
  <c r="FM28" i="26"/>
  <c r="FP28" i="26" s="1"/>
  <c r="FU18" i="26"/>
  <c r="FM18" i="26"/>
  <c r="FP18" i="26" s="1"/>
  <c r="FR18" i="26"/>
  <c r="FV18" i="26"/>
  <c r="FT17" i="26"/>
  <c r="FT18" i="26"/>
  <c r="FV11" i="26"/>
  <c r="FU11" i="26"/>
  <c r="FV13" i="26"/>
  <c r="FU13" i="26"/>
  <c r="FR16" i="26"/>
  <c r="FV15" i="26"/>
  <c r="FU15" i="26"/>
  <c r="FR14" i="26"/>
  <c r="FT27" i="26"/>
  <c r="FT28" i="26"/>
  <c r="FR12" i="26"/>
  <c r="FR10" i="26"/>
  <c r="FU9" i="26"/>
  <c r="FV9" i="26"/>
  <c r="CQ18" i="19"/>
  <c r="CQ12" i="19"/>
  <c r="BI18" i="19"/>
  <c r="CJ18" i="19" s="1"/>
  <c r="CM18" i="19" s="1"/>
  <c r="BI16" i="19"/>
  <c r="BI12" i="19"/>
  <c r="CJ12" i="19" s="1"/>
  <c r="CM12" i="19" s="1"/>
  <c r="BC10" i="19"/>
  <c r="BF10" i="19" s="1"/>
  <c r="EH10" i="19" s="1"/>
  <c r="BO16" i="19"/>
  <c r="CJ16" i="19"/>
  <c r="CM16" i="19" s="1"/>
  <c r="BP16" i="19"/>
  <c r="CK16" i="19"/>
  <c r="CN16" i="19" s="1"/>
  <c r="BJ10" i="19"/>
  <c r="CN10" i="19" s="1"/>
  <c r="EI10" i="19"/>
  <c r="BI14" i="19"/>
  <c r="BL14" i="19" s="1"/>
  <c r="BO14" i="19" s="1"/>
  <c r="BR14" i="19" s="1"/>
  <c r="BU14" i="19" s="1"/>
  <c r="BX14" i="19" s="1"/>
  <c r="BJ14" i="19"/>
  <c r="BM14" i="19" s="1"/>
  <c r="BP14" i="19" s="1"/>
  <c r="BS14" i="19" s="1"/>
  <c r="BV14" i="19" s="1"/>
  <c r="BY14" i="19" s="1"/>
  <c r="EI14" i="19"/>
  <c r="FV27" i="26" l="1"/>
  <c r="FU27" i="26"/>
  <c r="FU17" i="26"/>
  <c r="FV17" i="26"/>
  <c r="FR28" i="26"/>
  <c r="CU12" i="19"/>
  <c r="CU18" i="19"/>
  <c r="DC12" i="19"/>
  <c r="DF12" i="19" s="1"/>
  <c r="DJ12" i="19" s="1"/>
  <c r="DM12" i="19" s="1"/>
  <c r="DP12" i="19" s="1"/>
  <c r="DT12" i="19" s="1"/>
  <c r="DD12" i="19"/>
  <c r="DG12" i="19" s="1"/>
  <c r="DK12" i="19" s="1"/>
  <c r="DN12" i="19" s="1"/>
  <c r="DQ12" i="19" s="1"/>
  <c r="DU12" i="19" s="1"/>
  <c r="DD18" i="19"/>
  <c r="DG18" i="19" s="1"/>
  <c r="DK18" i="19" s="1"/>
  <c r="DN18" i="19" s="1"/>
  <c r="DQ18" i="19" s="1"/>
  <c r="DU18" i="19" s="1"/>
  <c r="DY18" i="19" s="1"/>
  <c r="DC18" i="19"/>
  <c r="DF18" i="19" s="1"/>
  <c r="DJ18" i="19" s="1"/>
  <c r="DM18" i="19" s="1"/>
  <c r="DP18" i="19" s="1"/>
  <c r="CP16" i="19"/>
  <c r="CP12" i="19"/>
  <c r="CP18" i="19"/>
  <c r="CQ10" i="19"/>
  <c r="CU10" i="19" s="1"/>
  <c r="DG10" i="19" s="1"/>
  <c r="DK10" i="19" s="1"/>
  <c r="EF10" i="19" s="1"/>
  <c r="FA10" i="19" s="1"/>
  <c r="CQ16" i="19"/>
  <c r="BI10" i="19"/>
  <c r="CM10" i="19" s="1"/>
  <c r="CP10" i="19" s="1"/>
  <c r="CT10" i="19" s="1"/>
  <c r="CG14" i="19"/>
  <c r="CD14" i="19"/>
  <c r="CJ14" i="19" s="1"/>
  <c r="CM14" i="19" s="1"/>
  <c r="CP14" i="19" s="1"/>
  <c r="CA14" i="19"/>
  <c r="CH14" i="19"/>
  <c r="CE14" i="19"/>
  <c r="CK14" i="19" s="1"/>
  <c r="CN14" i="19" s="1"/>
  <c r="CB14" i="19"/>
  <c r="CT12" i="19" l="1"/>
  <c r="CT16" i="19"/>
  <c r="CU16" i="19"/>
  <c r="DC16" i="19" s="1"/>
  <c r="DF16" i="19" s="1"/>
  <c r="DJ16" i="19" s="1"/>
  <c r="DM16" i="19" s="1"/>
  <c r="DP16" i="19" s="1"/>
  <c r="DT16" i="19" s="1"/>
  <c r="DX16" i="19" s="1"/>
  <c r="CT18" i="19"/>
  <c r="CT14" i="19"/>
  <c r="DF14" i="19" s="1"/>
  <c r="DT18" i="19"/>
  <c r="DX18" i="19" s="1"/>
  <c r="EB18" i="19" s="1"/>
  <c r="CQ14" i="19"/>
  <c r="DD16" i="19" l="1"/>
  <c r="DG16" i="19" s="1"/>
  <c r="DK16" i="19" s="1"/>
  <c r="DN16" i="19" s="1"/>
  <c r="DQ16" i="19" s="1"/>
  <c r="DU16" i="19" s="1"/>
  <c r="DY16" i="19" s="1"/>
  <c r="CU14" i="19"/>
  <c r="DG14" i="19" s="1"/>
  <c r="EC12" i="19"/>
  <c r="EF12" i="19" s="1"/>
  <c r="EB12" i="19"/>
  <c r="EE12" i="19" s="1"/>
  <c r="DJ14" i="19"/>
  <c r="DM14" i="19" s="1"/>
  <c r="DP14" i="19" s="1"/>
  <c r="DT14" i="19" s="1"/>
  <c r="DK14" i="19"/>
  <c r="DN14" i="19" s="1"/>
  <c r="DQ14" i="19" s="1"/>
  <c r="DU14" i="19" s="1"/>
  <c r="FJ10" i="19"/>
  <c r="FV10" i="19" l="1"/>
  <c r="FU10" i="19"/>
  <c r="FM10" i="19"/>
  <c r="EN12" i="19"/>
  <c r="ET12" i="19"/>
  <c r="EQ12" i="19"/>
  <c r="ER12" i="19"/>
  <c r="EO12" i="19"/>
  <c r="EU12" i="19"/>
  <c r="EC18" i="19"/>
  <c r="EF18" i="19" s="1"/>
  <c r="EX12" i="19" l="1"/>
  <c r="FA12" i="19" s="1"/>
  <c r="FJ12" i="19" s="1"/>
  <c r="EW12" i="19"/>
  <c r="EZ12" i="19" s="1"/>
  <c r="FI12" i="19" s="1"/>
  <c r="EO18" i="19"/>
  <c r="EU18" i="19"/>
  <c r="ER18" i="19"/>
  <c r="EB16" i="19"/>
  <c r="EE16" i="19" s="1"/>
  <c r="EC16" i="19"/>
  <c r="EF16" i="19" s="1"/>
  <c r="EC14" i="19"/>
  <c r="EF14" i="19" s="1"/>
  <c r="EB14" i="19"/>
  <c r="EE14" i="19" s="1"/>
  <c r="FL12" i="19" l="1"/>
  <c r="FO12" i="19" s="1"/>
  <c r="FT11" i="19" s="1"/>
  <c r="FT12" i="19"/>
  <c r="FR12" i="19"/>
  <c r="FV12" i="19"/>
  <c r="FU12" i="19"/>
  <c r="FM12" i="19"/>
  <c r="EU14" i="19"/>
  <c r="EO14" i="19"/>
  <c r="ER14" i="19"/>
  <c r="EL14" i="19"/>
  <c r="EN16" i="19"/>
  <c r="ET16" i="19"/>
  <c r="EQ16" i="19"/>
  <c r="ER16" i="19"/>
  <c r="EU16" i="19"/>
  <c r="EO16" i="19"/>
  <c r="EX18" i="19"/>
  <c r="FA18" i="19" s="1"/>
  <c r="EN14" i="19"/>
  <c r="EK14" i="19"/>
  <c r="EQ14" i="19"/>
  <c r="ET14" i="19"/>
  <c r="FV11" i="19" l="1"/>
  <c r="FU11" i="19"/>
  <c r="EX14" i="19"/>
  <c r="FA14" i="19" s="1"/>
  <c r="EX16" i="19"/>
  <c r="FA16" i="19" s="1"/>
  <c r="EW16" i="19"/>
  <c r="EZ16" i="19" s="1"/>
  <c r="FJ18" i="19"/>
  <c r="EW14" i="19"/>
  <c r="EZ14" i="19" s="1"/>
  <c r="FC14" i="19" s="1"/>
  <c r="FF14" i="19" s="1"/>
  <c r="FI14" i="19" s="1"/>
  <c r="FI16" i="19"/>
  <c r="FJ16" i="19"/>
  <c r="FD14" i="19"/>
  <c r="FG14" i="19" s="1"/>
  <c r="FJ14" i="19" s="1"/>
  <c r="FL14" i="19" l="1"/>
  <c r="FO14" i="19" s="1"/>
  <c r="FT13" i="19" s="1"/>
  <c r="FT14" i="19"/>
  <c r="FL16" i="19"/>
  <c r="FO16" i="19" s="1"/>
  <c r="FT15" i="19" s="1"/>
  <c r="FT16" i="19"/>
  <c r="FM16" i="19"/>
  <c r="FR16" i="19"/>
  <c r="FV16" i="19"/>
  <c r="FU16" i="19"/>
  <c r="FM18" i="19"/>
  <c r="FV18" i="19"/>
  <c r="FU18" i="19"/>
  <c r="FM14" i="19"/>
  <c r="FR14" i="19"/>
  <c r="FV14" i="19"/>
  <c r="FU14" i="19"/>
  <c r="C3" i="17"/>
  <c r="C4" i="17" s="1"/>
  <c r="C5" i="17" s="1"/>
  <c r="C6" i="17" s="1"/>
  <c r="C7" i="17" s="1"/>
  <c r="C8" i="17" s="1"/>
  <c r="C9" i="17" s="1"/>
  <c r="C10" i="17" s="1"/>
  <c r="C11" i="17" s="1"/>
  <c r="C12" i="17" s="1"/>
  <c r="C13" i="17" s="1"/>
  <c r="FU13" i="19" l="1"/>
  <c r="FV13" i="19"/>
  <c r="FU17" i="19"/>
  <c r="FV17" i="19"/>
  <c r="FU15" i="19"/>
  <c r="FV15" i="19"/>
  <c r="EE18" i="19"/>
  <c r="EN18" i="19" l="1"/>
  <c r="EQ18" i="19"/>
  <c r="ET18" i="19"/>
  <c r="EW18" i="19" l="1"/>
  <c r="EZ18" i="19" s="1"/>
  <c r="FI18" i="19" l="1"/>
  <c r="FL18" i="19" l="1"/>
  <c r="FO18" i="19" s="1"/>
  <c r="FT18" i="19"/>
  <c r="DF10" i="19"/>
  <c r="DJ10" i="19" s="1"/>
  <c r="EE10" i="19" s="1"/>
  <c r="EZ10" i="19" s="1"/>
  <c r="FT17" i="19" l="1"/>
  <c r="FR18" i="19"/>
  <c r="FI10" i="19"/>
  <c r="FT10" i="19" s="1"/>
  <c r="FL10" i="19" l="1"/>
  <c r="FO10" i="19" s="1"/>
  <c r="FR10" i="19" l="1"/>
  <c r="FT9" i="19"/>
  <c r="FV9" i="19" l="1"/>
  <c r="FU9"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tc={08BC158A-969E-4D67-839D-FF33265E984F}</author>
    <author>tc={E52FB5DD-51A0-4D57-B63A-F9D92FCF6C5C}</author>
    <author>tc={0FC57DC6-17D1-4E3E-B52D-8C4440F48F92}</author>
    <author>tc={A0FFCB2B-7DEF-40C0-9909-8D1D80EE7C83}</author>
    <author>tc={91E1CCED-81A8-4506-B259-8AEBC43445FE}</author>
    <author>tc={5836E495-177A-4B77-94F9-F0E91E49CE3A}</author>
    <author>tc={A2889480-F7FE-4B34-9B21-D8D24F326420}</author>
    <author>tc={C2F0857A-BC02-4A1B-B073-D529FB241A2D}</author>
    <author>tc={A16F8D56-6F5C-4F8E-AA0A-FD5D9EB1665E}</author>
    <author>tc={21E66285-8263-4788-9556-F2DECE98E869}</author>
    <author>tc={CCDAF93E-687F-4B88-AEA7-7D35A6175C67}</author>
    <author>tc={F7B9C23B-4F78-4195-8323-289C59E3B1FF}</author>
    <author>tc={FF2B224C-40C5-4EAC-8420-46F49DF3E3BB}</author>
    <author>tc={A1A22307-2509-4EE9-B5AB-DE109CD116A9}</author>
    <author>tc={AA1753E6-8A4B-4CE8-8D6A-CF6B3B221B35}</author>
    <author>tc={670E1313-D1FF-4E56-B630-9D6C89DE3B96}</author>
    <author>tc={73263EC4-6F5A-48A3-8550-1513F40E6B66}</author>
    <author>tc={8E554F45-B388-4AEB-8B40-BF00E768870A}</author>
    <author>tc={3D4F271B-0118-4D98-9BFD-F9DDD2F44661}</author>
    <author>tc={E9CC74F1-79B2-4822-B53F-72EB84341249}</author>
    <author>tc={B41373CF-F784-432A-BB9D-C1E13F5D239B}</author>
    <author>tc={8658C90C-3745-4532-A4C1-DFDA147CB2F1}</author>
    <author>tc={D2C72F31-62D7-4F21-930F-1103B5193EA9}</author>
    <author>tc={3BC82244-D1CE-43D8-9AD9-5839D30EA82B}</author>
    <author>tc={65B6615F-DEA1-4E32-B4A3-3E45EF21615B}</author>
    <author>tc={6A38574B-E458-4FB3-82F7-683CFE6BE099}</author>
    <author>tc={771A4593-9052-4961-8D7E-B753A98C576A}</author>
    <author>tc={E0410239-E63C-4102-B2B4-9D078268B850}</author>
    <author>tc={51FCA388-CA91-43F8-B6B9-586774A84E1A}</author>
    <author>tc={ECAF61EE-7041-4B4F-A868-10D3EF070DC4}</author>
    <author>tc={A6A5D544-D923-427A-A376-59A999BFBDE2}</author>
    <author>tc={BAFCC0C7-5872-4DA2-858B-D8F3EA0E2E4E}</author>
    <author>tc={9C5433C9-2195-444D-AF1C-1FB2CF7BB802}</author>
    <author>tc={042611B2-FFBA-4E8F-9946-248F6B9B8165}</author>
    <author>tc={21C6C478-2F06-410E-AE6C-7610DB8527A0}</author>
    <author>tc={D01D9706-9BF2-4112-8754-A78B011C0A74}</author>
    <author>tc={2C848EBF-A0A3-436F-A5BC-2A57C120894A}</author>
    <author>tc={944DA72B-9826-47E7-86C2-FA15F8CC21CE}</author>
    <author>tc={43E56FF7-CEEB-4EA0-889A-B8DC4990A2B9}</author>
    <author>tc={DD206D59-72EF-49E8-A62D-FD721E544CD4}</author>
    <author>tc={E2FA127D-6371-4205-BDD1-783367837589}</author>
    <author>tc={6ABCC524-3B25-4C74-8718-8D7735E7197F}</author>
    <author>tc={B4205A6A-CA8C-4F1B-B620-F279DDC972E6}</author>
    <author>tc={B0B48EB2-1E79-4E96-9467-F9DF4E16AAE0}</author>
  </authors>
  <commentList>
    <comment ref="I4" authorId="0" shapeId="0" xr:uid="{08BC158A-969E-4D67-839D-FF33265E984F}">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E52FB5DD-51A0-4D57-B63A-F9D92FCF6C5C}">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0FC57DC6-17D1-4E3E-B52D-8C4440F48F92}">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A0FFCB2B-7DEF-40C0-9909-8D1D80EE7C83}">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91E1CCED-81A8-4506-B259-8AEBC43445FE}">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5836E495-177A-4B77-94F9-F0E91E49CE3A}">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A2889480-F7FE-4B34-9B21-D8D24F326420}">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C2F0857A-BC02-4A1B-B073-D529FB241A2D}">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A16F8D56-6F5C-4F8E-AA0A-FD5D9EB1665E}">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21E66285-8263-4788-9556-F2DECE98E869}">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L7" authorId="10" shapeId="0" xr:uid="{CCDAF93E-687F-4B88-AEA7-7D35A6175C67}">
      <text>
        <t>[Threaded comment]
Your version of Excel allows you to read this threaded comment; however, any edits to it will get removed if the file is opened in a newer version of Excel. Learn more: https://go.microsoft.com/fwlink/?linkid=870924
Comment:
    Design Review Engineering Approval</t>
      </text>
    </comment>
    <comment ref="BO7" authorId="11" shapeId="0" xr:uid="{F7B9C23B-4F78-4195-8323-289C59E3B1FF}">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2" shapeId="0" xr:uid="{FF2B224C-40C5-4EAC-8420-46F49DF3E3B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3" shapeId="0" xr:uid="{A1A22307-2509-4EE9-B5AB-DE109CD116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4" shapeId="0" xr:uid="{AA1753E6-8A4B-4CE8-8D6A-CF6B3B221B35}">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5" shapeId="0" xr:uid="{670E1313-D1FF-4E56-B630-9D6C89DE3B96}">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6" shapeId="0" xr:uid="{73263EC4-6F5A-48A3-8550-1513F40E6B66}">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7" shapeId="0" xr:uid="{8E554F45-B388-4AEB-8B40-BF00E768870A}">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8" shapeId="0" xr:uid="{3D4F271B-0118-4D98-9BFD-F9DDD2F44661}">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9" shapeId="0" xr:uid="{E9CC74F1-79B2-4822-B53F-72EB84341249}">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20" shapeId="0" xr:uid="{B41373CF-F784-432A-BB9D-C1E13F5D239B}">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1" shapeId="0" xr:uid="{8658C90C-3745-4532-A4C1-DFDA147CB2F1}">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2" shapeId="0" xr:uid="{D2C72F31-62D7-4F21-930F-1103B5193EA9}">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3" shapeId="0" xr:uid="{3BC82244-D1CE-43D8-9AD9-5839D30EA82B}">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4" shapeId="0" xr:uid="{65B6615F-DEA1-4E32-B4A3-3E45EF21615B}">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5" shapeId="0" xr:uid="{6A38574B-E458-4FB3-82F7-683CFE6BE099}">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6" shapeId="0" xr:uid="{771A4593-9052-4961-8D7E-B753A98C576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7" shapeId="0" xr:uid="{E0410239-E63C-4102-B2B4-9D078268B85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8" shapeId="0" xr:uid="{51FCA388-CA91-43F8-B6B9-586774A84E1A}">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9" shapeId="0" xr:uid="{ECAF61EE-7041-4B4F-A868-10D3EF070DC4}">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30" shapeId="0" xr:uid="{A6A5D544-D923-427A-A376-59A999BFBDE2}">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1" shapeId="0" xr:uid="{BAFCC0C7-5872-4DA2-858B-D8F3EA0E2E4E}">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2" shapeId="0" xr:uid="{9C5433C9-2195-444D-AF1C-1FB2CF7BB802}">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3" shapeId="0" xr:uid="{042611B2-FFBA-4E8F-9946-248F6B9B8165}">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4" shapeId="0" xr:uid="{21C6C478-2F06-410E-AE6C-7610DB8527A0}">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5" shapeId="0" xr:uid="{D01D9706-9BF2-4112-8754-A78B011C0A74}">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6" shapeId="0" xr:uid="{2C848EBF-A0A3-436F-A5BC-2A57C120894A}">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7" shapeId="0" xr:uid="{944DA72B-9826-47E7-86C2-FA15F8CC21CE}">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8" shapeId="0" xr:uid="{43E56FF7-CEEB-4EA0-889A-B8DC4990A2B9}">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9" shapeId="0" xr:uid="{DD206D59-72EF-49E8-A62D-FD721E544CD4}">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40" shapeId="0" xr:uid="{E2FA127D-6371-4205-BDD1-783367837589}">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1" shapeId="0" xr:uid="{6ABCC524-3B25-4C74-8718-8D7735E7197F}">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2" shapeId="0" xr:uid="{B4205A6A-CA8C-4F1B-B620-F279DDC972E6}">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3" shapeId="0" xr:uid="{B0B48EB2-1E79-4E96-9467-F9DF4E16AAE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tc={BE2375AC-1FAF-44E1-9EC4-C93788DC684C}</author>
    <author>tc={66875AA3-88D8-4D84-BF53-5839F1A26708}</author>
    <author>tc={7C683C32-962F-4806-A1AB-6E6964B34523}</author>
    <author>tc={5653E446-D393-40C1-A794-4800335652B4}</author>
    <author>tc={5AF57A17-74DC-4747-BE7A-3ECB75BAA857}</author>
    <author>tc={37CF6CAF-52BB-4529-8422-966BD1CCE868}</author>
    <author>tc={824A813A-6CF6-48FE-A258-EEDC94DB712A}</author>
    <author>tc={4D0D99E7-0094-428B-B4F4-7B322D6B90F4}</author>
    <author>tc={2C4E589F-A397-4587-9013-84365E829417}</author>
    <author>tc={D97378B8-583E-448E-86BE-F41E0762D426}</author>
    <author>tc={14D2AC08-373C-4BC2-AC0D-85F8A0D6A8AA}</author>
    <author>tc={A3C47215-1FE3-4A49-8B37-F428270BEE7B}</author>
    <author>tc={2345DA65-6CF7-49C3-A58C-1E7B3DE155A9}</author>
    <author>tc={D8214D93-D1B2-45B3-B845-B36EB771B5E9}</author>
    <author>tc={F80009F5-45DC-4AD7-91C7-8A71CD4B93B1}</author>
    <author>tc={A5F5E895-759C-4BEE-B19F-4DC31DEBE3DB}</author>
    <author>tc={01E7CAAD-4D42-4568-8253-AE173FA9BE5B}</author>
    <author>tc={D08A23F8-16DA-4C83-93FE-8492D92356C8}</author>
    <author>tc={E7537BC0-5699-48AD-9736-584B1942D35D}</author>
    <author>tc={31848541-5900-4B87-89CD-C8EF7B691CDC}</author>
    <author>tc={031108AA-8D04-4990-BBCF-DD2098939F33}</author>
    <author>tc={A17DACD4-9174-4F7B-BF3B-3B8DB1AA6D75}</author>
    <author>tc={B70C87FD-4CEE-4A8D-8E61-009C17EC9285}</author>
    <author>tc={DC7FE293-C0CC-4BF1-A7C2-3363470F8714}</author>
    <author>tc={8CDAC6A0-56FE-46A3-AB76-6DD10A2BD26C}</author>
    <author>tc={FEE21791-EC55-4C04-BD78-64F3CC5D57BA}</author>
    <author>tc={9AD321C6-E1D9-4FDF-9937-701F038A0377}</author>
    <author>tc={29032A7E-71C5-4C1F-9F24-B6B9A77EF185}</author>
    <author>tc={A4708FEF-8C18-4144-B3C6-748E0A041265}</author>
    <author>tc={1A7F99C2-82A0-45F7-9A2C-D5A86A99C631}</author>
    <author>tc={52124900-563F-4B55-8AF7-A30CB795B34B}</author>
    <author>tc={9B0E2A01-42FA-4319-8198-8CDC54B5D1A1}</author>
    <author>tc={5BD3A202-51E5-4C14-8991-8AFD7E94E761}</author>
    <author>tc={293A5B57-37A4-4D7A-BE86-C5C05B9BC6AE}</author>
    <author>tc={F847554A-54F2-45F2-B61F-704798CE2FB0}</author>
    <author>tc={7EB810F2-8894-4EB0-97BB-1A6ECE894423}</author>
    <author>tc={881D75AE-2AD0-419D-8BFF-F7956CFB8117}</author>
    <author>tc={726E5D60-889F-4B30-974F-188BC48C3E1B}</author>
    <author>tc={95C3C469-5D1C-4FD2-918F-12C6DEA588F2}</author>
    <author>tc={22E25760-5825-4B1F-AB5F-F312CBAE0AB4}</author>
    <author>tc={4982CBF0-3EB0-40A8-BCE8-F06A0802EB1C}</author>
    <author>tc={FB1F36B9-04E3-491C-AB3C-07EFB1DCA83E}</author>
    <author>tc={D31E8C5D-06AB-466B-AE26-8E6E4E49F062}</author>
  </authors>
  <commentList>
    <comment ref="I4" authorId="0" shapeId="0" xr:uid="{BE2375AC-1FAF-44E1-9EC4-C93788DC684C}">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66875AA3-88D8-4D84-BF53-5839F1A26708}">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7C683C32-962F-4806-A1AB-6E6964B34523}">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5653E446-D393-40C1-A794-4800335652B4}">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5AF57A17-74DC-4747-BE7A-3ECB75BAA857}">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37CF6CAF-52BB-4529-8422-966BD1CCE868}">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824A813A-6CF6-48FE-A258-EEDC94DB712A}">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4D0D99E7-0094-428B-B4F4-7B322D6B90F4}">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2C4E589F-A397-4587-9013-84365E829417}">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D97378B8-583E-448E-86BE-F41E0762D426}">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O7" authorId="10" shapeId="0" xr:uid="{14D2AC08-373C-4BC2-AC0D-85F8A0D6A8AA}">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1" shapeId="0" xr:uid="{A3C47215-1FE3-4A49-8B37-F428270BEE7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2" shapeId="0" xr:uid="{2345DA65-6CF7-49C3-A58C-1E7B3DE155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3" shapeId="0" xr:uid="{D8214D93-D1B2-45B3-B845-B36EB771B5E9}">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4" shapeId="0" xr:uid="{F80009F5-45DC-4AD7-91C7-8A71CD4B93B1}">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5" shapeId="0" xr:uid="{A5F5E895-759C-4BEE-B19F-4DC31DEBE3DB}">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6" shapeId="0" xr:uid="{01E7CAAD-4D42-4568-8253-AE173FA9BE5B}">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7" shapeId="0" xr:uid="{D08A23F8-16DA-4C83-93FE-8492D92356C8}">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8" shapeId="0" xr:uid="{E7537BC0-5699-48AD-9736-584B1942D35D}">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19" shapeId="0" xr:uid="{31848541-5900-4B87-89CD-C8EF7B691CDC}">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0" shapeId="0" xr:uid="{031108AA-8D04-4990-BBCF-DD2098939F33}">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1" shapeId="0" xr:uid="{A17DACD4-9174-4F7B-BF3B-3B8DB1AA6D75}">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2" shapeId="0" xr:uid="{B70C87FD-4CEE-4A8D-8E61-009C17EC9285}">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3" shapeId="0" xr:uid="{DC7FE293-C0CC-4BF1-A7C2-3363470F8714}">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4" shapeId="0" xr:uid="{8CDAC6A0-56FE-46A3-AB76-6DD10A2BD26C}">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5" shapeId="0" xr:uid="{FEE21791-EC55-4C04-BD78-64F3CC5D57B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6" shapeId="0" xr:uid="{9AD321C6-E1D9-4FDF-9937-701F038A0377}">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7" shapeId="0" xr:uid="{29032A7E-71C5-4C1F-9F24-B6B9A77EF18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8" shapeId="0" xr:uid="{A4708FEF-8C18-4144-B3C6-748E0A04126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29" shapeId="0" xr:uid="{1A7F99C2-82A0-45F7-9A2C-D5A86A99C631}">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0" shapeId="0" xr:uid="{52124900-563F-4B55-8AF7-A30CB795B34B}">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1" shapeId="0" xr:uid="{9B0E2A01-42FA-4319-8198-8CDC54B5D1A1}">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2" shapeId="0" xr:uid="{5BD3A202-51E5-4C14-8991-8AFD7E94E761}">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3" shapeId="0" xr:uid="{293A5B57-37A4-4D7A-BE86-C5C05B9BC6AE}">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4" shapeId="0" xr:uid="{F847554A-54F2-45F2-B61F-704798CE2FB0}">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5" shapeId="0" xr:uid="{7EB810F2-8894-4EB0-97BB-1A6ECE894423}">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6" shapeId="0" xr:uid="{881D75AE-2AD0-419D-8BFF-F7956CFB8117}">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7" shapeId="0" xr:uid="{726E5D60-889F-4B30-974F-188BC48C3E1B}">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8" shapeId="0" xr:uid="{95C3C469-5D1C-4FD2-918F-12C6DEA588F2}">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39" shapeId="0" xr:uid="{22E25760-5825-4B1F-AB5F-F312CBAE0AB4}">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0" shapeId="0" xr:uid="{4982CBF0-3EB0-40A8-BCE8-F06A0802EB1C}">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1" shapeId="0" xr:uid="{FB1F36B9-04E3-491C-AB3C-07EFB1DCA83E}">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2" shapeId="0" xr:uid="{D31E8C5D-06AB-466B-AE26-8E6E4E49F062}">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<sst xmlns="http://schemas.openxmlformats.org/spreadsheetml/2006/main" count="929" uniqueCount="505">
  <si>
    <t>Mandatory Information</t>
  </si>
  <si>
    <t>Cells B3 to B6 are mandatory, make sure these are filled out before saving this file.
Please do not add rows or columns before this section. Do not rename the titles on column A either.</t>
  </si>
  <si>
    <t>Save SIMS by</t>
  </si>
  <si>
    <t>Project Name</t>
  </si>
  <si>
    <t>Advanced Manufacturing</t>
  </si>
  <si>
    <t>Project Manager</t>
  </si>
  <si>
    <t>Sayee Thakare</t>
  </si>
  <si>
    <t>Supplier Transitions &amp; Repositions Team</t>
  </si>
  <si>
    <t>ELE</t>
  </si>
  <si>
    <t>General Guidelines</t>
  </si>
  <si>
    <r>
      <t xml:space="preserve">To ensure your SIMS is successfully published:
-Make sure the above 3 fields in </t>
    </r>
    <r>
      <rPr>
        <b/>
        <sz val="10"/>
        <color rgb="FFFF0000"/>
        <rFont val="Aptos Narrow"/>
        <family val="2"/>
        <scheme val="minor"/>
      </rPr>
      <t>red</t>
    </r>
    <r>
      <rPr>
        <sz val="10"/>
        <color theme="1"/>
        <rFont val="Aptos Narrow"/>
        <family val="2"/>
        <scheme val="minor"/>
      </rPr>
      <t xml:space="preserve"> are properly filled out
-Do not rename nor delete the SIMS sheet
-Do not insert any rows before row # 8
-Do not rename existing columns
-Only enter Numeric or Date value for those types of columns: If a task doesn’t apply, please enter 0 in the duration row
</t>
    </r>
    <r>
      <rPr>
        <b/>
        <sz val="10"/>
        <color theme="1"/>
        <rFont val="Aptos Narrow"/>
        <family val="2"/>
        <scheme val="minor"/>
      </rPr>
      <t>First Time Publishing your SIMS</t>
    </r>
    <r>
      <rPr>
        <sz val="10"/>
        <color theme="1"/>
        <rFont val="Aptos Narrow"/>
        <family val="2"/>
        <scheme val="minor"/>
      </rPr>
      <t xml:space="preserve">
-Utilize the </t>
    </r>
    <r>
      <rPr>
        <b/>
        <sz val="10"/>
        <color rgb="FF92D050"/>
        <rFont val="Aptos Narrow"/>
        <family val="2"/>
        <scheme val="minor"/>
      </rPr>
      <t xml:space="preserve">PUBLISH IMS </t>
    </r>
    <r>
      <rPr>
        <sz val="10"/>
        <color theme="1"/>
        <rFont val="Aptos Narrow"/>
        <family val="2"/>
        <scheme val="minor"/>
      </rPr>
      <t xml:space="preserve">button on the SIMS sheet
-If there is no Actual FAIR Order Acknowledged Date (refer to the Baseline Type column (H)), the system will consider it as the initial “Pre-Execution” baseline and will lock it in the database and harcode your baseline dates up to the TRB Approval milestone on this file
-For projects with a FAIR Order Acknowledged Actual Completion Date, the system will add them both the “Pre-Execution” and “Execution” baselines, it will lock them in the database and will hardcode ALL your baseline dates on this file
</t>
    </r>
    <r>
      <rPr>
        <b/>
        <sz val="10"/>
        <color theme="1"/>
        <rFont val="Aptos Narrow"/>
        <family val="2"/>
        <scheme val="minor"/>
      </rPr>
      <t>Subsequent Publications</t>
    </r>
    <r>
      <rPr>
        <sz val="10"/>
        <color theme="1"/>
        <rFont val="Aptos Narrow"/>
        <family val="2"/>
        <scheme val="minor"/>
      </rPr>
      <t xml:space="preserve">
-The previous file will be overwritten, and the system will take your current schedule
-The system will check for part project that moved from “Pre-Execution” to “Execution” and will add and lock the Execution Baseline in the database. All baselines dates after the TRB approval milestone will be hardcoded in the file as well.</t>
    </r>
  </si>
  <si>
    <t>Baseline Changes</t>
  </si>
  <si>
    <t>-Please follow the baseline change management process</t>
  </si>
  <si>
    <t>Resources</t>
  </si>
  <si>
    <t>https://honeywellprod.sharepoint.com/teams/OpExSupplierReadiness/LearningAcademy/MOS%20and%20Standard%20Templates/PM_MOS_Tools/Simplified%20IMS%20%26%20Inchstones</t>
  </si>
  <si>
    <t>Key Metrics</t>
  </si>
  <si>
    <t>Category</t>
  </si>
  <si>
    <t>Milestone/Task</t>
  </si>
  <si>
    <t>Responsible Person</t>
  </si>
  <si>
    <t>General Metric Drivers</t>
  </si>
  <si>
    <t>Project Start IRB Approval Date
FAIR Order Placed
FAIR Order Acknowledged</t>
  </si>
  <si>
    <t>Project Initiator
Project Manager
Project Manager</t>
  </si>
  <si>
    <t>L1 Milestones</t>
  </si>
  <si>
    <t>EPA/TDR/ECE
Supplier &amp; HON STR/QTR Approved by HON Eng
Supplier Signed Contract 
Final FAIR
Target Complete Date (TCD)</t>
  </si>
  <si>
    <t>Project Engineer
Project Engineer
Commodity Manager
Project Manager
Project Manager</t>
  </si>
  <si>
    <t>L2 Milestones</t>
  </si>
  <si>
    <t>Quote Received
Capability &amp; Capacity Assessment Complete
TRB Approval Date
Material Received at Supplier
Supplier FAIR Lot Build Complete
IMS Part Complete Date (PCD)
Production Cutover Date</t>
  </si>
  <si>
    <t>Commodity Manager
Supplier Development Engineer*
Commodity Manager
Project Manager
Project Manager
Project Manager
Project Manager</t>
  </si>
  <si>
    <t>Cycles of Learning</t>
  </si>
  <si>
    <t>Dimensional Pre-Qualification
Supplier Qualification (post-Conditional FAIR)
Dimensional Qualification
HON Qualification</t>
  </si>
  <si>
    <t>Project Manager
Project Manager
Project Manager
Project Manager</t>
  </si>
  <si>
    <t>Abbreviations</t>
  </si>
  <si>
    <t>Abbreviation</t>
  </si>
  <si>
    <t>Description</t>
  </si>
  <si>
    <t xml:space="preserve">ACD </t>
  </si>
  <si>
    <t>Actual Completion Date</t>
  </si>
  <si>
    <t>AID</t>
  </si>
  <si>
    <t>Accolade Part Project ID</t>
  </si>
  <si>
    <t xml:space="preserve">AMCON </t>
  </si>
  <si>
    <t>Andavnced Management Control</t>
  </si>
  <si>
    <t>ASL</t>
  </si>
  <si>
    <t>Approved Supplier List</t>
  </si>
  <si>
    <t xml:space="preserve">AVL </t>
  </si>
  <si>
    <t>Approved Vendor List</t>
  </si>
  <si>
    <t>BTS</t>
  </si>
  <si>
    <t>Build to Specification</t>
  </si>
  <si>
    <t xml:space="preserve">CDR </t>
  </si>
  <si>
    <t>Critical Design Review</t>
  </si>
  <si>
    <t xml:space="preserve">CECD </t>
  </si>
  <si>
    <t>Current Estimated Completion Date</t>
  </si>
  <si>
    <t xml:space="preserve">ConDR </t>
  </si>
  <si>
    <t>Configuration Design Review</t>
  </si>
  <si>
    <t>DCMA</t>
  </si>
  <si>
    <t>Defense Contract Management Agency</t>
  </si>
  <si>
    <t xml:space="preserve">DREA </t>
  </si>
  <si>
    <t>Design Review Engineering Approval</t>
  </si>
  <si>
    <t>ECD</t>
  </si>
  <si>
    <t>Estimated Completion Date</t>
  </si>
  <si>
    <t xml:space="preserve">ECD </t>
  </si>
  <si>
    <t>ECE</t>
  </si>
  <si>
    <t>Engineering Cost Estimate</t>
  </si>
  <si>
    <t>EPA</t>
  </si>
  <si>
    <t>Engineering Part Assessment</t>
  </si>
  <si>
    <t xml:space="preserve">ETSO </t>
  </si>
  <si>
    <t>European Technical Standard Order</t>
  </si>
  <si>
    <t xml:space="preserve">FAA </t>
  </si>
  <si>
    <t>Federal Aviation Administration</t>
  </si>
  <si>
    <t xml:space="preserve">FAIR </t>
  </si>
  <si>
    <t>First Article Inspection Report</t>
  </si>
  <si>
    <t>FPL</t>
  </si>
  <si>
    <t>First Production Lot</t>
  </si>
  <si>
    <t xml:space="preserve">HON </t>
  </si>
  <si>
    <t>Honeywell</t>
  </si>
  <si>
    <t xml:space="preserve">IMS </t>
  </si>
  <si>
    <t>Integrated Master Schedule</t>
  </si>
  <si>
    <t xml:space="preserve">IRB </t>
  </si>
  <si>
    <t>Idea Review Board</t>
  </si>
  <si>
    <t xml:space="preserve">L1DR </t>
  </si>
  <si>
    <t>Level 1 Design Review</t>
  </si>
  <si>
    <t xml:space="preserve">LC&amp;E </t>
  </si>
  <si>
    <t>Law, Contracts &amp; Export</t>
  </si>
  <si>
    <t xml:space="preserve">PCD </t>
  </si>
  <si>
    <t>Part Complete Date</t>
  </si>
  <si>
    <t xml:space="preserve">PDR </t>
  </si>
  <si>
    <t>Preliminary Design Review</t>
  </si>
  <si>
    <t>PFEP</t>
  </si>
  <si>
    <t>Plan for Every Part</t>
  </si>
  <si>
    <t xml:space="preserve">PO </t>
  </si>
  <si>
    <t>Purchase Order</t>
  </si>
  <si>
    <t xml:space="preserve">PRR </t>
  </si>
  <si>
    <t>Production Readiness Review</t>
  </si>
  <si>
    <t xml:space="preserve">PSC </t>
  </si>
  <si>
    <t>Procurement Specification Control</t>
  </si>
  <si>
    <t xml:space="preserve">PTCD </t>
  </si>
  <si>
    <t>Project Technical Completion Date</t>
  </si>
  <si>
    <t xml:space="preserve">QTP </t>
  </si>
  <si>
    <t>Qualification Test Plan</t>
  </si>
  <si>
    <t xml:space="preserve">QTR </t>
  </si>
  <si>
    <t>Qualification Test Report</t>
  </si>
  <si>
    <t xml:space="preserve">RFQ </t>
  </si>
  <si>
    <t>Request for Quotation</t>
  </si>
  <si>
    <t xml:space="preserve">RM </t>
  </si>
  <si>
    <t>Raw Material</t>
  </si>
  <si>
    <t>SCS</t>
  </si>
  <si>
    <t>Supplier Control System</t>
  </si>
  <si>
    <t>SOW</t>
  </si>
  <si>
    <t>Statement of Work</t>
  </si>
  <si>
    <t>SS1</t>
  </si>
  <si>
    <t>Source Status 1</t>
  </si>
  <si>
    <t>STR</t>
  </si>
  <si>
    <t>Structural Test Report</t>
  </si>
  <si>
    <t xml:space="preserve">SubCon </t>
  </si>
  <si>
    <t>Subcontractor</t>
  </si>
  <si>
    <t xml:space="preserve">TCD </t>
  </si>
  <si>
    <t>Target Complete Date</t>
  </si>
  <si>
    <t xml:space="preserve">TDR </t>
  </si>
  <si>
    <t>Technical Design Review</t>
  </si>
  <si>
    <t xml:space="preserve">TRB </t>
  </si>
  <si>
    <t>Transition Review Board</t>
  </si>
  <si>
    <t xml:space="preserve">TRR </t>
  </si>
  <si>
    <t>Test Readiness Review</t>
  </si>
  <si>
    <t>TSO</t>
  </si>
  <si>
    <t>Technical Standard Order</t>
  </si>
  <si>
    <t>Suggested Tasks Durations</t>
  </si>
  <si>
    <t>Task Name</t>
  </si>
  <si>
    <t>Casting &amp; Forging Task</t>
  </si>
  <si>
    <t>Machining Task</t>
  </si>
  <si>
    <t>BTS Task</t>
  </si>
  <si>
    <t>Sheet Metal</t>
  </si>
  <si>
    <t>Electronics Task</t>
  </si>
  <si>
    <t>Project Approved at Idea Review Board (IRB) (Authorization to Proceed)</t>
  </si>
  <si>
    <t>Project Eng (PE), Project Manager (PM), Supplier Dev Eng (SDE) and Material Eng (Mat Eng) Assigned - (Respective Leaders to assign)</t>
  </si>
  <si>
    <t>PE Completed Requirements Review with Design Authority (DA)</t>
  </si>
  <si>
    <t>Engineering Part Assessment (EPA) Completed &amp; Approved</t>
  </si>
  <si>
    <t>Transition Design Review (TDR) Completed &amp; Approved</t>
  </si>
  <si>
    <t>Supplier Dev Eng (SDE) Update STT with APQP Level and Flow Down Date</t>
  </si>
  <si>
    <t xml:space="preserve">3D Model Created and Released (if required from EPA/TDR) </t>
  </si>
  <si>
    <t>Drawings &amp; Specs (PSCs) Updated if Required</t>
  </si>
  <si>
    <t>PM Completed Initial Package Creation (Identify Potential Suppliers)</t>
  </si>
  <si>
    <t>PM Initiate DATT for Pre RFI &amp; Pre Award (Pre Auction)</t>
  </si>
  <si>
    <t xml:space="preserve"> BTP (BTS Optional) - Analyze Drawing and Identify Raw Material (RM) Include Testing Units (Tempe) and Raw Material Sources</t>
  </si>
  <si>
    <t xml:space="preserve"> BTP (BTS Optional) - Place Raw Material (RM) PO and Receive at Main Receiving Site</t>
  </si>
  <si>
    <t>Supplier Dev Eng (SDE) Validated Potential Suppliers Scouting Assessment</t>
  </si>
  <si>
    <t xml:space="preserve"> Received DATT Pre RFI Approval</t>
  </si>
  <si>
    <t xml:space="preserve"> PM Received Drawing Package from Drawing Pull Team (OPEX)</t>
  </si>
  <si>
    <t xml:space="preserve"> BTS - Statement of Work (SOW) Approved and Released by Project Engineer</t>
  </si>
  <si>
    <t xml:space="preserve"> Auction Team Sent Formal Request for Quotes (RFQ) to Suppliers</t>
  </si>
  <si>
    <t xml:space="preserve"> Received DATT Pre Award (Pre Auction) Approval</t>
  </si>
  <si>
    <t xml:space="preserve"> Auction Scheduled and Completed</t>
  </si>
  <si>
    <t xml:space="preserve"> Down Select Top 2 or 3 Suppliers for Award Evaluation</t>
  </si>
  <si>
    <t xml:space="preserve"> SDE to conduct Preliminary Technical Review (Compliance Matrix for BTS) including Capacity Assessment With Down Selected Suppliers</t>
  </si>
  <si>
    <t xml:space="preserve"> Part-Wise Down Select Go-To Supplier for Award</t>
  </si>
  <si>
    <t xml:space="preserve"> Identify the Go To Supplier for Award</t>
  </si>
  <si>
    <t xml:space="preserve"> Commodity Manager (CM) Presented and Received Transition Review Board (TRB) Approval to Award</t>
  </si>
  <si>
    <t>Project Award Letter Sent to Supplier by CM</t>
  </si>
  <si>
    <t>Receive LTC/VMI Amendment Signature</t>
  </si>
  <si>
    <t xml:space="preserve"> Initiate DATT Post Award Approval</t>
  </si>
  <si>
    <t xml:space="preserve"> Create QIR / POB Record for Supplier for all Sites</t>
  </si>
  <si>
    <t xml:space="preserve"> BTP - Create FAIR PO for PNs and release to Supplier</t>
  </si>
  <si>
    <t xml:space="preserve"> BTP - Create CIR and release 3 Production POs to Supplier</t>
  </si>
  <si>
    <t xml:space="preserve"> Create NRE POs and Release to Supplier (If Applicable)</t>
  </si>
  <si>
    <t xml:space="preserve"> CM Complete LTC Amendment</t>
  </si>
  <si>
    <t xml:space="preserve"> IMS Baselined by PM</t>
  </si>
  <si>
    <t xml:space="preserve"> Update Mutually Agreed Completion Date (MACD)</t>
  </si>
  <si>
    <t xml:space="preserve"> BTS - Design Review Expectations Agreement (DREA) Completed</t>
  </si>
  <si>
    <t xml:space="preserve"> BTS - Concept Design Review (ConDR) Completed</t>
  </si>
  <si>
    <t xml:space="preserve"> BTS - Preliminary Design Review (PDR) Completed</t>
  </si>
  <si>
    <t xml:space="preserve"> BTS - Critical Design Review (CDR) Completed</t>
  </si>
  <si>
    <t xml:space="preserve"> BTS - Add Supplier to SCS/ASL/AVL</t>
  </si>
  <si>
    <t xml:space="preserve"> BTS - First Article Inspection (FAI) Purchase Orders (POs) Placed as (SS2/Prove of Build (POB))</t>
  </si>
  <si>
    <t xml:space="preserve"> Capital Tooling Approval &amp; Tooling PO Issued</t>
  </si>
  <si>
    <t xml:space="preserve"> Received Final DATT Post Award Approval</t>
  </si>
  <si>
    <t xml:space="preserve"> Initial Production Cutover Plan (Adjust Prod POs for BTP) (Create Prod POs for BTS)</t>
  </si>
  <si>
    <t xml:space="preserve"> Tooling Fabrication/Tool Build Completed (If Applicable)</t>
  </si>
  <si>
    <t xml:space="preserve"> All Material Received at Supplier (Material Leadtime)</t>
  </si>
  <si>
    <t xml:space="preserve"> Supplier Trials (Discovery, Metallurgy, Dimensional)</t>
  </si>
  <si>
    <t xml:space="preserve"> Supplier Approved Processing Source List (APSL) Certification</t>
  </si>
  <si>
    <t xml:space="preserve"> Preliminary Fixed Process Approval</t>
  </si>
  <si>
    <t xml:space="preserve"> Build Complete (Production of FAIR or STICS lot) and Acceptance Test Procedure (ATP) Completed by Supplier</t>
  </si>
  <si>
    <t xml:space="preserve"> Conditional First Article Inspection Report (FAIR) Completed - FQE</t>
  </si>
  <si>
    <t xml:space="preserve"> Test Readiness Review (TRR) Completed</t>
  </si>
  <si>
    <t xml:space="preserve"> Substantiation (Machining/Testing if required)</t>
  </si>
  <si>
    <t xml:space="preserve"> Material Evaluation Completed</t>
  </si>
  <si>
    <t xml:space="preserve"> Functional Test Completed</t>
  </si>
  <si>
    <t xml:space="preserve"> BTS - Supplier Qual Complete &amp; Qualification Test Report (QTR) Submitted</t>
  </si>
  <si>
    <t xml:space="preserve"> BTS - HON Qual Completed &amp; Qualification Test Report (QTR) Submitted</t>
  </si>
  <si>
    <t xml:space="preserve"> Qualification Tests Reports (QTR) Approved by Eng and Send to FAA/DCMA/Customer (If Applicable)</t>
  </si>
  <si>
    <t xml:space="preserve"> Initiate Contract Review, Quota Arrangement and Pflag Setup with incumbent and go to CMs</t>
  </si>
  <si>
    <t xml:space="preserve"> Production Readiness Review (PRR) Completed</t>
  </si>
  <si>
    <t xml:space="preserve"> Federal Aviation Agency (FAA) Technical Standard Order (TSO/ETSO) or Defense Contract Management Agency (DCMA) Approval Complete</t>
  </si>
  <si>
    <t xml:space="preserve"> Customer QTR Approval Received</t>
  </si>
  <si>
    <t xml:space="preserve"> Final Cutover Plan Established</t>
  </si>
  <si>
    <t xml:space="preserve"> Elevate Supplier to Production Status (SS1) (If Applicable)</t>
  </si>
  <si>
    <t xml:space="preserve"> Final Fixed Process Approval Complete</t>
  </si>
  <si>
    <t xml:space="preserve"> Delta First Article Inspection Report (FAIR) Complete</t>
  </si>
  <si>
    <t xml:space="preserve"> Update Next Higher Assembly Drawings Complete</t>
  </si>
  <si>
    <t xml:space="preserve"> Update Service Bulletin, Aftermarket Documents Complete (If Applicable)</t>
  </si>
  <si>
    <t xml:space="preserve"> FAIR Parts Received at Main Receiving Site</t>
  </si>
  <si>
    <t xml:space="preserve"> Quota Arrangement and Preferred Flag Setup Complete</t>
  </si>
  <si>
    <t xml:space="preserve"> Part Complete Audit Completed</t>
  </si>
  <si>
    <t xml:space="preserve"> Integrated Master Schedule (IMS) Part Complete</t>
  </si>
  <si>
    <t>Default color coding</t>
  </si>
  <si>
    <t>Date (Manual input)</t>
  </si>
  <si>
    <t>Assumptions:</t>
  </si>
  <si>
    <t>1. Dates are calculated based on work weeks (Monday - Friday)
2. Holidays are not accounted</t>
  </si>
  <si>
    <t>Duration in days (manual input)</t>
  </si>
  <si>
    <t>Date Calculation</t>
  </si>
  <si>
    <t>ST 2.0 Phase</t>
  </si>
  <si>
    <t>Phase I</t>
  </si>
  <si>
    <t>Phase IIA</t>
  </si>
  <si>
    <t>Phase IIB</t>
  </si>
  <si>
    <t>Phase IIC</t>
  </si>
  <si>
    <t>Phase IIIA</t>
  </si>
  <si>
    <t>Phase IIIB</t>
  </si>
  <si>
    <t>Phase IV</t>
  </si>
  <si>
    <t>Not Applicable</t>
  </si>
  <si>
    <t>APU CB Gate</t>
  </si>
  <si>
    <t>CB Gate 0</t>
  </si>
  <si>
    <t>CB Gate 1</t>
  </si>
  <si>
    <t xml:space="preserve">CB Gate 2 </t>
  </si>
  <si>
    <t>CB Gate 3</t>
  </si>
  <si>
    <t>CB Gate 4</t>
  </si>
  <si>
    <t>Completed Task</t>
  </si>
  <si>
    <t>Accolade</t>
  </si>
  <si>
    <t>PRE-EXECUTION (Phase 2 &amp; 3)</t>
  </si>
  <si>
    <t>EXECUTION (Phase 4)</t>
  </si>
  <si>
    <t>Productivity Report Out Items</t>
  </si>
  <si>
    <t>Project Length Data Points (Work Days)</t>
  </si>
  <si>
    <t>Number of Cycles of Learning (manual input)</t>
  </si>
  <si>
    <t>Simplified IMS Required</t>
  </si>
  <si>
    <r>
      <rPr>
        <b/>
        <sz val="11"/>
        <color theme="1"/>
        <rFont val="Wingdings 3"/>
        <family val="1"/>
        <charset val="2"/>
      </rPr>
      <t></t>
    </r>
    <r>
      <rPr>
        <b/>
        <sz val="7.7"/>
        <color theme="1"/>
        <rFont val="Aptos Narrow"/>
        <family val="2"/>
      </rPr>
      <t xml:space="preserve"> </t>
    </r>
    <r>
      <rPr>
        <b/>
        <sz val="11"/>
        <color theme="1"/>
        <rFont val="Aptos Narrow"/>
        <family val="2"/>
        <scheme val="minor"/>
      </rPr>
      <t>Project Start</t>
    </r>
  </si>
  <si>
    <t>Customer Rqmnts Analysis 
(PSC, etc)</t>
  </si>
  <si>
    <t>EPA/ECE Complete</t>
  </si>
  <si>
    <t>TDR/ECE Complete</t>
  </si>
  <si>
    <t>BTS SOW Developed &amp; Approved</t>
  </si>
  <si>
    <t>RM Coverage Confirmed &amp; SubCon Complete</t>
  </si>
  <si>
    <t>Revised/ Release
PSC/ Drawings</t>
  </si>
  <si>
    <t>New Supplier Set Up</t>
  </si>
  <si>
    <t>Pre RFQ DATT
Approved</t>
  </si>
  <si>
    <t>Pre RFQ LC&amp;E
Approved</t>
  </si>
  <si>
    <t>Quote Received</t>
  </si>
  <si>
    <t>RFQ Release</t>
  </si>
  <si>
    <t xml:space="preserve">Down Select Suppliers &amp; PreAward DATT Approval </t>
  </si>
  <si>
    <t xml:space="preserve">Down Select Suppliers &amp; PreAward LC&amp;E Approval </t>
  </si>
  <si>
    <t>eAuction</t>
  </si>
  <si>
    <t>Capability &amp; Capacity Assessment Complete</t>
  </si>
  <si>
    <t>ECE Update Complete</t>
  </si>
  <si>
    <t>Award Eval Complete</t>
  </si>
  <si>
    <t>Capital Approved</t>
  </si>
  <si>
    <t>TRB Approval Date</t>
  </si>
  <si>
    <t>Go to Supplier Signed Award</t>
  </si>
  <si>
    <t>Project Kickoff</t>
  </si>
  <si>
    <t>DREA  Complete</t>
  </si>
  <si>
    <t>L1DR Complete</t>
  </si>
  <si>
    <t>ConDR Complete</t>
  </si>
  <si>
    <t>PDR Complete</t>
  </si>
  <si>
    <t>CDR Complete</t>
  </si>
  <si>
    <t>Internal HON Review (PTCD) Complete</t>
  </si>
  <si>
    <t>HON Approval of Supplier Drawings</t>
  </si>
  <si>
    <t>Approval of Qualification Test Plan (QTP)</t>
  </si>
  <si>
    <t>Add Supplier to SCS/ASL/AVL</t>
  </si>
  <si>
    <t>FAIR Order Placed</t>
  </si>
  <si>
    <t>FAIR Order Acknowledged</t>
  </si>
  <si>
    <t>Material Received at Supplier</t>
  </si>
  <si>
    <t>Capital Tooling PO Placed</t>
  </si>
  <si>
    <t>Tooling Completed</t>
  </si>
  <si>
    <t>Supplier Trials &amp; Substantiation
(Pre-Conditional FAIR)</t>
  </si>
  <si>
    <t>Supplier FAIR Lot Build Complete</t>
  </si>
  <si>
    <t>Dimensional Pre-Qualification</t>
  </si>
  <si>
    <t>Conditional FAIR Complete</t>
  </si>
  <si>
    <t>TRR</t>
  </si>
  <si>
    <t>Supplier Qualification (post-Conditional FAIR)</t>
  </si>
  <si>
    <t>Dimensional Qualification</t>
  </si>
  <si>
    <t xml:space="preserve">HON Qualification </t>
  </si>
  <si>
    <t>Supplier &amp; HON STR/QTR Approved by HON Eng</t>
  </si>
  <si>
    <t xml:space="preserve">Supplier Signed Contract </t>
  </si>
  <si>
    <t>Production Readiness Review (PRR)</t>
  </si>
  <si>
    <t>External Approvals: FAA Approval (TSO/ETSO) Complete</t>
  </si>
  <si>
    <t>External Approvals: Customer Approval Complete</t>
  </si>
  <si>
    <t>External Approvals: DCMA/ AMCON Approval</t>
  </si>
  <si>
    <t>SS1 Elevation</t>
  </si>
  <si>
    <t>Final FAIR</t>
  </si>
  <si>
    <t>Update Next Higher Assembly Drawings</t>
  </si>
  <si>
    <t>Update Service Bulletin, Aftermarket Documents</t>
  </si>
  <si>
    <t>IMS Part Complete Date (PCD)</t>
  </si>
  <si>
    <t>Production Cutover Date</t>
  </si>
  <si>
    <t>Target Complete Date (TCD)</t>
  </si>
  <si>
    <t>TCD Status</t>
  </si>
  <si>
    <t>Baseline Status</t>
  </si>
  <si>
    <t>Part Number</t>
  </si>
  <si>
    <t>Run Out Date</t>
  </si>
  <si>
    <t>Critical Part?</t>
  </si>
  <si>
    <t>Simplified IMS</t>
  </si>
  <si>
    <t>Notes</t>
  </si>
  <si>
    <t>Baseline Type</t>
  </si>
  <si>
    <t>Project Start IRB Approval Date</t>
  </si>
  <si>
    <t>Customer Rqmnts Analysis (PSC, etc) Baseline ECD</t>
  </si>
  <si>
    <t>Customer Rqmnts Analysis (PSC, etc) Current ECD (CECD)</t>
  </si>
  <si>
    <t>Customer Rqmnts Analysis 
(PSC, etc) Actual Completion Date (ACD)</t>
  </si>
  <si>
    <t>EPA/ECE Complete Baseline ECD</t>
  </si>
  <si>
    <t>EPA/ECE Complete Current ECD (CECD)</t>
  </si>
  <si>
    <t>EPA/ECE Complete Actual Completion Date (ACD)</t>
  </si>
  <si>
    <t>TDR/ECE Complete Baseline ECD</t>
  </si>
  <si>
    <t>TDR/ECE Complete Current ECD (CECD)</t>
  </si>
  <si>
    <t>TDR/ECE Complete Actual Completion Date (ACD)</t>
  </si>
  <si>
    <t>BTS SOW Developed &amp; Approved Baseline ECD</t>
  </si>
  <si>
    <t>BTS SOW Developed &amp; Approved Current ECD (CECD)</t>
  </si>
  <si>
    <t>BTS SOW Developed &amp; Approved Actual Completion Date (ACD)</t>
  </si>
  <si>
    <t>RM Coverage Confirmed &amp; SubCon Complete Baseline ECD</t>
  </si>
  <si>
    <t>RM Coverage Confirmed &amp; SubCon Complete Current ECD (CECD)</t>
  </si>
  <si>
    <t>RM Coverage Confirmed &amp; SubCon Complete Actual Completion Date (ACD)</t>
  </si>
  <si>
    <t>Revised/ Release PSC/ Drawings Baseline ECD</t>
  </si>
  <si>
    <t>Revised/ Release PSC/ Drawings Current ECD (CECD)</t>
  </si>
  <si>
    <t>Revised/ Release
PSC/ Drawings Actual Completion Date (ACD)</t>
  </si>
  <si>
    <t>New Supplier Set Up Baseline ECD</t>
  </si>
  <si>
    <t>New Supplier Set Up Current ECD (CECD)</t>
  </si>
  <si>
    <t>New Supplier Set Up Actual Completion Date (ACD)</t>
  </si>
  <si>
    <t>Pre RFQ DATT Approved Baseline ECD</t>
  </si>
  <si>
    <t>Pre RFQ DATT Approved Current ECD (CECD)</t>
  </si>
  <si>
    <t>Pre RFQ DATT
Approved Actual Completion Date (ACD)</t>
  </si>
  <si>
    <t>Quote Received Baseline ECD</t>
  </si>
  <si>
    <t>Quote Received Current ECD (CECD)</t>
  </si>
  <si>
    <t>Quote Received Actual Completion Date (ACD)</t>
  </si>
  <si>
    <t>Down Select Suppliers &amp; PreAward DATT Approval Baseline ECD</t>
  </si>
  <si>
    <t>Down Select Suppliers &amp; PreAward DATT Approval Current ECD (CECD)</t>
  </si>
  <si>
    <t>Down Select Suppliers &amp; PreAward DATT Approval Actual Completion Date (ACD)</t>
  </si>
  <si>
    <t>eAuction Baseline ECD</t>
  </si>
  <si>
    <t>eAuction Current ECD (CECD)</t>
  </si>
  <si>
    <t>eAuction Actual Completion Date (ACD)</t>
  </si>
  <si>
    <t>Capability &amp; Capacity Assessment Complete Baseline ECD</t>
  </si>
  <si>
    <t>Capability &amp; Capacity Assessment Complete Current ECD (CECD)</t>
  </si>
  <si>
    <t>Capability &amp; Capacity Assessment Complete Actual Completion Date (ACD)</t>
  </si>
  <si>
    <t>ECE Update Complete Baseline ECD</t>
  </si>
  <si>
    <t>ECE Update Complete Current ECD (CECD)</t>
  </si>
  <si>
    <t>ECE Update Complete Actual Completion Date (ACD)</t>
  </si>
  <si>
    <t>Award Eval Complete Baseline ECD</t>
  </si>
  <si>
    <t>Award Eval Complete Current ECD (CECD)</t>
  </si>
  <si>
    <t>Award Eval Complete Actual Completion Date (ACD)</t>
  </si>
  <si>
    <t>Capital Approved Baseline ECD</t>
  </si>
  <si>
    <t>Capital Approved Current ECD (CECD)</t>
  </si>
  <si>
    <t>Capital Approved Actual Completion Date (ACD)</t>
  </si>
  <si>
    <t>TRB Approval Date Baseline ECD</t>
  </si>
  <si>
    <t>TRB Approval Date Current ECD (CECD)</t>
  </si>
  <si>
    <t>TRB Approval Date Actual Completion Date (ACD)</t>
  </si>
  <si>
    <t>Go to Supplier Signed Award Baseline ECD</t>
  </si>
  <si>
    <t>Go to Supplier Signed Award Current ECD (CECD)</t>
  </si>
  <si>
    <t>Go to Supplier Signed Award Actual Completion Date (ACD)</t>
  </si>
  <si>
    <t>Project Kickoff Baseline ECD</t>
  </si>
  <si>
    <t>Project Kickoff Current ECD (CECD)</t>
  </si>
  <si>
    <t>Project Kickoff Actual Completion Date (ACD)</t>
  </si>
  <si>
    <t>DREA Complete Baseline ECD</t>
  </si>
  <si>
    <t>DREA Complete Current ECD (CECD)</t>
  </si>
  <si>
    <t>DREA Complete Actual Completion Date (ACD)</t>
  </si>
  <si>
    <t>L1DR Complete Baseline ECD</t>
  </si>
  <si>
    <t>L1DR Complete Current ECD (CECD)</t>
  </si>
  <si>
    <t>L1DR Complete Actual Completion Date (ACD)</t>
  </si>
  <si>
    <t>ConDR Complete Baseline ECD</t>
  </si>
  <si>
    <t>ConDR Complete Current ECD (CECD)</t>
  </si>
  <si>
    <t>ConDR Complete Actual Completion Date (ACD)</t>
  </si>
  <si>
    <t>PDR Complete Baseline ECD</t>
  </si>
  <si>
    <t>PDR Complete Current ECD (CECD)</t>
  </si>
  <si>
    <t>PDR Complete Actual Completion Date (ACD)</t>
  </si>
  <si>
    <t>CDR Complete Baseline ECD</t>
  </si>
  <si>
    <t>CDR Complete Actual Completion Date (ACD)</t>
  </si>
  <si>
    <t>Internal HON Review (PTCD) Complete Baseline ECD</t>
  </si>
  <si>
    <t>Internal HON Review (PTCD) Complete Actual Completion Date (ACD)</t>
  </si>
  <si>
    <t>HON Approval of Supplier Drawings Baseline ECD</t>
  </si>
  <si>
    <t>HON Approval of Supplier Drawings Current ECD (CECD)</t>
  </si>
  <si>
    <t>HON Approval of Supplier Drawings Actual Completion Date (ACD)</t>
  </si>
  <si>
    <t>Approval of Qualification Test Plan (QTP) Baseline ECD</t>
  </si>
  <si>
    <t>Approval of Qualification Test Plan (QTP) Current ECD (CECD)</t>
  </si>
  <si>
    <t>Approval of Qualification Test Plan (QTP) Actual Completion Date (ACD)</t>
  </si>
  <si>
    <t>Add Supplier to SCS/ASL/AVL Baseline ECD</t>
  </si>
  <si>
    <t>Add Supplier to SCS/ASL/AVL Current ECD (CECD)</t>
  </si>
  <si>
    <t>Add Supplier to SCS/ASL/AVL Actual Completion Date (ACD)</t>
  </si>
  <si>
    <t>FAIR Order Placed Baseline ECD</t>
  </si>
  <si>
    <t>FAIR Order Placed Current ECD (CECD)</t>
  </si>
  <si>
    <t>FAIR Order Placed Actual Completion Date (ACD)</t>
  </si>
  <si>
    <t>FAIR Order Acknowledged Baseline ECD</t>
  </si>
  <si>
    <t>FAIR Order Acknowledged Current ECD (CECD)</t>
  </si>
  <si>
    <t>FAIR Order Acknowledged Actual Completion Date (ACD)</t>
  </si>
  <si>
    <t>Execution Baseline Status</t>
  </si>
  <si>
    <t>Material Received at Supplier Baseline ECD</t>
  </si>
  <si>
    <t>Material Received at Supplier Current ECD (CECD)</t>
  </si>
  <si>
    <t>Material Received at Supplier Actual Completion Date (ACD)</t>
  </si>
  <si>
    <t>Capital Tooling PO Placed Baseline ECD</t>
  </si>
  <si>
    <t>Capital Tooling PO Placed Current ECD (CECD)</t>
  </si>
  <si>
    <t>Capital Tooling PO Placed Actual Completion Date (ACD)</t>
  </si>
  <si>
    <t>Tooling Completed Baseline ECD</t>
  </si>
  <si>
    <t>Tooling Completed Current ECD (CECD)</t>
  </si>
  <si>
    <t>Tooling Completed Actual Completion Date (ACD)</t>
  </si>
  <si>
    <t>Supplier Trials &amp; Substantiation (Pre-Conditional FAIR) Baseline ECD</t>
  </si>
  <si>
    <t>Supplier Trials &amp; Substantiation (Pre-Conditional FAIR) Current ECD (CECD)</t>
  </si>
  <si>
    <t>Supplier Trials &amp; Substantiation
(Pre-Conditional FAIR) Actual Completion Date (ACD)</t>
  </si>
  <si>
    <t>Supplier FAIR Lot Build Complete Baseline ECD</t>
  </si>
  <si>
    <t>Supplier FAIR Lot Build Complete Current ECD (CECD)</t>
  </si>
  <si>
    <t>Supplier FAIR Lot Build Complete Actual Completion Date (ACD)</t>
  </si>
  <si>
    <t>Number of Cycles of Learning for Dimensional Pre-Qualification</t>
  </si>
  <si>
    <t>Dimensional Pre-Qualification Baseline ECD</t>
  </si>
  <si>
    <t>Dimensional Pre-Qualification Current ECD (CECD)</t>
  </si>
  <si>
    <t>Dimensional Pre-Qualification Actual Completion Date (ACD)</t>
  </si>
  <si>
    <t>Conditional FAIR Complete Baseline ECD</t>
  </si>
  <si>
    <t>Conditional FAIR Complete Current ECD (CECD)</t>
  </si>
  <si>
    <t>Conditional FAIR Complete Actual Completion Date (ACD)</t>
  </si>
  <si>
    <t>TRR Baseline ECD</t>
  </si>
  <si>
    <t>TRR Current ECD (CECD)</t>
  </si>
  <si>
    <t>TRR Actual Completion Date (ACD)</t>
  </si>
  <si>
    <t>Number of Cycles of Learning for Supplier Qualification (post-Conditional FAIR)</t>
  </si>
  <si>
    <t>Supplier Qualification (post-Conditional FAIR) Baseline ECD</t>
  </si>
  <si>
    <t>Supplier Qualification (post-Conditional FAIR) Current ECD (CECD)</t>
  </si>
  <si>
    <t>Supplier Qualification (post-Conditional FAIR) Actual Completion Date (ACD)</t>
  </si>
  <si>
    <t>Number of Cycles of Learning for Dimensional Qualification</t>
  </si>
  <si>
    <t>Dimensional Qualification Baseline ECD</t>
  </si>
  <si>
    <t>Dimensional Qualification Current ECD (CECD)</t>
  </si>
  <si>
    <t>Dimensional Qualification Actual Completion Date (ACD)</t>
  </si>
  <si>
    <t>Number of Cycles of Learning for HON Qualification</t>
  </si>
  <si>
    <t>HON Qualification Baseline ECD</t>
  </si>
  <si>
    <t>HON Qualification Current ECD (CECD)</t>
  </si>
  <si>
    <t>HON Qualification Actual Completion Date (ACD)</t>
  </si>
  <si>
    <t>Supplier &amp; HON STR/QTR Approved by HON Eng Baseline ECD</t>
  </si>
  <si>
    <t>Supplier &amp; HON STR/QTR Approved by HON Eng Current ECD (CECD)</t>
  </si>
  <si>
    <t>Supplier &amp; HON STR/QTR Approved by HON Eng Actual Completion Date (ACD)</t>
  </si>
  <si>
    <t>Supplier Signed Contract Baseline ECD</t>
  </si>
  <si>
    <t>Supplier Signed Contract Current ECD (CECD)</t>
  </si>
  <si>
    <t>Supplier Signed Contract Actual Completion Date (ACD)</t>
  </si>
  <si>
    <t>Production Readiness Review (PRR) Baseline ECD</t>
  </si>
  <si>
    <t>Production Readiness Review (PRR) Current ECD (CECD)</t>
  </si>
  <si>
    <t>Production Readiness Review (PRR) Actual Completion Date (ACD)</t>
  </si>
  <si>
    <t>External Approvals: FAA Approval (TSO/ETSO) Complete Baseline ECD</t>
  </si>
  <si>
    <t>External Approvals: FAA Approval (TSO/ETSO) Complete Current ECD (CECD)</t>
  </si>
  <si>
    <t>External Approvals: FAA Approval (TSO/ETSO) Complete Actual Completion Date (ACD)</t>
  </si>
  <si>
    <t>External Approvals: Customer Approval Complete Baseline ECD</t>
  </si>
  <si>
    <t>External Approvals: Customer Approval Complete Current ECD (CECD)</t>
  </si>
  <si>
    <t>External Approvals: Customer Approval Complete Actual Completion Date (ACD)</t>
  </si>
  <si>
    <t>External Approvals: DCMA/ AMCON Approval Baseline ECD</t>
  </si>
  <si>
    <t>External Approvals: DCMA/ AMCON Approval Current ECD (CECD)</t>
  </si>
  <si>
    <t>External Approvals: DCMA/ AMCON Approval Actual Completion Date (ACD)</t>
  </si>
  <si>
    <t>SS1 Elevation Baseline ECD</t>
  </si>
  <si>
    <t>SS1 Elevation Current ECD (CECD)</t>
  </si>
  <si>
    <t>SS1 Elevation Actual Completion Date (ACD)</t>
  </si>
  <si>
    <t>Final FAIR Baseline ECD</t>
  </si>
  <si>
    <t>Final FAIR Current ECD (CECD)</t>
  </si>
  <si>
    <t>Final FAIR Actual Completion Date (ACD)</t>
  </si>
  <si>
    <t>Update Next Higher Assembly Drawings Baseline ECD</t>
  </si>
  <si>
    <t>Update Next Higher Assembly Drawings Current ECD (CECD)</t>
  </si>
  <si>
    <t>Update Next Higher Assembly Drawings Actual Completion Date (ACD)</t>
  </si>
  <si>
    <t>Update Service Bulletin, Aftermarket Documents Baseline ECD</t>
  </si>
  <si>
    <t>Update Service Bulletin, Aftermarket Documents Current ECD (CECD)</t>
  </si>
  <si>
    <t>Update Service Bulletin, Aftermarket Documents Actual Completion Date (ACD)</t>
  </si>
  <si>
    <t>IMS Part Complete Date (PCD) Baseline ECD</t>
  </si>
  <si>
    <t>IMS Part Complete Date (PCD) Current ECD (CECD)</t>
  </si>
  <si>
    <t>IMS Part Complete Date (PCD) Actual Completion Date (ACD)</t>
  </si>
  <si>
    <t>Production Cutover Date Baseline ECD</t>
  </si>
  <si>
    <t>Production Cutover Date Current ECD (CECD)</t>
  </si>
  <si>
    <t>Production Cutover Date Actual Completion Date (ACD)</t>
  </si>
  <si>
    <t>Target Complete Date (TCD) Baseline ECD</t>
  </si>
  <si>
    <t>Target Complete Date (TCD) Current ECD (CECD)</t>
  </si>
  <si>
    <t>Target Complete Date (TCD) Actual Completion Date (ACD)</t>
  </si>
  <si>
    <t>Baseline Status (Do not Update)</t>
  </si>
  <si>
    <t>Project Length Baseline Forecast</t>
  </si>
  <si>
    <t>Project Length Current Forecast</t>
  </si>
  <si>
    <t>Project Length Actual</t>
  </si>
  <si>
    <t>Project Length Area</t>
  </si>
  <si>
    <t>Durations in WD</t>
  </si>
  <si>
    <t>Total Project</t>
  </si>
  <si>
    <t>Template for Calculation</t>
  </si>
  <si>
    <t>BTP FAIR Only Part Number</t>
  </si>
  <si>
    <t>Execution Only</t>
  </si>
  <si>
    <t>BTP + Qual Part Number</t>
  </si>
  <si>
    <t>BTS Part Number</t>
  </si>
  <si>
    <t>BTP + Casting</t>
  </si>
  <si>
    <t>BTP + Forging</t>
  </si>
  <si>
    <t xml:space="preserve">ALL TEAMS HAVE SAME TEMPLATE LOCKED HERE </t>
  </si>
  <si>
    <t>Metric Driver</t>
  </si>
  <si>
    <t>Metric Driver - L1 Milestone</t>
  </si>
  <si>
    <t>Metric Driver - L2 Milestone</t>
  </si>
  <si>
    <r>
      <t xml:space="preserve">To generate your SIMS, enter the </t>
    </r>
    <r>
      <rPr>
        <b/>
        <sz val="12"/>
        <color rgb="FFFF0000"/>
        <rFont val="Aptos Narrow"/>
        <family val="2"/>
        <scheme val="minor"/>
      </rPr>
      <t xml:space="preserve">Accolade IDs </t>
    </r>
    <r>
      <rPr>
        <b/>
        <sz val="12"/>
        <rFont val="Aptos Narrow"/>
        <family val="2"/>
        <scheme val="minor"/>
      </rPr>
      <t>for each project type starting on row#27</t>
    </r>
    <r>
      <rPr>
        <b/>
        <sz val="12"/>
        <color theme="1"/>
        <rFont val="Aptos Narrow"/>
        <family val="2"/>
        <scheme val="minor"/>
      </rPr>
      <t>. Then click on generate SIMS:</t>
    </r>
  </si>
  <si>
    <t>Project Length Data Points</t>
  </si>
  <si>
    <t>019-02185-0000</t>
  </si>
  <si>
    <t>Execution schedule has been re-baselined w/ FAIR PO Ack ACD. Validate your durations before publishing</t>
  </si>
  <si>
    <t>Execution Baseline Locked</t>
  </si>
  <si>
    <t>019-06019-0000</t>
  </si>
  <si>
    <t>019-06020-0000</t>
  </si>
  <si>
    <t>019-07090-0000</t>
  </si>
  <si>
    <t>019-07094-0000</t>
  </si>
  <si>
    <t>019-07104-0000</t>
  </si>
  <si>
    <t>019-07245-0000</t>
  </si>
  <si>
    <t>019-07252-0000</t>
  </si>
  <si>
    <t>019-07274-0000</t>
  </si>
  <si>
    <t>019-08286-0001</t>
  </si>
  <si>
    <t>Task</t>
  </si>
  <si>
    <t>Days</t>
  </si>
  <si>
    <t>Date</t>
  </si>
  <si>
    <t>Start</t>
  </si>
  <si>
    <t>Task 1</t>
  </si>
  <si>
    <t>Task 2</t>
  </si>
  <si>
    <t>Task 3</t>
  </si>
  <si>
    <t>Task 4</t>
  </si>
  <si>
    <t>Task 5</t>
  </si>
  <si>
    <t>Task 6</t>
  </si>
  <si>
    <t>Task 7</t>
  </si>
  <si>
    <t>Task 8</t>
  </si>
  <si>
    <t>Task 9</t>
  </si>
  <si>
    <t>Task 10</t>
  </si>
  <si>
    <t>Task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</si>
</sst>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1"/>
      <name val="Aptos Narrow"/>
      <family val="2"/>
      <scheme val="minor"/>
    </font>
    <font>
      <b/>
      <sz val="11"/>
      <color rgb="FF000000"/>
      <name val="Calibri"/>
      <family val="2"/>
    </font>
    <font>
      <b/>
      <sz val="10"/>
      <color rgb="FF000000"/>
      <name val="Calibri"/>
      <family val="2"/>
    </font>
    <font>
      <b/>
      <sz val="10"/>
      <color theme="0"/>
      <name val="Calibri"/>
      <family val="2"/>
    </font>
    <font>
      <b/>
      <sz val="10"/>
      <color theme="1"/>
      <name val="Calibri"/>
      <family val="2"/>
    </font>
    <font>
      <b/>
      <sz val="10"/>
      <name val="Calibri"/>
      <family val="2"/>
    </font>
    <font>
      <sz val="9"/>
      <color theme="1"/>
      <name val="Aptos Narrow"/>
      <family val="2"/>
      <scheme val="minor"/>
    </font>
    <font>
      <sz val="11"/>
      <color rgb="FF000000"/>
      <name val="Calibri"/>
      <family val="2"/>
    </font>
    <font>
      <b/>
      <sz val="11"/>
      <color theme="0"/>
      <name val="Aptos Narrow"/>
      <family val="2"/>
      <scheme val="minor"/>
    </font>
    <font>
      <sz val="11"/>
      <color theme="0"/>
      <name val="Aptos Narrow"/>
      <family val="2"/>
      <scheme val="minor"/>
    </font>
    <font>
      <sz val="9"/>
      <color theme="0"/>
      <name val="Aptos Narrow"/>
      <family val="2"/>
      <scheme val="minor"/>
    </font>
    <font>
      <b/>
      <sz val="11"/>
      <color theme="0"/>
      <name val="Calibri"/>
      <family val="2"/>
    </font>
    <font>
      <b/>
      <sz val="12"/>
      <color rgb="FF000000"/>
      <name val="Calibri"/>
      <family val="2"/>
    </font>
    <font>
      <b/>
      <sz val="11"/>
      <color theme="1" tint="0.249977111117893"/>
      <name val="Aptos Narrow"/>
      <family val="2"/>
      <scheme val="minor"/>
    </font>
    <font>
      <b/>
      <sz val="11"/>
      <color theme="1"/>
      <name val="Aptos Narrow"/>
      <family val="1"/>
      <charset val="2"/>
      <scheme val="minor"/>
    </font>
    <font>
      <b/>
      <sz val="11"/>
      <color theme="1"/>
      <name val="Wingdings 3"/>
      <family val="1"/>
      <charset val="2"/>
    </font>
    <font>
      <b/>
      <sz val="7.7"/>
      <color theme="1"/>
      <name val="Aptos Narrow"/>
      <family val="2"/>
    </font>
    <font>
      <b/>
      <sz val="11"/>
      <color theme="1"/>
      <name val="Calibri"/>
      <family val="2"/>
    </font>
    <font>
      <u/>
      <sz val="11"/>
      <color theme="10"/>
      <name val="Aptos Narrow"/>
      <family val="2"/>
      <scheme val="minor"/>
    </font>
    <font>
      <sz val="11"/>
      <color rgb="FF3F3F76"/>
      <name val="Aptos Narrow"/>
      <family val="2"/>
      <scheme val="minor"/>
    </font>
    <font>
      <sz val="8"/>
      <color theme="1"/>
      <name val="Aptos Narrow"/>
      <family val="2"/>
      <scheme val="minor"/>
    </font>
    <font>
      <b/>
      <sz val="10"/>
      <color rgb="FFFF0000"/>
      <name val="Aptos Narrow"/>
      <family val="2"/>
      <scheme val="minor"/>
    </font>
    <font>
      <b/>
      <sz val="10"/>
      <color theme="1"/>
      <name val="Aptos Narrow"/>
      <family val="2"/>
      <scheme val="minor"/>
    </font>
    <font>
      <b/>
      <sz val="14"/>
      <color rgb="FF3F3F76"/>
      <name val="Aptos Narrow"/>
      <family val="2"/>
      <scheme val="minor"/>
    </font>
    <font>
      <b/>
      <sz val="10"/>
      <color theme="2" tint="-0.499984740745262"/>
      <name val="Calibri"/>
      <family val="2"/>
    </font>
    <font>
      <b/>
      <sz val="10"/>
      <color theme="2" tint="-0.499984740745262"/>
      <name val="Aptos Narrow"/>
      <family val="2"/>
      <scheme val="minor"/>
    </font>
    <font>
      <sz val="10"/>
      <color theme="1"/>
      <name val="Aptos Narrow"/>
      <family val="2"/>
      <scheme val="minor"/>
    </font>
    <font>
      <b/>
      <sz val="10"/>
      <color rgb="FF92D050"/>
      <name val="Aptos Narrow"/>
      <family val="2"/>
      <scheme val="minor"/>
    </font>
    <font>
      <b/>
      <sz val="12"/>
      <color rgb="FFFF0000"/>
      <name val="Aptos Narrow"/>
      <family val="2"/>
      <scheme val="minor"/>
    </font>
    <font>
      <b/>
      <sz val="12"/>
      <name val="Aptos Narrow"/>
      <family val="2"/>
      <scheme val="minor"/>
    </font>
  </fonts>
  <fills count="34">
    <fill>
      <patternFill patternType="none"/>
    </fill>
    <fill>
      <patternFill patternType="gray125"/>
    </fill>
    <fill>
      <patternFill patternType="solid">
        <fgColor theme="0"/>
        <bgColor indexed="64"/>
      </patternFill>
    </fill>
    <fill>
      <patternFill patternType="solid">
        <fgColor theme="7"/>
        <bgColor indexed="64"/>
      </patternFill>
    </fill>
    <fill>
      <patternFill patternType="solid">
        <fgColor rgb="FF00B0F0"/>
        <bgColor indexed="64"/>
      </patternFill>
    </fill>
    <fill>
      <patternFill patternType="solid">
        <fgColor rgb="FFFFFF00"/>
        <bgColor theme="4"/>
      </patternFill>
    </fill>
    <fill>
      <patternFill patternType="solid">
        <fgColor rgb="FFFFFF00"/>
        <bgColor indexed="64"/>
      </patternFill>
    </fill>
    <fill>
      <patternFill patternType="solid">
        <fgColor theme="0"/>
        <bgColor theme="4"/>
      </patternFill>
    </fill>
    <fill>
      <patternFill patternType="solid">
        <fgColor rgb="FF92D050"/>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1"/>
        <bgColor indexed="64"/>
      </patternFill>
    </fill>
    <fill>
      <patternFill patternType="solid">
        <fgColor theme="2"/>
        <bgColor indexed="64"/>
      </patternFill>
    </fill>
    <fill>
      <patternFill patternType="solid">
        <fgColor rgb="FFC000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34998626667073579"/>
        <bgColor theme="4"/>
      </patternFill>
    </fill>
    <fill>
      <patternFill patternType="solid">
        <fgColor theme="0" tint="-0.34998626667073579"/>
        <bgColor indexed="64"/>
      </patternFill>
    </fill>
    <fill>
      <patternFill patternType="solid">
        <fgColor theme="1" tint="0.249977111117893"/>
        <bgColor theme="4"/>
      </patternFill>
    </fill>
    <fill>
      <patternFill patternType="solid">
        <fgColor theme="0" tint="-4.9989318521683403E-2"/>
        <bgColor indexed="64"/>
      </patternFill>
    </fill>
    <fill>
      <patternFill patternType="solid">
        <fgColor rgb="FFFFC000"/>
        <bgColor indexed="64"/>
      </patternFill>
    </fill>
    <fill>
      <patternFill patternType="solid">
        <fgColor rgb="FFFFFFE5"/>
        <bgColor indexed="64"/>
      </patternFill>
    </fill>
    <fill>
      <patternFill patternType="solid">
        <fgColor rgb="FFF9D2BF"/>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rgb="FFFF9393"/>
        <bgColor indexed="64"/>
      </patternFill>
    </fill>
    <fill>
      <patternFill patternType="solid">
        <fgColor rgb="FFFFCC99"/>
      </patternFill>
    </fill>
    <fill>
      <patternFill patternType="solid">
        <fgColor rgb="FF9D1D24"/>
        <bgColor indexed="64"/>
      </patternFill>
    </fill>
    <fill>
      <patternFill patternType="solid">
        <fgColor theme="4" tint="-0.249977111117893"/>
        <bgColor indexed="64"/>
      </patternFill>
    </fill>
    <fill>
      <patternFill patternType="solid">
        <fgColor rgb="FFFFC000"/>
        <bgColor theme="4"/>
      </patternFill>
    </fill>
    <fill>
      <patternFill patternType="solid">
        <fgColor theme="4" tint="-0.249977111117893"/>
        <bgColor theme="4"/>
      </patternFill>
    </fill>
    <fill>
      <patternFill patternType="solid">
        <fgColor theme="0" tint="-0.14999847407452621"/>
        <bgColor theme="0" tint="-0.14999847407452621"/>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medium">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1"/>
      </right>
      <top style="thin">
        <color theme="1"/>
      </top>
      <bottom style="thin">
        <color theme="1"/>
      </bottom>
      <diagonal/>
    </border>
  </borders>
  <cellStyleXfs count="5">
    <xf numFmtId="0" fontId="0" fillId="0" borderId="0"/>
    <xf numFmtId="9" fontId="1" fillId="0" borderId="0" applyFont="0" applyFill="0" applyBorder="0" applyAlignment="0" applyProtection="0"/>
    <xf numFmtId="0" fontId="10" fillId="0" borderId="0" applyBorder="0"/>
    <xf numFmtId="0" fontId="21" fillId="0" borderId="0" applyNumberFormat="0" applyFill="0" applyBorder="0" applyAlignment="0" applyProtection="0"/>
    <xf numFmtId="0" fontId="22" fillId="28" borderId="16" applyNumberFormat="0" applyAlignment="0" applyProtection="0"/>
  </cellStyleXfs>
  <cellXfs count="207">
    <xf numFmtId="0" fontId="0" fillId="0" borderId="0" xfId="0"/>
    <xf numFmtId="0" fontId="0" fillId="2" borderId="0" xfId="0" applyFill="1"/>
    <xf numFmtId="0" fontId="4" fillId="2" borderId="0" xfId="0" applyFont="1" applyFill="1" applyAlignment="1">
      <alignment horizontal="center"/>
    </xf>
    <xf numFmtId="0" fontId="0" fillId="0" borderId="0" xfId="0" applyAlignment="1">
      <alignment horizontal="center" vertical="center"/>
    </xf>
    <xf numFmtId="0" fontId="7" fillId="5" borderId="1" xfId="0" applyFont="1" applyFill="1" applyBorder="1" applyAlignment="1">
      <alignment horizontal="center" vertical="center" wrapText="1"/>
    </xf>
    <xf numFmtId="0" fontId="8" fillId="6" borderId="1" xfId="0" applyFont="1" applyFill="1" applyBorder="1" applyAlignment="1">
      <alignment horizontal="center" vertical="center"/>
    </xf>
    <xf numFmtId="9" fontId="0" fillId="0" borderId="0" xfId="1" applyFont="1"/>
    <xf numFmtId="0" fontId="10" fillId="0" borderId="0" xfId="2"/>
    <xf numFmtId="0" fontId="10" fillId="3" borderId="0" xfId="2" applyFill="1"/>
    <xf numFmtId="14" fontId="0" fillId="0" borderId="0" xfId="0" applyNumberFormat="1"/>
    <xf numFmtId="14" fontId="5" fillId="0" borderId="1" xfId="0" applyNumberFormat="1" applyFont="1" applyBorder="1" applyAlignment="1">
      <alignment horizontal="center" vertical="center"/>
    </xf>
    <xf numFmtId="14" fontId="8" fillId="0" borderId="1" xfId="0" applyNumberFormat="1" applyFont="1" applyBorder="1" applyAlignment="1">
      <alignment horizontal="center" vertical="center"/>
    </xf>
    <xf numFmtId="14" fontId="8" fillId="0" borderId="3" xfId="0" applyNumberFormat="1" applyFont="1" applyBorder="1" applyAlignment="1">
      <alignment horizontal="center" vertical="center"/>
    </xf>
    <xf numFmtId="14" fontId="5" fillId="10" borderId="1" xfId="0" applyNumberFormat="1" applyFont="1" applyFill="1" applyBorder="1" applyAlignment="1">
      <alignment horizontal="center" vertical="center"/>
    </xf>
    <xf numFmtId="0" fontId="4" fillId="12" borderId="0" xfId="2" applyFont="1" applyFill="1" applyAlignment="1">
      <alignment horizontal="center"/>
    </xf>
    <xf numFmtId="0" fontId="4" fillId="12" borderId="0" xfId="2" applyFont="1" applyFill="1" applyAlignment="1">
      <alignment horizontal="center" wrapText="1"/>
    </xf>
    <xf numFmtId="0" fontId="0" fillId="0" borderId="0" xfId="0" applyAlignment="1">
      <alignment horizontal="left" vertical="top"/>
    </xf>
    <xf numFmtId="0" fontId="0" fillId="2" borderId="0" xfId="0" applyFill="1" applyAlignment="1">
      <alignment vertical="center"/>
    </xf>
    <xf numFmtId="0" fontId="3" fillId="2" borderId="0" xfId="0" applyFont="1" applyFill="1" applyAlignment="1">
      <alignment vertical="center"/>
    </xf>
    <xf numFmtId="0" fontId="2" fillId="2" borderId="0" xfId="0" applyFont="1" applyFill="1"/>
    <xf numFmtId="0" fontId="2" fillId="2" borderId="0" xfId="0" applyFont="1" applyFill="1" applyAlignment="1">
      <alignment horizontal="right"/>
    </xf>
    <xf numFmtId="0" fontId="0" fillId="2" borderId="0" xfId="0" applyFill="1" applyAlignment="1">
      <alignment horizontal="left"/>
    </xf>
    <xf numFmtId="0" fontId="2" fillId="2" borderId="0" xfId="0" applyFont="1" applyFill="1" applyAlignment="1">
      <alignment horizontal="left"/>
    </xf>
    <xf numFmtId="0" fontId="0" fillId="0" borderId="1" xfId="0" applyBorder="1"/>
    <xf numFmtId="0" fontId="0" fillId="0" borderId="2" xfId="0" applyBorder="1"/>
    <xf numFmtId="0" fontId="2" fillId="0" borderId="1" xfId="0" applyFont="1" applyBorder="1"/>
    <xf numFmtId="0" fontId="2" fillId="0" borderId="1" xfId="0" applyFont="1" applyBorder="1" applyAlignment="1">
      <alignment vertical="center"/>
    </xf>
    <xf numFmtId="0" fontId="7" fillId="16" borderId="1" xfId="0" applyFont="1" applyFill="1" applyBorder="1" applyAlignment="1">
      <alignment horizontal="center" vertical="center" wrapText="1"/>
    </xf>
    <xf numFmtId="14" fontId="5" fillId="17" borderId="1" xfId="0" applyNumberFormat="1" applyFont="1" applyFill="1" applyBorder="1" applyAlignment="1">
      <alignment horizontal="center" vertical="center"/>
    </xf>
    <xf numFmtId="9" fontId="5" fillId="17" borderId="1" xfId="1" applyFont="1" applyFill="1" applyBorder="1" applyAlignment="1">
      <alignment horizontal="center" vertical="center"/>
    </xf>
    <xf numFmtId="0" fontId="9" fillId="0" borderId="0" xfId="0" applyFont="1" applyAlignment="1">
      <alignment horizontal="center" vertical="center"/>
    </xf>
    <xf numFmtId="0" fontId="8" fillId="17" borderId="1" xfId="0" applyFont="1" applyFill="1" applyBorder="1" applyAlignment="1">
      <alignment horizontal="center" vertical="center"/>
    </xf>
    <xf numFmtId="0" fontId="14" fillId="14" borderId="0" xfId="0" applyFont="1" applyFill="1"/>
    <xf numFmtId="0" fontId="6" fillId="18" borderId="1" xfId="0" applyFont="1" applyFill="1" applyBorder="1" applyAlignment="1">
      <alignment horizontal="center" vertical="center" wrapText="1"/>
    </xf>
    <xf numFmtId="0" fontId="2" fillId="15" borderId="1" xfId="0" applyFont="1" applyFill="1" applyBorder="1" applyAlignment="1">
      <alignment horizontal="center" vertical="center" wrapText="1"/>
    </xf>
    <xf numFmtId="14" fontId="6" fillId="18" borderId="1" xfId="0" applyNumberFormat="1" applyFont="1" applyFill="1" applyBorder="1" applyAlignment="1">
      <alignment horizontal="center" vertical="center" wrapText="1"/>
    </xf>
    <xf numFmtId="0" fontId="4" fillId="0" borderId="0" xfId="0" applyFont="1" applyAlignment="1">
      <alignment horizontal="center"/>
    </xf>
    <xf numFmtId="0" fontId="17" fillId="20" borderId="0" xfId="0" applyFont="1" applyFill="1" applyAlignment="1">
      <alignment horizontal="center" vertical="center" wrapText="1"/>
    </xf>
    <xf numFmtId="0" fontId="20" fillId="20" borderId="0" xfId="0" applyFont="1" applyFill="1"/>
    <xf numFmtId="0" fontId="2" fillId="2" borderId="0" xfId="0" applyFont="1" applyFill="1" applyAlignment="1">
      <alignment horizontal="left" vertical="top"/>
    </xf>
    <xf numFmtId="0" fontId="0" fillId="2" borderId="14" xfId="0" applyFill="1" applyBorder="1"/>
    <xf numFmtId="0" fontId="4" fillId="2" borderId="14" xfId="0" applyFont="1" applyFill="1" applyBorder="1" applyAlignment="1">
      <alignment horizontal="center"/>
    </xf>
    <xf numFmtId="14" fontId="5" fillId="0" borderId="3" xfId="0" applyNumberFormat="1" applyFont="1" applyBorder="1" applyAlignment="1">
      <alignment horizontal="center" vertical="center"/>
    </xf>
    <xf numFmtId="0" fontId="12" fillId="0" borderId="17" xfId="0" applyFont="1" applyBorder="1"/>
    <xf numFmtId="0" fontId="12" fillId="0" borderId="5" xfId="0" applyFont="1" applyBorder="1"/>
    <xf numFmtId="14" fontId="8" fillId="17" borderId="1" xfId="0" applyNumberFormat="1" applyFont="1" applyFill="1" applyBorder="1" applyAlignment="1">
      <alignment horizontal="center" vertical="center"/>
    </xf>
    <xf numFmtId="14" fontId="7" fillId="16" borderId="1" xfId="0" applyNumberFormat="1" applyFont="1" applyFill="1" applyBorder="1" applyAlignment="1">
      <alignment horizontal="center" vertical="center" wrapText="1"/>
    </xf>
    <xf numFmtId="14" fontId="5" fillId="17" borderId="1" xfId="1" applyNumberFormat="1" applyFont="1" applyFill="1" applyBorder="1" applyAlignment="1">
      <alignment horizontal="center" vertical="center"/>
    </xf>
    <xf numFmtId="0" fontId="16" fillId="0" borderId="0" xfId="0" applyFont="1" applyAlignment="1">
      <alignment horizontal="left" vertical="top"/>
    </xf>
    <xf numFmtId="0" fontId="23" fillId="0" borderId="15" xfId="0" applyFont="1" applyBorder="1" applyAlignment="1">
      <alignment vertical="top" wrapText="1"/>
    </xf>
    <xf numFmtId="0" fontId="4" fillId="23" borderId="0" xfId="0" applyFont="1" applyFill="1" applyAlignment="1">
      <alignment horizontal="center"/>
    </xf>
    <xf numFmtId="14" fontId="5" fillId="8"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2" fillId="20" borderId="1" xfId="0" applyFont="1" applyFill="1" applyBorder="1" applyAlignment="1">
      <alignment horizontal="center" vertical="center" wrapText="1"/>
    </xf>
    <xf numFmtId="1" fontId="7" fillId="7" borderId="1" xfId="0" applyNumberFormat="1" applyFont="1" applyFill="1" applyBorder="1" applyAlignment="1">
      <alignment horizontal="center" vertical="center" wrapText="1"/>
    </xf>
    <xf numFmtId="0" fontId="25" fillId="0" borderId="1" xfId="0" applyFont="1" applyBorder="1"/>
    <xf numFmtId="14" fontId="5" fillId="22" borderId="1" xfId="0" applyNumberFormat="1" applyFont="1" applyFill="1" applyBorder="1" applyAlignment="1">
      <alignment horizontal="center" vertical="center"/>
    </xf>
    <xf numFmtId="1" fontId="27" fillId="2" borderId="1" xfId="0" applyNumberFormat="1" applyFont="1" applyFill="1" applyBorder="1" applyAlignment="1">
      <alignment horizontal="center"/>
    </xf>
    <xf numFmtId="0" fontId="28" fillId="0" borderId="1" xfId="0" applyFont="1" applyBorder="1"/>
    <xf numFmtId="14" fontId="5" fillId="22" borderId="3" xfId="0" applyNumberFormat="1" applyFont="1" applyFill="1" applyBorder="1" applyAlignment="1">
      <alignment horizontal="center" vertical="center"/>
    </xf>
    <xf numFmtId="14" fontId="5" fillId="17" borderId="3" xfId="0" applyNumberFormat="1" applyFont="1" applyFill="1" applyBorder="1" applyAlignment="1">
      <alignment horizontal="center" vertical="center"/>
    </xf>
    <xf numFmtId="1" fontId="5" fillId="17" borderId="1" xfId="0" applyNumberFormat="1" applyFont="1" applyFill="1" applyBorder="1" applyAlignment="1">
      <alignment horizontal="center" vertical="center"/>
    </xf>
    <xf numFmtId="0" fontId="10" fillId="0" borderId="0" xfId="2" applyAlignment="1">
      <alignment horizontal="left"/>
    </xf>
    <xf numFmtId="0" fontId="4" fillId="0" borderId="0" xfId="2" applyFont="1" applyAlignment="1">
      <alignment horizontal="center"/>
    </xf>
    <xf numFmtId="0" fontId="20" fillId="0" borderId="0" xfId="2" applyFont="1" applyAlignment="1">
      <alignment horizontal="center"/>
    </xf>
    <xf numFmtId="14" fontId="0" fillId="22" borderId="1" xfId="0" applyNumberFormat="1" applyFill="1" applyBorder="1"/>
    <xf numFmtId="0" fontId="2" fillId="20" borderId="1" xfId="0" applyFont="1" applyFill="1" applyBorder="1" applyAlignment="1">
      <alignment vertical="center"/>
    </xf>
    <xf numFmtId="0" fontId="0" fillId="0" borderId="1" xfId="0" applyBorder="1" applyAlignment="1">
      <alignment wrapText="1"/>
    </xf>
    <xf numFmtId="0" fontId="11" fillId="13" borderId="1" xfId="0" applyFont="1" applyFill="1" applyBorder="1" applyAlignment="1">
      <alignment vertical="center"/>
    </xf>
    <xf numFmtId="0" fontId="11" fillId="29" borderId="1" xfId="0" applyFont="1" applyFill="1" applyBorder="1" applyAlignment="1">
      <alignment vertical="center"/>
    </xf>
    <xf numFmtId="0" fontId="6" fillId="30" borderId="1" xfId="0" applyFont="1" applyFill="1" applyBorder="1" applyAlignment="1">
      <alignment vertical="center" wrapText="1"/>
    </xf>
    <xf numFmtId="0" fontId="29" fillId="0" borderId="0" xfId="0" quotePrefix="1" applyFont="1" applyAlignment="1">
      <alignment horizontal="left" vertical="top" wrapText="1"/>
    </xf>
    <xf numFmtId="0" fontId="25" fillId="0" borderId="0" xfId="0" applyFont="1" applyAlignment="1">
      <alignment horizontal="left" vertical="top"/>
    </xf>
    <xf numFmtId="0" fontId="25" fillId="0" borderId="0" xfId="0" quotePrefix="1" applyFont="1" applyAlignment="1">
      <alignment horizontal="left" vertical="top" wrapText="1"/>
    </xf>
    <xf numFmtId="0" fontId="29" fillId="0" borderId="0" xfId="0" quotePrefix="1" applyFont="1" applyAlignment="1">
      <alignment horizontal="left" vertical="top"/>
    </xf>
    <xf numFmtId="14" fontId="6" fillId="13" borderId="1" xfId="0" applyNumberFormat="1" applyFont="1" applyFill="1" applyBorder="1" applyAlignment="1">
      <alignment horizontal="center" vertical="center" wrapText="1"/>
    </xf>
    <xf numFmtId="0" fontId="9" fillId="20" borderId="10" xfId="0" applyFont="1" applyFill="1" applyBorder="1" applyAlignment="1">
      <alignment horizontal="center" vertical="center"/>
    </xf>
    <xf numFmtId="0" fontId="5" fillId="0" borderId="1" xfId="0" applyFont="1" applyBorder="1" applyAlignment="1">
      <alignment horizontal="center" vertical="center"/>
    </xf>
    <xf numFmtId="0" fontId="7" fillId="31" borderId="1" xfId="0" applyFont="1" applyFill="1" applyBorder="1" applyAlignment="1">
      <alignment horizontal="center" vertical="center" wrapText="1"/>
    </xf>
    <xf numFmtId="0" fontId="12" fillId="0" borderId="0" xfId="0" applyFont="1" applyAlignment="1">
      <alignment horizontal="center"/>
    </xf>
    <xf numFmtId="0" fontId="3" fillId="2" borderId="0" xfId="0" applyFont="1" applyFill="1" applyAlignment="1">
      <alignment horizontal="right" vertical="center"/>
    </xf>
    <xf numFmtId="0" fontId="2" fillId="0" borderId="14" xfId="0" applyFont="1" applyBorder="1" applyAlignment="1">
      <alignment horizontal="right" vertical="top" wrapText="1"/>
    </xf>
    <xf numFmtId="0" fontId="2" fillId="12" borderId="1" xfId="0" applyFont="1" applyFill="1" applyBorder="1"/>
    <xf numFmtId="0" fontId="2" fillId="0" borderId="0" xfId="0" applyFont="1" applyAlignment="1">
      <alignment horizontal="right"/>
    </xf>
    <xf numFmtId="0" fontId="23" fillId="0" borderId="0" xfId="0" applyFont="1" applyAlignment="1">
      <alignment vertical="top" wrapText="1"/>
    </xf>
    <xf numFmtId="0" fontId="2" fillId="0" borderId="18" xfId="0" applyFont="1" applyBorder="1"/>
    <xf numFmtId="0" fontId="24" fillId="0" borderId="0" xfId="0" applyFont="1" applyAlignment="1">
      <alignment vertical="center" wrapText="1"/>
    </xf>
    <xf numFmtId="0" fontId="25" fillId="0" borderId="0" xfId="0" applyFont="1" applyAlignment="1">
      <alignment horizontal="center" wrapText="1"/>
    </xf>
    <xf numFmtId="0" fontId="26" fillId="0" borderId="0" xfId="4" applyFont="1" applyFill="1" applyBorder="1" applyAlignment="1">
      <alignment horizontal="center" vertical="center"/>
    </xf>
    <xf numFmtId="0" fontId="6" fillId="32" borderId="1" xfId="0" applyFont="1" applyFill="1" applyBorder="1" applyAlignment="1">
      <alignment horizontal="center" vertical="center" wrapText="1"/>
    </xf>
    <xf numFmtId="14" fontId="7" fillId="16" borderId="3" xfId="0" applyNumberFormat="1" applyFont="1" applyFill="1" applyBorder="1" applyAlignment="1">
      <alignment horizontal="center" vertical="center" wrapText="1"/>
    </xf>
    <xf numFmtId="0" fontId="24" fillId="0" borderId="0" xfId="0" applyFont="1" applyAlignment="1">
      <alignment horizontal="right" vertical="center" wrapText="1"/>
    </xf>
    <xf numFmtId="0" fontId="0" fillId="30" borderId="1" xfId="0" applyFill="1" applyBorder="1"/>
    <xf numFmtId="0" fontId="21" fillId="0" borderId="0" xfId="3" applyFill="1" applyAlignment="1">
      <alignment horizontal="left" vertical="top"/>
    </xf>
    <xf numFmtId="14" fontId="0" fillId="2" borderId="0" xfId="0" applyNumberFormat="1" applyFill="1" applyAlignment="1">
      <alignment vertical="center"/>
    </xf>
    <xf numFmtId="14" fontId="0" fillId="0" borderId="2" xfId="0" applyNumberFormat="1" applyBorder="1"/>
    <xf numFmtId="0" fontId="4" fillId="21" borderId="0" xfId="0" applyFont="1" applyFill="1" applyAlignment="1">
      <alignment horizontal="center" wrapText="1"/>
    </xf>
    <xf numFmtId="0" fontId="2" fillId="0" borderId="0" xfId="0" applyFont="1"/>
    <xf numFmtId="0" fontId="14" fillId="13" borderId="0" xfId="0" applyFont="1" applyFill="1"/>
    <xf numFmtId="0" fontId="11" fillId="11" borderId="20" xfId="0" applyFont="1" applyFill="1" applyBorder="1" applyAlignment="1">
      <alignment horizontal="center" wrapText="1"/>
    </xf>
    <xf numFmtId="0" fontId="11" fillId="11" borderId="21" xfId="0" applyFont="1" applyFill="1" applyBorder="1" applyAlignment="1">
      <alignment horizontal="center" wrapText="1"/>
    </xf>
    <xf numFmtId="0" fontId="11" fillId="11" borderId="22" xfId="0" applyFont="1" applyFill="1" applyBorder="1" applyAlignment="1">
      <alignment horizontal="center" wrapText="1"/>
    </xf>
    <xf numFmtId="0" fontId="22" fillId="28" borderId="16" xfId="4"/>
    <xf numFmtId="1" fontId="22" fillId="28" borderId="16" xfId="4" applyNumberFormat="1"/>
    <xf numFmtId="1" fontId="0" fillId="0" borderId="0" xfId="0" applyNumberFormat="1"/>
    <xf numFmtId="0" fontId="14" fillId="13" borderId="0" xfId="0" applyFont="1" applyFill="1" applyAlignment="1">
      <alignment horizontal="left"/>
    </xf>
    <xf numFmtId="14" fontId="6" fillId="26" borderId="0" xfId="0" applyNumberFormat="1" applyFont="1" applyFill="1" applyAlignment="1">
      <alignment horizontal="left" vertical="center"/>
    </xf>
    <xf numFmtId="14" fontId="7" fillId="15" borderId="6" xfId="0" applyNumberFormat="1" applyFont="1" applyFill="1" applyBorder="1" applyAlignment="1">
      <alignment horizontal="left" vertical="center"/>
    </xf>
    <xf numFmtId="14" fontId="7" fillId="15" borderId="8" xfId="0" applyNumberFormat="1" applyFont="1" applyFill="1" applyBorder="1" applyAlignment="1">
      <alignment horizontal="left" vertical="center"/>
    </xf>
    <xf numFmtId="0" fontId="7" fillId="16" borderId="1" xfId="0" applyFont="1" applyFill="1" applyBorder="1" applyAlignment="1">
      <alignment horizontal="left" vertical="center" wrapText="1"/>
    </xf>
    <xf numFmtId="0" fontId="5" fillId="0" borderId="1" xfId="0" applyFont="1" applyBorder="1" applyAlignment="1">
      <alignment horizontal="left" vertical="center"/>
    </xf>
    <xf numFmtId="0" fontId="12" fillId="0" borderId="0" xfId="0" applyFont="1" applyAlignment="1">
      <alignment horizontal="left"/>
    </xf>
    <xf numFmtId="0" fontId="0" fillId="0" borderId="0" xfId="0" applyAlignment="1">
      <alignment horizontal="left"/>
    </xf>
    <xf numFmtId="0" fontId="9" fillId="33" borderId="1" xfId="0" applyFont="1" applyFill="1" applyBorder="1" applyAlignment="1">
      <alignment horizontal="center" vertical="center"/>
    </xf>
    <xf numFmtId="0" fontId="9" fillId="0" borderId="1" xfId="0" applyFont="1" applyBorder="1" applyAlignment="1">
      <alignment horizontal="center" vertical="center"/>
    </xf>
    <xf numFmtId="0" fontId="9" fillId="33" borderId="1" xfId="0" applyFont="1" applyFill="1" applyBorder="1" applyAlignment="1">
      <alignment horizontal="center"/>
    </xf>
    <xf numFmtId="0" fontId="9" fillId="0" borderId="1" xfId="0" applyFont="1" applyBorder="1" applyAlignment="1">
      <alignment horizontal="center"/>
    </xf>
    <xf numFmtId="0" fontId="3" fillId="2" borderId="0" xfId="0" applyFont="1" applyFill="1" applyAlignment="1">
      <alignment horizontal="right" vertical="center"/>
    </xf>
    <xf numFmtId="0" fontId="16" fillId="0" borderId="0" xfId="0" applyFont="1" applyAlignment="1">
      <alignment horizontal="left" vertical="top" wrapText="1"/>
    </xf>
    <xf numFmtId="0" fontId="16" fillId="0" borderId="0" xfId="0" applyFont="1" applyAlignment="1">
      <alignment horizontal="left" vertical="top"/>
    </xf>
    <xf numFmtId="0" fontId="4" fillId="21" borderId="0" xfId="0" applyFont="1" applyFill="1" applyAlignment="1">
      <alignment horizontal="center" wrapText="1"/>
    </xf>
    <xf numFmtId="0" fontId="4" fillId="10" borderId="0" xfId="0" applyFont="1" applyFill="1" applyAlignment="1">
      <alignment horizontal="center"/>
    </xf>
    <xf numFmtId="0" fontId="4" fillId="22" borderId="0" xfId="0" applyFont="1" applyFill="1" applyAlignment="1">
      <alignment horizontal="center"/>
    </xf>
    <xf numFmtId="0" fontId="4" fillId="23" borderId="0" xfId="0" applyFont="1" applyFill="1" applyAlignment="1">
      <alignment horizontal="center"/>
    </xf>
    <xf numFmtId="0" fontId="20" fillId="27" borderId="0" xfId="0" applyFont="1" applyFill="1" applyAlignment="1">
      <alignment horizontal="center"/>
    </xf>
    <xf numFmtId="0" fontId="5" fillId="24" borderId="0" xfId="0" applyFont="1" applyFill="1" applyAlignment="1">
      <alignment horizontal="center" vertical="center"/>
    </xf>
    <xf numFmtId="0" fontId="5" fillId="9" borderId="9" xfId="0" applyFont="1" applyFill="1" applyBorder="1" applyAlignment="1">
      <alignment horizontal="center" vertical="center"/>
    </xf>
    <xf numFmtId="0" fontId="6" fillId="25" borderId="9" xfId="0" applyFont="1" applyFill="1" applyBorder="1" applyAlignment="1">
      <alignment horizontal="center" vertical="center"/>
    </xf>
    <xf numFmtId="14" fontId="6" fillId="26" borderId="9" xfId="0" applyNumberFormat="1" applyFont="1" applyFill="1" applyBorder="1" applyAlignment="1">
      <alignment horizontal="center" vertical="center"/>
    </xf>
    <xf numFmtId="0" fontId="15" fillId="19" borderId="4" xfId="0" applyFont="1" applyFill="1" applyBorder="1" applyAlignment="1">
      <alignment horizontal="center" vertical="center"/>
    </xf>
    <xf numFmtId="0" fontId="15" fillId="19" borderId="5" xfId="0" applyFont="1" applyFill="1" applyBorder="1" applyAlignment="1">
      <alignment horizontal="center" vertical="center"/>
    </xf>
    <xf numFmtId="0" fontId="15" fillId="19" borderId="7" xfId="0" applyFont="1" applyFill="1" applyBorder="1" applyAlignment="1">
      <alignment horizontal="center" vertical="center"/>
    </xf>
    <xf numFmtId="0" fontId="15" fillId="19" borderId="9" xfId="0" applyFont="1" applyFill="1" applyBorder="1" applyAlignment="1">
      <alignment horizontal="center" vertical="center"/>
    </xf>
    <xf numFmtId="0" fontId="5" fillId="10" borderId="4"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6"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9" xfId="0" applyFont="1" applyFill="1" applyBorder="1" applyAlignment="1">
      <alignment horizontal="center" vertical="center"/>
    </xf>
    <xf numFmtId="0" fontId="5" fillId="10" borderId="8" xfId="0" applyFont="1" applyFill="1" applyBorder="1" applyAlignment="1">
      <alignment horizontal="center" vertical="center"/>
    </xf>
    <xf numFmtId="14" fontId="7" fillId="15" borderId="4" xfId="0" applyNumberFormat="1" applyFont="1" applyFill="1" applyBorder="1" applyAlignment="1">
      <alignment horizontal="center" vertical="center"/>
    </xf>
    <xf numFmtId="14" fontId="7" fillId="15" borderId="5" xfId="0" applyNumberFormat="1" applyFont="1" applyFill="1" applyBorder="1" applyAlignment="1">
      <alignment horizontal="center" vertical="center"/>
    </xf>
    <xf numFmtId="14" fontId="7" fillId="15" borderId="6" xfId="0" applyNumberFormat="1" applyFont="1" applyFill="1" applyBorder="1" applyAlignment="1">
      <alignment horizontal="center" vertical="center"/>
    </xf>
    <xf numFmtId="14" fontId="7" fillId="15" borderId="7" xfId="0" applyNumberFormat="1" applyFont="1" applyFill="1" applyBorder="1" applyAlignment="1">
      <alignment horizontal="center" vertical="center"/>
    </xf>
    <xf numFmtId="14" fontId="7" fillId="15" borderId="9" xfId="0" applyNumberFormat="1" applyFont="1" applyFill="1" applyBorder="1" applyAlignment="1">
      <alignment horizontal="center" vertical="center"/>
    </xf>
    <xf numFmtId="14" fontId="7" fillId="15" borderId="8" xfId="0" applyNumberFormat="1" applyFont="1" applyFill="1" applyBorder="1" applyAlignment="1">
      <alignment horizontal="center" vertical="center"/>
    </xf>
    <xf numFmtId="14" fontId="6" fillId="13"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6" fillId="14" borderId="1" xfId="0" applyFont="1" applyFill="1" applyBorder="1" applyAlignment="1">
      <alignment horizontal="center" vertical="center" wrapText="1"/>
    </xf>
    <xf numFmtId="0" fontId="6" fillId="13" borderId="1" xfId="0" applyFont="1" applyFill="1" applyBorder="1" applyAlignment="1">
      <alignment horizontal="center" vertical="center" wrapText="1"/>
    </xf>
    <xf numFmtId="0" fontId="6" fillId="13" borderId="2" xfId="0" applyFont="1" applyFill="1" applyBorder="1" applyAlignment="1">
      <alignment horizontal="center" vertical="center" wrapText="1"/>
    </xf>
    <xf numFmtId="0" fontId="6" fillId="14" borderId="2" xfId="0" applyFont="1" applyFill="1" applyBorder="1" applyAlignment="1">
      <alignment horizontal="center" vertical="center" wrapText="1"/>
    </xf>
    <xf numFmtId="0" fontId="6" fillId="29" borderId="1" xfId="0" applyFont="1" applyFill="1" applyBorder="1" applyAlignment="1">
      <alignment horizontal="center" vertical="center" wrapText="1"/>
    </xf>
    <xf numFmtId="0" fontId="6" fillId="29" borderId="2" xfId="0" applyFont="1" applyFill="1" applyBorder="1" applyAlignment="1">
      <alignment horizontal="center" vertical="center" wrapText="1"/>
    </xf>
    <xf numFmtId="9" fontId="6" fillId="14" borderId="1" xfId="1" applyFont="1" applyFill="1" applyBorder="1" applyAlignment="1">
      <alignment horizontal="center" vertical="center" wrapText="1"/>
    </xf>
    <xf numFmtId="0" fontId="7" fillId="20" borderId="1" xfId="0" applyFont="1" applyFill="1" applyBorder="1" applyAlignment="1">
      <alignment horizontal="center" vertical="center" wrapText="1"/>
    </xf>
    <xf numFmtId="0" fontId="7" fillId="20" borderId="2" xfId="0" applyFont="1" applyFill="1" applyBorder="1" applyAlignment="1">
      <alignment horizontal="center" vertical="center" wrapText="1"/>
    </xf>
    <xf numFmtId="0" fontId="7" fillId="20" borderId="18" xfId="0" applyFont="1" applyFill="1" applyBorder="1" applyAlignment="1">
      <alignment horizontal="center" vertical="center" wrapText="1"/>
    </xf>
    <xf numFmtId="0" fontId="7" fillId="20" borderId="19" xfId="0" applyFont="1" applyFill="1" applyBorder="1" applyAlignment="1">
      <alignment horizontal="center" vertical="center" wrapText="1"/>
    </xf>
    <xf numFmtId="0" fontId="6" fillId="14" borderId="1" xfId="0" applyFont="1" applyFill="1" applyBorder="1" applyAlignment="1">
      <alignment horizontal="center" vertical="center"/>
    </xf>
    <xf numFmtId="0" fontId="6" fillId="14" borderId="0" xfId="0" applyFont="1" applyFill="1" applyAlignment="1">
      <alignment horizontal="center" vertical="center" wrapText="1"/>
    </xf>
    <xf numFmtId="0" fontId="6" fillId="29" borderId="0" xfId="0" applyFont="1" applyFill="1" applyAlignment="1">
      <alignment horizontal="center" vertical="center"/>
    </xf>
    <xf numFmtId="0" fontId="6" fillId="30" borderId="2" xfId="0" applyFont="1" applyFill="1" applyBorder="1" applyAlignment="1">
      <alignment horizontal="center" vertical="center"/>
    </xf>
    <xf numFmtId="0" fontId="6" fillId="30" borderId="18" xfId="0" applyFont="1" applyFill="1" applyBorder="1" applyAlignment="1">
      <alignment horizontal="center" vertical="center"/>
    </xf>
    <xf numFmtId="0" fontId="6" fillId="30" borderId="19" xfId="0" applyFont="1" applyFill="1" applyBorder="1" applyAlignment="1">
      <alignment horizontal="center" vertical="center"/>
    </xf>
    <xf numFmtId="0" fontId="6" fillId="30" borderId="2" xfId="0" applyFont="1" applyFill="1" applyBorder="1" applyAlignment="1">
      <alignment horizontal="center" vertical="center" wrapText="1"/>
    </xf>
    <xf numFmtId="0" fontId="6" fillId="30" borderId="18" xfId="0" applyFont="1" applyFill="1" applyBorder="1" applyAlignment="1">
      <alignment horizontal="center" vertical="center" wrapText="1"/>
    </xf>
    <xf numFmtId="0" fontId="6" fillId="30" borderId="19" xfId="0" applyFont="1" applyFill="1" applyBorder="1" applyAlignment="1">
      <alignment horizontal="center" vertical="center" wrapText="1"/>
    </xf>
    <xf numFmtId="0" fontId="6" fillId="29" borderId="18" xfId="0" applyFont="1" applyFill="1" applyBorder="1" applyAlignment="1">
      <alignment horizontal="center" vertical="center" wrapText="1"/>
    </xf>
    <xf numFmtId="14" fontId="6" fillId="13" borderId="1" xfId="0" applyNumberFormat="1" applyFont="1" applyFill="1" applyBorder="1" applyAlignment="1">
      <alignment horizontal="center" vertical="center" wrapText="1"/>
    </xf>
    <xf numFmtId="0" fontId="6" fillId="13" borderId="0" xfId="0" applyFont="1" applyFill="1" applyAlignment="1">
      <alignment horizontal="center" vertical="center" wrapText="1"/>
    </xf>
    <xf numFmtId="0" fontId="6" fillId="14" borderId="18" xfId="0" applyFont="1" applyFill="1" applyBorder="1" applyAlignment="1">
      <alignment horizontal="center" vertical="center" wrapText="1"/>
    </xf>
    <xf numFmtId="0" fontId="10" fillId="0" borderId="0" xfId="2" applyAlignment="1">
      <alignment horizontal="left"/>
    </xf>
    <xf numFmtId="0" fontId="10" fillId="4" borderId="0" xfId="2" applyFill="1" applyAlignment="1">
      <alignment horizontal="left"/>
    </xf>
    <xf numFmtId="0" fontId="11" fillId="13" borderId="0" xfId="0" applyFont="1" applyFill="1" applyAlignment="1">
      <alignment horizontal="center"/>
    </xf>
    <xf numFmtId="0" fontId="11" fillId="11" borderId="0" xfId="0" applyFont="1" applyFill="1" applyAlignment="1">
      <alignment horizontal="center"/>
    </xf>
    <xf numFmtId="0" fontId="2" fillId="15" borderId="0" xfId="0" applyFont="1" applyFill="1" applyAlignment="1">
      <alignment horizontal="center"/>
    </xf>
    <xf numFmtId="0" fontId="29" fillId="0" borderId="0" xfId="0" quotePrefix="1" applyFont="1" applyAlignment="1">
      <alignment horizontal="left" vertical="top" wrapText="1"/>
    </xf>
    <xf numFmtId="0" fontId="9" fillId="0" borderId="0" xfId="0" applyFont="1" applyAlignment="1">
      <alignment horizontal="left" vertical="center" wrapText="1"/>
    </xf>
    <xf numFmtId="0" fontId="0" fillId="0" borderId="1" xfId="0" applyBorder="1" applyAlignment="1">
      <alignment horizontal="left" wrapText="1"/>
    </xf>
    <xf numFmtId="0" fontId="0" fillId="0" borderId="2" xfId="0" applyBorder="1" applyAlignment="1">
      <alignment horizontal="left" wrapText="1"/>
    </xf>
    <xf numFmtId="0" fontId="0" fillId="0" borderId="18" xfId="0" applyBorder="1" applyAlignment="1">
      <alignment horizontal="left"/>
    </xf>
    <xf numFmtId="0" fontId="0" fillId="0" borderId="19" xfId="0" applyBorder="1" applyAlignment="1">
      <alignment horizontal="left"/>
    </xf>
    <xf numFmtId="0" fontId="0" fillId="0" borderId="18" xfId="0" applyBorder="1" applyAlignment="1">
      <alignment horizontal="left" wrapText="1"/>
    </xf>
    <xf numFmtId="0" fontId="0" fillId="0" borderId="19" xfId="0" applyBorder="1" applyAlignment="1">
      <alignment horizontal="left" wrapText="1"/>
    </xf>
    <xf numFmtId="0" fontId="2" fillId="0" borderId="18" xfId="0" applyFont="1" applyBorder="1" applyAlignment="1">
      <alignment horizontal="left"/>
    </xf>
    <xf numFmtId="0" fontId="2" fillId="0" borderId="19" xfId="0" applyFont="1" applyBorder="1" applyAlignment="1">
      <alignment horizontal="left"/>
    </xf>
    <xf numFmtId="0" fontId="2" fillId="0" borderId="9" xfId="0" applyFont="1" applyBorder="1"/>
    <xf numFmtId="0" fontId="12" fillId="13" borderId="11" xfId="0" applyFont="1" applyFill="1" applyBorder="1" applyAlignment="1">
      <alignment horizontal="center"/>
    </xf>
    <xf numFmtId="0" fontId="12" fillId="13" borderId="12" xfId="0" applyFont="1" applyFill="1" applyBorder="1" applyAlignment="1">
      <alignment horizontal="center"/>
    </xf>
    <xf numFmtId="0" fontId="12" fillId="13" borderId="13" xfId="0" applyFont="1" applyFill="1" applyBorder="1" applyAlignment="1">
      <alignment horizontal="center"/>
    </xf>
    <xf numFmtId="0" fontId="12" fillId="29" borderId="11" xfId="0" applyFont="1" applyFill="1" applyBorder="1" applyAlignment="1">
      <alignment horizontal="center"/>
    </xf>
    <xf numFmtId="0" fontId="12" fillId="29" borderId="12" xfId="0" applyFont="1" applyFill="1" applyBorder="1" applyAlignment="1">
      <alignment horizontal="center"/>
    </xf>
    <xf numFmtId="0" fontId="12" fillId="29" borderId="13" xfId="0" applyFont="1" applyFill="1" applyBorder="1" applyAlignment="1">
      <alignment horizontal="center"/>
    </xf>
    <xf numFmtId="0" fontId="13" fillId="29" borderId="11" xfId="0" applyFont="1" applyFill="1" applyBorder="1" applyAlignment="1">
      <alignment horizontal="center" vertical="center"/>
    </xf>
    <xf numFmtId="0" fontId="13" fillId="29" borderId="12" xfId="0" applyFont="1" applyFill="1" applyBorder="1" applyAlignment="1">
      <alignment horizontal="center" vertical="center"/>
    </xf>
    <xf numFmtId="0" fontId="13" fillId="29" borderId="13" xfId="0" applyFont="1" applyFill="1" applyBorder="1" applyAlignment="1">
      <alignment horizontal="center" vertical="center"/>
    </xf>
    <xf numFmtId="0" fontId="13" fillId="30" borderId="11" xfId="0" applyFont="1" applyFill="1" applyBorder="1" applyAlignment="1">
      <alignment horizontal="center" vertical="center"/>
    </xf>
    <xf numFmtId="0" fontId="13" fillId="30" borderId="12" xfId="0" applyFont="1" applyFill="1" applyBorder="1" applyAlignment="1">
      <alignment horizontal="center" vertical="center"/>
    </xf>
    <xf numFmtId="0" fontId="13" fillId="30" borderId="13" xfId="0" applyFont="1" applyFill="1" applyBorder="1" applyAlignment="1">
      <alignment horizontal="center" vertical="center"/>
    </xf>
    <xf numFmtId="0" fontId="13" fillId="13" borderId="11"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12" fillId="0" borderId="0" xfId="0" applyFont="1" applyAlignment="1">
      <alignment horizontal="center"/>
    </xf>
    <xf numFmtId="0" fontId="3" fillId="0" borderId="0" xfId="0" applyFont="1" applyAlignment="1">
      <alignment horizontal="center" wrapText="1"/>
    </xf>
    <xf numFmtId="0" fontId="9" fillId="20" borderId="11" xfId="0" applyFont="1" applyFill="1" applyBorder="1" applyAlignment="1">
      <alignment horizontal="center" vertical="center"/>
    </xf>
    <xf numFmtId="0" fontId="9" fillId="20" borderId="12" xfId="0" applyFont="1" applyFill="1" applyBorder="1" applyAlignment="1">
      <alignment horizontal="center" vertical="center"/>
    </xf>
    <xf numFmtId="0" fontId="9" fillId="20" borderId="13" xfId="0" applyFont="1" applyFill="1" applyBorder="1" applyAlignment="1">
      <alignment horizontal="center" vertical="center"/>
    </xf>
  </cellXfs>
  <cellStyles count="5">
    <cellStyle name="Hyperlink" xfId="3" builtinId="8"/>
    <cellStyle name="Input" xfId="4" builtinId="20"/>
    <cellStyle name="Normal" xfId="0" builtinId="0"/>
    <cellStyle name="Normal 4" xfId="2" xr:uid="{E73325FF-EC07-47DC-A53B-E8EEFDB4B0F1}"/>
    <cellStyle name="Percent" xfId="1" builtinId="5"/>
  </cellStyles>
  <dxfs count="18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CC"/>
        </patternFill>
      </fill>
      <border>
        <left style="thin">
          <color auto="1"/>
        </left>
        <right style="thin">
          <color auto="1"/>
        </right>
        <vertical/>
        <horizontal/>
      </border>
    </dxf>
    <dxf>
      <fill>
        <patternFill>
          <bgColor rgb="FFE8E8E8"/>
        </patternFill>
      </fill>
      <border>
        <left style="thin">
          <color auto="1"/>
        </left>
        <right style="thin">
          <color auto="1"/>
        </right>
        <vertical/>
        <horizontal/>
      </border>
    </dxf>
    <dxf>
      <fill>
        <patternFill>
          <bgColor rgb="FFFFFFCC"/>
        </patternFill>
      </fill>
    </dxf>
    <dxf>
      <fill>
        <patternFill>
          <bgColor rgb="FFFFFFCC"/>
        </patternFill>
      </fill>
    </dxf>
    <dxf>
      <font>
        <color rgb="FFFF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patternType="solid">
          <fgColor rgb="FFFBE2D5"/>
          <bgColor rgb="FF000000"/>
        </patternFill>
      </fill>
    </dxf>
  </dxfs>
  <tableStyles count="0" defaultTableStyle="TableStyleMedium2" defaultPivotStyle="PivotStyleLight16"/>
  <colors>
    <mruColors>
      <color rgb="FFFF00FF"/>
      <color rgb="FFE8E8E8"/>
      <color rgb="FFFFFFCC"/>
      <color rgb="FF9D1D24"/>
      <color rgb="FFF9D2BF"/>
      <color rgb="FFFFFFE5"/>
      <color rgb="FFFF9393"/>
      <color rgb="FFFF9F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159329</xdr:colOff>
      <xdr:row>25</xdr:row>
      <xdr:rowOff>36615</xdr:rowOff>
    </xdr:from>
    <xdr:to>
      <xdr:col>6</xdr:col>
      <xdr:colOff>562099</xdr:colOff>
      <xdr:row>26</xdr:row>
      <xdr:rowOff>19794</xdr:rowOff>
    </xdr:to>
    <xdr:sp macro="[0]!SIMSTemplate" textlink="">
      <xdr:nvSpPr>
        <xdr:cNvPr id="2" name="Rectangle: Rounded Corners 1">
          <a:extLst>
            <a:ext uri="{FF2B5EF4-FFF2-40B4-BE49-F238E27FC236}">
              <a16:creationId xmlns:a16="http://schemas.microsoft.com/office/drawing/2014/main" id="{646C7AA7-06F0-46A5-ACCF-D1F87A81ABDB}"/>
            </a:ext>
          </a:extLst>
        </xdr:cNvPr>
        <xdr:cNvSpPr/>
      </xdr:nvSpPr>
      <xdr:spPr>
        <a:xfrm>
          <a:off x="5286500" y="6295901"/>
          <a:ext cx="1981199" cy="527464"/>
        </a:xfrm>
        <a:prstGeom prst="roundRect">
          <a:avLst/>
        </a:prstGeom>
        <a:solidFill>
          <a:srgbClr val="FF000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800" b="1">
              <a:latin typeface="Arial" panose="020B0604020202020204" pitchFamily="34" charset="0"/>
              <a:cs typeface="Arial" panose="020B0604020202020204" pitchFamily="34" charset="0"/>
            </a:rPr>
            <a:t>Generate SIMS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54429</xdr:colOff>
      <xdr:row>1</xdr:row>
      <xdr:rowOff>108858</xdr:rowOff>
    </xdr:from>
    <xdr:to>
      <xdr:col>6</xdr:col>
      <xdr:colOff>457200</xdr:colOff>
      <xdr:row>4</xdr:row>
      <xdr:rowOff>59379</xdr:rowOff>
    </xdr:to>
    <xdr:sp macro="[0]!BaselineLockPublish" textlink="">
      <xdr:nvSpPr>
        <xdr:cNvPr id="3" name="Rectangle: Rounded Corners 2">
          <a:extLst>
            <a:ext uri="{FF2B5EF4-FFF2-40B4-BE49-F238E27FC236}">
              <a16:creationId xmlns:a16="http://schemas.microsoft.com/office/drawing/2014/main" id="{32ADCC5A-35BC-47EB-99C1-4CC71AC7F86C}"/>
            </a:ext>
          </a:extLst>
        </xdr:cNvPr>
        <xdr:cNvSpPr/>
      </xdr:nvSpPr>
      <xdr:spPr>
        <a:xfrm>
          <a:off x="5116286" y="304801"/>
          <a:ext cx="1981200" cy="527464"/>
        </a:xfrm>
        <a:prstGeom prst="roundRect">
          <a:avLst/>
        </a:prstGeom>
        <a:solidFill>
          <a:srgbClr val="92D05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2000" b="1">
              <a:latin typeface="Arial" panose="020B0604020202020204" pitchFamily="34" charset="0"/>
              <a:cs typeface="Arial" panose="020B0604020202020204" pitchFamily="34" charset="0"/>
            </a:rPr>
            <a:t>PUBLISH</a:t>
          </a:r>
          <a:r>
            <a:rPr lang="en-US" sz="2000" b="1" baseline="0">
              <a:latin typeface="Arial" panose="020B0604020202020204" pitchFamily="34" charset="0"/>
              <a:cs typeface="Arial" panose="020B0604020202020204" pitchFamily="34" charset="0"/>
            </a:rPr>
            <a:t> IMS</a:t>
          </a:r>
          <a:endParaRPr lang="en-US" sz="2000" b="1">
            <a:latin typeface="Arial" panose="020B0604020202020204" pitchFamily="34" charset="0"/>
            <a:cs typeface="Arial" panose="020B0604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Pack, Andrew" id="{3603CF81-8633-46F4-8983-E095A6FBD4DE}" userId="S::Andrew.Pack@Honeywell.com::f9b6d3c0-1ef7-475d-ab4b-caa8252cdbbf" providerId="AD"/>
  <person displayName="Vale, Walter (SR-Power Systems)" id="{30B90AFB-D700-4715-946E-3F0F82132F1E}" userId="S::Walter.Vale@Honeywell.com::5cef301e-eeb0-4200-983e-490348eb990c" providerId="AD"/>
  <person displayName="Klever, Kalli (She/Her/Hers)" id="{6E96C62B-2CFC-4858-9CAB-69D73E17F80B}" userId="S::Kalli.Klever@Honeywell.com::97454d6b-c6fb-4f73-9cc5-2a4fa871b21a" providerId="AD"/>
  <person displayName="Coronado, Melisa" id="{F87AE234-DCBA-44D9-A462-9F25E5804E12}" userId="S::Melisa.Coronado@Honeywell.com::61e51e5f-c237-431c-9e77-8a4d0239a653" providerId="AD"/>
  <person displayName="Mieles Alvarez, Cristina (Engines VS)" id="{719FBC98-FAF5-4D03-8931-64C7056595CF}" userId="S::Cristina.MielesAlvarez@Honeywell.com::2f158fbc-6d97-45bf-a523-231a473d35c2" providerId="AD"/>
  <person displayName="Coronado, Melisa" id="{0457346D-A300-4453-8073-F615F47C0A72}" userId="S::Melisa.Coronado@HoneywellAerospace.com::c9a0988f-8f11-4945-9b5a-9a273766520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I4" dT="2025-03-03T14:28:13.21" personId="{719FBC98-FAF5-4D03-8931-64C7056595CF}" id="{08BC158A-969E-4D67-839D-FF33265E984F}">
    <text>Only Applicable for Power Systems</text>
  </threadedComment>
  <threadedComment ref="J7" dT="2025-12-11T20:19:12.91" personId="{F87AE234-DCBA-44D9-A462-9F25E5804E12}" id="{E52FB5DD-51A0-4D57-B63A-F9D92FCF6C5C}">
    <text>PSC = Procurement Spec</text>
  </threadedComment>
  <threadedComment ref="P7" dT="2025-10-01T13:56:22.83" personId="{3603CF81-8633-46F4-8983-E095A6FBD4DE}" id="{0FC57DC6-17D1-4E3E-B52D-8C4440F48F92}">
    <text>BTP FAIR Only will not require a TDR, but to efficiently provide a link to PFEP tab not blanking this out, but leaving as grey</text>
  </threadedComment>
  <threadedComment ref="Y7" dT="2025-09-29T14:07:39.83" personId="{3603CF81-8633-46F4-8983-E095A6FBD4DE}" id="{A0FFCB2B-7DEF-40C0-9909-8D1D80EE7C83}">
    <text>Often up front drawing changes will be found during EPA/TDR, later dwg changes will need to be built into the supplier build time</text>
  </threadedComment>
  <threadedComment ref="AB7" dT="2026-01-22T21:17:03.54" personId="{F87AE234-DCBA-44D9-A462-9F25E5804E12}" id="{91E1CCED-81A8-4506-B259-8AEBC43445FE}">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5836E495-177A-4B77-94F9-F0E91E49CE3A}">
    <text>Largely unused anymore, can set as 0 duration</text>
  </threadedComment>
  <threadedComment ref="AQ7" dT="2025-09-29T14:06:27.26" personId="{3603CF81-8633-46F4-8983-E095A6FBD4DE}" id="{A2889480-F7FE-4B34-9B21-D8D24F326420}">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C2F0857A-BC02-4A1B-B073-D529FB241A2D}">
    <text>Once you have validation plan from EPA/TDR this can be completed even before formal EPA/TDR approval in ERS or TeamCenter</text>
  </threadedComment>
  <threadedComment ref="AT7" dT="2025-12-11T20:33:29.64" personId="{F87AE234-DCBA-44D9-A462-9F25E5804E12}" id="{7C377351-75F1-4E8B-BD2B-712790652B45}" parentId="{C2F0857A-BC02-4A1B-B073-D529FB241A2D}">
    <text>ECE = Engineering Cost Estimate</text>
  </threadedComment>
  <threadedComment ref="AZ7" dT="2025-09-29T14:04:42.07" personId="{3603CF81-8633-46F4-8983-E095A6FBD4DE}" id="{A16F8D56-6F5C-4F8E-AA0A-FD5D9EB1665E}">
    <text>Most projects will not have this, if N/A then 0 for duration</text>
  </threadedComment>
  <threadedComment ref="BI7" dT="2025-09-29T14:04:20.73" personId="{3603CF81-8633-46F4-8983-E095A6FBD4DE}" id="{21E66285-8263-4788-9556-F2DECE98E869}">
    <text>Initial meetings with internal team and/or go-to supplier</text>
  </threadedComment>
  <threadedComment ref="BL7" dT="2026-02-13T23:14:17.74" personId="{0457346D-A300-4453-8073-F615F47C0A72}" id="{CCDAF93E-687F-4B88-AEA7-7D35A6175C67}">
    <text>Design Review Engineering Approval</text>
  </threadedComment>
  <threadedComment ref="BO7" dT="2024-08-30T23:05:10.03" personId="{6E96C62B-2CFC-4858-9CAB-69D73E17F80B}" id="{F7B9C23B-4F78-4195-8323-289C59E3B1FF}">
    <text>Level 1 Design Review (DR)</text>
  </threadedComment>
  <threadedComment ref="BR7" dT="2024-08-30T23:05:10.03" personId="{6E96C62B-2CFC-4858-9CAB-69D73E17F80B}" id="{FF2B224C-40C5-4EAC-8420-46F49DF3E3BB}">
    <text>Technical Concept Review</text>
  </threadedComment>
  <threadedComment ref="BU7" dT="2024-08-30T23:10:36.70" personId="{6E96C62B-2CFC-4858-9CAB-69D73E17F80B}" id="{A1A22307-2509-4EE9-B5AB-DE109CD116A9}">
    <text>Preliminary Design Review (PDR)</text>
  </threadedComment>
  <threadedComment ref="BX7" dT="2024-08-30T23:10:49.21" personId="{6E96C62B-2CFC-4858-9CAB-69D73E17F80B}" id="{AA1753E6-8A4B-4CE8-8D6A-CF6B3B221B35}">
    <text>Critical Design Review (CDR)</text>
  </threadedComment>
  <threadedComment ref="CA7" dT="2024-02-17T15:07:26.59" personId="{30B90AFB-D700-4715-946E-3F0F82132F1E}" id="{670E1313-D1FF-4E56-B630-9D6C89DE3B96}">
    <text>Includes time to close all CDR actions for BTS parts</text>
  </threadedComment>
  <threadedComment ref="CG7" dT="2024-08-30T23:50:08.88" personId="{6E96C62B-2CFC-4858-9CAB-69D73E17F80B}" id="{73263EC4-6F5A-48A3-8550-1513F40E6B66}">
    <text>Approval date is the combination of HON &amp; Customer, if applicable</text>
  </threadedComment>
  <threadedComment ref="CG7" dT="2024-08-30T23:51:21.74" personId="{6E96C62B-2CFC-4858-9CAB-69D73E17F80B}" id="{43B60839-2A2F-4B75-AFBD-2144F8D5F510}" parentId="{73263EC4-6F5A-48A3-8550-1513F40E6B66}">
    <text>HON Approval: 15 WD
HON + Cust Approval: 60WD</text>
  </threadedComment>
  <threadedComment ref="CP7" dT="2026-01-14T00:13:25.07" personId="{F87AE234-DCBA-44D9-A462-9F25E5804E12}" id="{8E554F45-B388-4AEB-8B40-BF00E768870A}">
    <text>The baseline for Execution milestones will be set up once there is an Actual Completion Date for the FAIR PO Acknowledgment by the supplier</text>
  </threadedComment>
  <threadedComment ref="CT7" dT="2024-02-17T15:09:08.82" personId="{30B90AFB-D700-4715-946E-3F0F82132F1E}" id="{3D4F271B-0118-4D98-9BFD-F9DDD2F44661}">
    <text>Baseline assumes 6 months for material lead-time.  Adjust as needed...</text>
  </threadedComment>
  <threadedComment ref="CW7" dT="2025-09-29T14:02:21.53" personId="{3603CF81-8633-46F4-8983-E095A6FBD4DE}" id="{E9CC74F1-79B2-4822-B53F-72EB84341249}">
    <text>Most projects will not have this, if N/A then 0 for duration</text>
  </threadedComment>
  <threadedComment ref="CZ7" dT="2024-02-17T15:09:08.82" personId="{30B90AFB-D700-4715-946E-3F0F82132F1E}" id="{B41373CF-F784-432A-BB9D-C1E13F5D239B}">
    <text>Baseline assumes 6 months for material lead-time.  Adjust as needed...</text>
  </threadedComment>
  <threadedComment ref="DC7" dT="2024-08-30T23:41:14.49" personId="{6E96C62B-2CFC-4858-9CAB-69D73E17F80B}" id="{8658C90C-3745-4532-A4C1-DFDA147CB2F1}">
    <text>A inchstone plan for this should be created by the PE, adjust the duration to align to the inchstone.  One initial plan is set, cell must be locked by VS IRB/TRB Focal</text>
  </threadedComment>
  <threadedComment ref="DC7" dT="2024-08-30T23:41:41.75" personId="{6E96C62B-2CFC-4858-9CAB-69D73E17F80B}" id="{0C9FBB4B-33E3-4161-B883-1D0655E9A888}" parentId="{8658C90C-3745-4532-A4C1-DFDA147CB2F1}">
    <text>Common items: STICs, Proof &amp; Burst, Fire Test, Fixed Process, Metallurgy, etc.</text>
  </threadedComment>
  <threadedComment ref="DC7" dT="2024-08-30T23:42:22.65" personId="{6E96C62B-2CFC-4858-9CAB-69D73E17F80B}" id="{F7ED4437-17AC-4FC8-85C5-0EC2DEADBC5B}" parentId="{8658C90C-3745-4532-A4C1-DFDA147CB2F1}">
    <text>If N/A - adjust duration to "0"</text>
  </threadedComment>
  <threadedComment ref="DF7" dT="2024-08-30T23:46:42.46" personId="{6E96C62B-2CFC-4858-9CAB-69D73E17F80B}" id="{D2C72F31-62D7-4F21-930F-1103B5193EA9}">
    <text>At baseline adjust duration for schedule and then have cell locked by VS IRB/TRB focal</text>
  </threadedComment>
  <threadedComment ref="DP7" dT="2021-08-03T19:17:36.40" personId="{30B90AFB-D700-4715-946E-3F0F82132F1E}" id="{3BC82244-D1CE-43D8-9AD9-5839D30EA82B}">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65B6615F-DEA1-4E32-B4A3-3E45EF21615B}">
    <text>A inchstone plan for this should be created by the PE, adjust the duration to align to the inchstone.  One initial plan is set, cell must be locked by VS IRB/TRB Focal</text>
  </threadedComment>
  <threadedComment ref="DS7" dT="2024-08-30T23:41:41.75" personId="{6E96C62B-2CFC-4858-9CAB-69D73E17F80B}" id="{004B17F6-3C12-4FD6-9903-600B03441B97}" parentId="{65B6615F-DEA1-4E32-B4A3-3E45EF21615B}">
    <text>Common items: STICs, Proof &amp; Burst, Fire Test, Fixed Process, Metallurgy, etc.</text>
  </threadedComment>
  <threadedComment ref="DS7" dT="2024-08-30T23:42:22.65" personId="{6E96C62B-2CFC-4858-9CAB-69D73E17F80B}" id="{67DCE81E-B0B7-45C9-BC8D-D35854736C6D}" parentId="{65B6615F-DEA1-4E32-B4A3-3E45EF21615B}">
    <text>If N/A - adjust duration to "0"</text>
  </threadedComment>
  <threadedComment ref="EA7" dT="2024-08-31T00:01:45.87" personId="{6E96C62B-2CFC-4858-9CAB-69D73E17F80B}" id="{6A38574B-E458-4FB3-82F7-683CFE6BE099}">
    <text>A inchstone plan for this should be created by the PE, adjust the duration to align to the inchstone.  One initial plan is set, cell must be locked by VS IRB/TRB Focal</text>
  </threadedComment>
  <threadedComment ref="EA7" dT="2024-08-31T00:02:15.25" personId="{6E96C62B-2CFC-4858-9CAB-69D73E17F80B}" id="{41B79F6C-F2FB-4BE8-B601-8FFF465F00B5}" parentId="{6A38574B-E458-4FB3-82F7-683CFE6BE099}">
    <text>Common items: Machining trials, engine test</text>
  </threadedComment>
  <threadedComment ref="EE7" dT="2024-08-31T00:08:03.67" personId="{6E96C62B-2CFC-4858-9CAB-69D73E17F80B}" id="{771A4593-9052-4961-8D7E-B753A98C576A}">
    <text>For new PNs customer approval can come after SS1 elevation, however for same PN customer approval is needed prior to SS1 elevation.</text>
  </threadedComment>
  <threadedComment ref="EE7" dT="2025-09-29T14:01:06.44" personId="{3603CF81-8633-46F4-8983-E095A6FBD4DE}" id="{9D697D20-D3CF-4320-BBE0-B2A9F85033DD}" parentId="{771A4593-9052-4961-8D7E-B753A98C576A}">
    <text>This is all of the post test reports being completed, examples: engine test report, gear report, STR, FTR, etc. Anything that is needed for the SS1 ECN.</text>
  </threadedComment>
  <threadedComment ref="EE7" dT="2025-10-01T14:09:24.21" personId="{3603CF81-8633-46F4-8983-E095A6FBD4DE}" id="{5F391991-9586-4F07-868C-FEA2C917DF5A}" parentId="{771A4593-9052-4961-8D7E-B753A98C576A}">
    <text>FAIR Only parts are greyed out since N/A, leaving a date in here to support PFEP link</text>
  </threadedComment>
  <threadedComment ref="EN7" dT="2024-09-03T23:54:07.33" personId="{6E96C62B-2CFC-4858-9CAB-69D73E17F80B}" id="{E0410239-E63C-4102-B2B4-9D078268B850}">
    <text>If N/A change duration to 0</text>
  </threadedComment>
  <threadedComment ref="EQ7" dT="2024-09-03T23:54:07.33" personId="{6E96C62B-2CFC-4858-9CAB-69D73E17F80B}" id="{51FCA388-CA91-43F8-B6B9-586774A84E1A}">
    <text>If N/A change duration to 0</text>
  </threadedComment>
  <threadedComment ref="ET7" dT="2024-09-03T23:54:07.33" personId="{6E96C62B-2CFC-4858-9CAB-69D73E17F80B}" id="{ECAF61EE-7041-4B4F-A868-10D3EF070DC4}">
    <text>If N/A change duration to 0</text>
  </threadedComment>
  <threadedComment ref="FC7" dT="2023-02-13T16:15:11.97" personId="{30B90AFB-D700-4715-946E-3F0F82132F1E}" id="{A6A5D544-D923-427A-A376-59A999BFBDE2}">
    <text>4 to 5 weeks after SS1 Elevation.</text>
  </threadedComment>
  <threadedComment ref="FI7" dT="2025-09-29T13:59:17.28" personId="{3603CF81-8633-46F4-8983-E095A6FBD4DE}" id="{BAFCC0C7-5872-4DA2-858B-D8F3EA0E2E4E}">
    <text>When all actions completed including final audit pass</text>
  </threadedComment>
  <threadedComment ref="FL7" dT="2024-10-31T20:35:42.05" personId="{719FBC98-FAF5-4D03-8931-64C7056595CF}" id="{9C5433C9-2195-444D-AF1C-1FB2CF7BB802}">
    <text>Production Cutover Date should match your 1st Production Delivery Date.</text>
  </threadedComment>
  <threadedComment ref="FO7" dT="2025-09-29T13:58:40.50" personId="{3603CF81-8633-46F4-8983-E095A6FBD4DE}" id="{042611B2-FFBA-4E8F-9946-248F6B9B8165}">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1C6C478-2F06-410E-AE6C-7610DB8527A0}">
    <text>Only use 2nd line of each pair for Project name, helps with filters</text>
  </threadedComment>
  <threadedComment ref="B8" dT="2025-10-01T13:40:09.48" personId="{3603CF81-8633-46F4-8983-E095A6FBD4DE}" id="{D01D9706-9BF2-4112-8754-A78B011C0A74}">
    <text>Only use 2nd line of each pair for AID, helps with filters</text>
  </threadedComment>
  <threadedComment ref="C8" dT="2025-10-01T13:39:50.60" personId="{3603CF81-8633-46F4-8983-E095A6FBD4DE}" id="{2C848EBF-A0A3-436F-A5BC-2A57C120894A}">
    <text>Only use 2nd line of each pair for PN, helps with filters</text>
  </threadedComment>
  <threadedComment ref="E8" dT="2026-01-09T17:49:13.36" personId="{F87AE234-DCBA-44D9-A462-9F25E5804E12}" id="{944DA72B-9826-47E7-86C2-FA15F8CC21CE}">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43E56FF7-CEEB-4EA0-889A-B8DC4990A2B9}">
    <text>Select the Pair of lines to use based on what type of project you have, likely will know this up front but 100% after EPA/TDR</text>
  </threadedComment>
  <threadedComment ref="H8" dT="2026-01-05T19:20:02.78" personId="{F87AE234-DCBA-44D9-A462-9F25E5804E12}" id="{DD206D59-72EF-49E8-A62D-FD721E544CD4}">
    <text>The Baseline will change to Execution once there is an Actual Completion Date for the FAIR Order Acknowledged</text>
  </threadedComment>
  <threadedComment ref="EK8" dT="2022-07-20T19:15:49.00" personId="{30B90AFB-D700-4715-946E-3F0F82132F1E}" id="{E2FA127D-6371-4205-BDD1-783367837589}">
    <text>AG-5924 MRR/MRA is not applicable for suppliers per AG-5924 paragraph 3. Applicability -  The MRA is only applicable to products manufactured at Honeywell locations.</text>
  </threadedComment>
  <threadedComment ref="EN8" dT="2022-05-17T16:52:27.19" personId="{30B90AFB-D700-4715-946E-3F0F82132F1E}" id="{6ABCC524-3B25-4C74-8718-8D7735E7197F}">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C1571C1F-B7F9-4681-947C-4C9BD939E5B1}" parentId="{6ABCC524-3B25-4C74-8718-8D7735E7197F}">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B4205A6A-CA8C-4F1B-B620-F279DDC972E6}">
    <text>For new PNs customer approval can come after SS1 elevation, however for same PN customer approval is needed prior to SS1 elevation.</text>
  </threadedComment>
  <threadedComment ref="EZ8" dT="2022-07-20T19:15:49.00" personId="{30B90AFB-D700-4715-946E-3F0F82132F1E}" id="{B0B48EB2-1E79-4E96-9467-F9DF4E16AAE0}">
    <text>AG-5924 MRR/MRA is not applicable for suppliers per AG-5924 paragraph 3. Applicability -  The MRA is only applicable to products manufactured at Honeywell locations.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I4" dT="2025-03-03T14:28:13.21" personId="{719FBC98-FAF5-4D03-8931-64C7056595CF}" id="{BE2375AC-1FAF-44E1-9EC4-C93788DC684C}">
    <text>Only Applicable for Power Systems</text>
  </threadedComment>
  <threadedComment ref="J7" dT="2025-12-11T20:19:12.91" personId="{F87AE234-DCBA-44D9-A462-9F25E5804E12}" id="{66875AA3-88D8-4D84-BF53-5839F1A26708}">
    <text>PSC = Procurement Spec</text>
  </threadedComment>
  <threadedComment ref="P7" dT="2025-10-01T13:56:22.83" personId="{3603CF81-8633-46F4-8983-E095A6FBD4DE}" id="{7C683C32-962F-4806-A1AB-6E6964B34523}">
    <text>BTP FAIR Only will not require a TDR, but to efficiently provide a link to PFEP tab not blanking this out, but leaving as grey</text>
  </threadedComment>
  <threadedComment ref="Y7" dT="2025-09-29T14:07:39.83" personId="{3603CF81-8633-46F4-8983-E095A6FBD4DE}" id="{5653E446-D393-40C1-A794-4800335652B4}">
    <text>Often up front drawing changes will be found during EPA/TDR, later dwg changes will need to be built into the supplier build time</text>
  </threadedComment>
  <threadedComment ref="AB7" dT="2026-01-22T21:17:03.54" personId="{F87AE234-DCBA-44D9-A462-9F25E5804E12}" id="{5AF57A17-74DC-4747-BE7A-3ECB75BAA857}">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37CF6CAF-52BB-4529-8422-966BD1CCE868}">
    <text>Largely unused anymore, can set as 0 duration</text>
  </threadedComment>
  <threadedComment ref="AQ7" dT="2025-09-29T14:06:27.26" personId="{3603CF81-8633-46F4-8983-E095A6FBD4DE}" id="{824A813A-6CF6-48FE-A258-EEDC94DB712A}">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4D0D99E7-0094-428B-B4F4-7B322D6B90F4}">
    <text>Once you have validation plan from EPA/TDR this can be completed even before formal EPA/TDR approval in ERS or TeamCenter</text>
  </threadedComment>
  <threadedComment ref="AT7" dT="2025-12-11T20:33:29.64" personId="{F87AE234-DCBA-44D9-A462-9F25E5804E12}" id="{D36D7EE2-73DA-4214-AD29-75A35DF35012}" parentId="{4D0D99E7-0094-428B-B4F4-7B322D6B90F4}">
    <text>ECE = Engineering Cost Estimate</text>
  </threadedComment>
  <threadedComment ref="AZ7" dT="2025-09-29T14:04:42.07" personId="{3603CF81-8633-46F4-8983-E095A6FBD4DE}" id="{2C4E589F-A397-4587-9013-84365E829417}">
    <text>Most projects will not have this, if N/A then 0 for duration</text>
  </threadedComment>
  <threadedComment ref="BI7" dT="2025-09-29T14:04:20.73" personId="{3603CF81-8633-46F4-8983-E095A6FBD4DE}" id="{D97378B8-583E-448E-86BE-F41E0762D426}">
    <text>Initial meetings with internal team and/or go-to supplier</text>
  </threadedComment>
  <threadedComment ref="BO7" dT="2024-08-30T23:05:10.03" personId="{6E96C62B-2CFC-4858-9CAB-69D73E17F80B}" id="{14D2AC08-373C-4BC2-AC0D-85F8A0D6A8AA}">
    <text>Level 1 Design Review (DR)</text>
  </threadedComment>
  <threadedComment ref="BR7" dT="2024-08-30T23:05:10.03" personId="{6E96C62B-2CFC-4858-9CAB-69D73E17F80B}" id="{A3C47215-1FE3-4A49-8B37-F428270BEE7B}">
    <text>Technical Concept Review</text>
  </threadedComment>
  <threadedComment ref="BU7" dT="2024-08-30T23:10:36.70" personId="{6E96C62B-2CFC-4858-9CAB-69D73E17F80B}" id="{2345DA65-6CF7-49C3-A58C-1E7B3DE155A9}">
    <text>Preliminary Design Review (PDR)</text>
  </threadedComment>
  <threadedComment ref="BX7" dT="2024-08-30T23:10:49.21" personId="{6E96C62B-2CFC-4858-9CAB-69D73E17F80B}" id="{D8214D93-D1B2-45B3-B845-B36EB771B5E9}">
    <text>Critical Design Review (CDR)</text>
  </threadedComment>
  <threadedComment ref="CA7" dT="2024-02-17T15:07:26.59" personId="{30B90AFB-D700-4715-946E-3F0F82132F1E}" id="{F80009F5-45DC-4AD7-91C7-8A71CD4B93B1}">
    <text>Includes time to close all CDR actions for BTS parts</text>
  </threadedComment>
  <threadedComment ref="CG7" dT="2024-08-30T23:50:08.88" personId="{6E96C62B-2CFC-4858-9CAB-69D73E17F80B}" id="{A5F5E895-759C-4BEE-B19F-4DC31DEBE3DB}">
    <text>Approval date is the combination of HON &amp; Customer, if applicable</text>
  </threadedComment>
  <threadedComment ref="CG7" dT="2024-08-30T23:51:21.74" personId="{6E96C62B-2CFC-4858-9CAB-69D73E17F80B}" id="{26DF4F96-7264-4563-A4EC-2549BBB422E3}" parentId="{A5F5E895-759C-4BEE-B19F-4DC31DEBE3DB}">
    <text>HON Approval: 15 WD
HON + Cust Approval: 60WD</text>
  </threadedComment>
  <threadedComment ref="CP7" dT="2026-01-14T00:13:25.07" personId="{F87AE234-DCBA-44D9-A462-9F25E5804E12}" id="{01E7CAAD-4D42-4568-8253-AE173FA9BE5B}">
    <text>The baseline for Execution milestones will be set up once there is an Actual Completion Date for the FAIR PO Acknowledgment by the supplier</text>
  </threadedComment>
  <threadedComment ref="CT7" dT="2024-02-17T15:09:08.82" personId="{30B90AFB-D700-4715-946E-3F0F82132F1E}" id="{D08A23F8-16DA-4C83-93FE-8492D92356C8}">
    <text>Baseline assumes 6 months for material lead-time.  Adjust as needed...</text>
  </threadedComment>
  <threadedComment ref="CW7" dT="2025-09-29T14:02:21.53" personId="{3603CF81-8633-46F4-8983-E095A6FBD4DE}" id="{E7537BC0-5699-48AD-9736-584B1942D35D}">
    <text>Most projects will not have this, if N/A then 0 for duration</text>
  </threadedComment>
  <threadedComment ref="CZ7" dT="2024-02-17T15:09:08.82" personId="{30B90AFB-D700-4715-946E-3F0F82132F1E}" id="{31848541-5900-4B87-89CD-C8EF7B691CDC}">
    <text>Baseline assumes 6 months for material lead-time.  Adjust as needed...</text>
  </threadedComment>
  <threadedComment ref="DC7" dT="2024-08-30T23:41:14.49" personId="{6E96C62B-2CFC-4858-9CAB-69D73E17F80B}" id="{031108AA-8D04-4990-BBCF-DD2098939F33}">
    <text>A inchstone plan for this should be created by the PE, adjust the duration to align to the inchstone.  One initial plan is set, cell must be locked by VS IRB/TRB Focal</text>
  </threadedComment>
  <threadedComment ref="DC7" dT="2024-08-30T23:41:41.75" personId="{6E96C62B-2CFC-4858-9CAB-69D73E17F80B}" id="{DFE49811-DF0B-4BB8-BC8F-09EC15C37153}" parentId="{031108AA-8D04-4990-BBCF-DD2098939F33}">
    <text>Common items: STICs, Proof &amp; Burst, Fire Test, Fixed Process, Metallurgy, etc.</text>
  </threadedComment>
  <threadedComment ref="DC7" dT="2024-08-30T23:42:22.65" personId="{6E96C62B-2CFC-4858-9CAB-69D73E17F80B}" id="{AFFE4C02-A2DD-484F-B189-F657DC5A10C0}" parentId="{031108AA-8D04-4990-BBCF-DD2098939F33}">
    <text>If N/A - adjust duration to "0"</text>
  </threadedComment>
  <threadedComment ref="DF7" dT="2024-08-30T23:46:42.46" personId="{6E96C62B-2CFC-4858-9CAB-69D73E17F80B}" id="{A17DACD4-9174-4F7B-BF3B-3B8DB1AA6D75}">
    <text>At baseline adjust duration for schedule and then have cell locked by VS IRB/TRB focal</text>
  </threadedComment>
  <threadedComment ref="DP7" dT="2021-08-03T19:17:36.40" personId="{30B90AFB-D700-4715-946E-3F0F82132F1E}" id="{B70C87FD-4CEE-4A8D-8E61-009C17EC9285}">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DC7FE293-C0CC-4BF1-A7C2-3363470F8714}">
    <text>A inchstone plan for this should be created by the PE, adjust the duration to align to the inchstone.  One initial plan is set, cell must be locked by VS IRB/TRB Focal</text>
  </threadedComment>
  <threadedComment ref="DS7" dT="2024-08-30T23:41:41.75" personId="{6E96C62B-2CFC-4858-9CAB-69D73E17F80B}" id="{E120446C-B229-44C1-80EE-573D46C01087}" parentId="{DC7FE293-C0CC-4BF1-A7C2-3363470F8714}">
    <text>Common items: STICs, Proof &amp; Burst, Fire Test, Fixed Process, Metallurgy, etc.</text>
  </threadedComment>
  <threadedComment ref="DS7" dT="2024-08-30T23:42:22.65" personId="{6E96C62B-2CFC-4858-9CAB-69D73E17F80B}" id="{FF00242D-9D86-4185-82FB-9D2D23DCF432}" parentId="{DC7FE293-C0CC-4BF1-A7C2-3363470F8714}">
    <text>If N/A - adjust duration to "0"</text>
  </threadedComment>
  <threadedComment ref="EA7" dT="2024-08-31T00:01:45.87" personId="{6E96C62B-2CFC-4858-9CAB-69D73E17F80B}" id="{8CDAC6A0-56FE-46A3-AB76-6DD10A2BD26C}">
    <text>A inchstone plan for this should be created by the PE, adjust the duration to align to the inchstone.  One initial plan is set, cell must be locked by VS IRB/TRB Focal</text>
  </threadedComment>
  <threadedComment ref="EA7" dT="2024-08-31T00:02:15.25" personId="{6E96C62B-2CFC-4858-9CAB-69D73E17F80B}" id="{676D4E40-1CAB-46B4-9FE7-589DD1E84FB9}" parentId="{8CDAC6A0-56FE-46A3-AB76-6DD10A2BD26C}">
    <text>Common items: Machining trials, engine test</text>
  </threadedComment>
  <threadedComment ref="EE7" dT="2024-08-31T00:08:03.67" personId="{6E96C62B-2CFC-4858-9CAB-69D73E17F80B}" id="{FEE21791-EC55-4C04-BD78-64F3CC5D57BA}">
    <text>For new PNs customer approval can come after SS1 elevation, however for same PN customer approval is needed prior to SS1 elevation.</text>
  </threadedComment>
  <threadedComment ref="EE7" dT="2025-09-29T14:01:06.44" personId="{3603CF81-8633-46F4-8983-E095A6FBD4DE}" id="{739878B5-D7A5-42A0-AEAD-051A53FB94A9}" parentId="{FEE21791-EC55-4C04-BD78-64F3CC5D57BA}">
    <text>This is all of the post test reports being completed, examples: engine test report, gear report, STR, FTR, etc. Anything that is needed for the SS1 ECN.</text>
  </threadedComment>
  <threadedComment ref="EE7" dT="2025-10-01T14:09:24.21" personId="{3603CF81-8633-46F4-8983-E095A6FBD4DE}" id="{E6A400F7-A720-4270-92A7-B96C1841D667}" parentId="{FEE21791-EC55-4C04-BD78-64F3CC5D57BA}">
    <text>FAIR Only parts are greyed out since N/A, leaving a date in here to support PFEP link</text>
  </threadedComment>
  <threadedComment ref="EN7" dT="2024-09-03T23:54:07.33" personId="{6E96C62B-2CFC-4858-9CAB-69D73E17F80B}" id="{9AD321C6-E1D9-4FDF-9937-701F038A0377}">
    <text>If N/A change duration to 0</text>
  </threadedComment>
  <threadedComment ref="EQ7" dT="2024-09-03T23:54:07.33" personId="{6E96C62B-2CFC-4858-9CAB-69D73E17F80B}" id="{29032A7E-71C5-4C1F-9F24-B6B9A77EF185}">
    <text>If N/A change duration to 0</text>
  </threadedComment>
  <threadedComment ref="ET7" dT="2024-09-03T23:54:07.33" personId="{6E96C62B-2CFC-4858-9CAB-69D73E17F80B}" id="{A4708FEF-8C18-4144-B3C6-748E0A041265}">
    <text>If N/A change duration to 0</text>
  </threadedComment>
  <threadedComment ref="FC7" dT="2023-02-13T16:15:11.97" personId="{30B90AFB-D700-4715-946E-3F0F82132F1E}" id="{1A7F99C2-82A0-45F7-9A2C-D5A86A99C631}">
    <text>4 to 5 weeks after SS1 Elevation.</text>
  </threadedComment>
  <threadedComment ref="FI7" dT="2025-09-29T13:59:17.28" personId="{3603CF81-8633-46F4-8983-E095A6FBD4DE}" id="{52124900-563F-4B55-8AF7-A30CB795B34B}">
    <text>When all actions completed including final audit pass</text>
  </threadedComment>
  <threadedComment ref="FL7" dT="2024-10-31T20:35:42.05" personId="{719FBC98-FAF5-4D03-8931-64C7056595CF}" id="{9B0E2A01-42FA-4319-8198-8CDC54B5D1A1}">
    <text>Production Cutover Date should match your 1st Production Delivery Date.</text>
  </threadedComment>
  <threadedComment ref="FO7" dT="2025-09-29T13:58:40.50" personId="{3603CF81-8633-46F4-8983-E095A6FBD4DE}" id="{5BD3A202-51E5-4C14-8991-8AFD7E94E761}">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93A5B57-37A4-4D7A-BE86-C5C05B9BC6AE}">
    <text>Only use 2nd line of each pair for Project name, helps with filters</text>
  </threadedComment>
  <threadedComment ref="B8" dT="2025-10-01T13:40:09.48" personId="{3603CF81-8633-46F4-8983-E095A6FBD4DE}" id="{F847554A-54F2-45F2-B61F-704798CE2FB0}">
    <text>Only use 2nd line of each pair for AID, helps with filters</text>
  </threadedComment>
  <threadedComment ref="C8" dT="2025-10-01T13:39:50.60" personId="{3603CF81-8633-46F4-8983-E095A6FBD4DE}" id="{7EB810F2-8894-4EB0-97BB-1A6ECE894423}">
    <text>Only use 2nd line of each pair for PN, helps with filters</text>
  </threadedComment>
  <threadedComment ref="E8" dT="2026-01-09T17:49:13.36" personId="{F87AE234-DCBA-44D9-A462-9F25E5804E12}" id="{881D75AE-2AD0-419D-8BFF-F7956CFB8117}">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726E5D60-889F-4B30-974F-188BC48C3E1B}">
    <text>Select the Pair of lines to use based on what type of project you have, likely will know this up front but 100% after EPA/TDR</text>
  </threadedComment>
  <threadedComment ref="H8" dT="2026-01-05T19:20:02.78" personId="{F87AE234-DCBA-44D9-A462-9F25E5804E12}" id="{95C3C469-5D1C-4FD2-918F-12C6DEA588F2}">
    <text>The Baseline will change to Execution once there is an Actual Completion Date for the FAIR Order Acknowledged</text>
  </threadedComment>
  <threadedComment ref="EK8" dT="2022-07-20T19:15:49.00" personId="{30B90AFB-D700-4715-946E-3F0F82132F1E}" id="{22E25760-5825-4B1F-AB5F-F312CBAE0AB4}">
    <text>AG-5924 MRR/MRA is not applicable for suppliers per AG-5924 paragraph 3. Applicability -  The MRA is only applicable to products manufactured at Honeywell locations.</text>
  </threadedComment>
  <threadedComment ref="EN8" dT="2022-05-17T16:52:27.19" personId="{30B90AFB-D700-4715-946E-3F0F82132F1E}" id="{4982CBF0-3EB0-40A8-BCE8-F06A0802EB1C}">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513EFEC9-6C44-4262-A627-CF5AA1CA2AB1}" parentId="{4982CBF0-3EB0-40A8-BCE8-F06A0802EB1C}">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FB1F36B9-04E3-491C-AB3C-07EFB1DCA83E}">
    <text>For new PNs customer approval can come after SS1 elevation, however for same PN customer approval is needed prior to SS1 elevation.</text>
  </threadedComment>
  <threadedComment ref="EZ8" dT="2022-07-20T19:15:49.00" personId="{30B90AFB-D700-4715-946E-3F0F82132F1E}" id="{D31E8C5D-06AB-466B-AE26-8E6E4E49F062}">
    <text>AG-5924 MRR/MRA is not applicable for suppliers per AG-5924 paragraph 3. Applicability -  The MRA is only applicable to products manufactured at Honeywell locations.</tex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Simplified%20IMS%20%26%20Inchston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C8D8E-E5E2-4882-9088-647078EC0BDF}">
  <sheetPr codeName="Sheet1">
    <tabColor rgb="FFFFFF00"/>
  </sheetPr>
  <dimension ref="A1:G148"/>
  <sheetViews>
    <sheetView showGridLines="0" workbookViewId="0">
      <selection activeCell="B5" sqref="B5"/>
    </sheetView>
  </sheetViews>
  <sheetFormatPr defaultRowHeight="14.5" outlineLevelRow="1" x14ac:dyDescent="0.35"/>
  <cols>
    <col min="1" max="1" width="26.453125" customWidth="1"/>
    <col min="2" max="2" width="50.81640625" customWidth="1"/>
    <col min="3" max="5" width="10.26953125" customWidth="1"/>
    <col min="6" max="6" width="11.26953125" customWidth="1"/>
  </cols>
  <sheetData>
    <row r="1" spans="1:6" x14ac:dyDescent="0.35">
      <c r="A1" s="173" t="s">
        <v>0</v>
      </c>
      <c r="B1" s="173"/>
      <c r="C1" s="173"/>
      <c r="D1" s="173"/>
      <c r="E1" s="173"/>
      <c r="F1" s="173"/>
    </row>
    <row r="2" spans="1:6" x14ac:dyDescent="0.35">
      <c r="D2" s="177" t="s">
        <v>1</v>
      </c>
      <c r="E2" s="177"/>
      <c r="F2" s="177"/>
    </row>
    <row r="3" spans="1:6" ht="14.5" customHeight="1" x14ac:dyDescent="0.35">
      <c r="A3" s="81" t="s">
        <v>2</v>
      </c>
      <c r="B3" s="82" t="s">
        <v>3</v>
      </c>
      <c r="D3" s="177"/>
      <c r="E3" s="177"/>
      <c r="F3" s="177"/>
    </row>
    <row r="4" spans="1:6" x14ac:dyDescent="0.35">
      <c r="A4" s="83" t="str" cm="1">
        <f t="array" ref="A4">_xlfn.IFS($B$3="","",$B$3="Supplier Name","Supplier Name",$B$3="Project Name","Project Name",$B$3="Project Manager","")</f>
        <v>Project Name</v>
      </c>
      <c r="B4" s="85" t="s">
        <v>4</v>
      </c>
      <c r="C4" s="84"/>
      <c r="D4" s="177"/>
      <c r="E4" s="177"/>
      <c r="F4" s="177"/>
    </row>
    <row r="5" spans="1:6" x14ac:dyDescent="0.35">
      <c r="A5" s="81" t="s">
        <v>5</v>
      </c>
      <c r="B5" s="82" t="s">
        <v>6</v>
      </c>
      <c r="C5" s="49"/>
      <c r="D5" s="177"/>
      <c r="E5" s="177"/>
      <c r="F5" s="177"/>
    </row>
    <row r="6" spans="1:6" ht="29" x14ac:dyDescent="0.35">
      <c r="A6" s="81" t="s">
        <v>7</v>
      </c>
      <c r="B6" s="82" t="s">
        <v>8</v>
      </c>
      <c r="C6" s="49"/>
      <c r="D6" s="177"/>
      <c r="E6" s="177"/>
      <c r="F6" s="177"/>
    </row>
    <row r="8" spans="1:6" x14ac:dyDescent="0.35">
      <c r="A8" s="175" t="s">
        <v>9</v>
      </c>
      <c r="B8" s="175"/>
      <c r="C8" s="175"/>
      <c r="D8" s="175"/>
      <c r="E8" s="175"/>
      <c r="F8" s="175"/>
    </row>
    <row r="9" spans="1:6" ht="75.650000000000006" customHeight="1" x14ac:dyDescent="0.35">
      <c r="A9" s="176" t="s">
        <v>10</v>
      </c>
      <c r="B9" s="176"/>
      <c r="C9" s="176"/>
      <c r="D9" s="176"/>
      <c r="E9" s="176"/>
      <c r="F9" s="176"/>
    </row>
    <row r="10" spans="1:6" ht="52.9" customHeight="1" x14ac:dyDescent="0.35">
      <c r="A10" s="176"/>
      <c r="B10" s="176"/>
      <c r="C10" s="176"/>
      <c r="D10" s="176"/>
      <c r="E10" s="176"/>
      <c r="F10" s="176"/>
    </row>
    <row r="11" spans="1:6" ht="22.9" customHeight="1" x14ac:dyDescent="0.35">
      <c r="A11" s="176"/>
      <c r="B11" s="176"/>
      <c r="C11" s="176"/>
      <c r="D11" s="176"/>
      <c r="E11" s="176"/>
      <c r="F11" s="176"/>
    </row>
    <row r="12" spans="1:6" ht="67.150000000000006" customHeight="1" x14ac:dyDescent="0.35">
      <c r="A12" s="176"/>
      <c r="B12" s="176"/>
      <c r="C12" s="176"/>
      <c r="D12" s="176"/>
      <c r="E12" s="176"/>
      <c r="F12" s="176"/>
    </row>
    <row r="13" spans="1:6" x14ac:dyDescent="0.35">
      <c r="A13" s="73" t="s">
        <v>11</v>
      </c>
      <c r="B13" s="71"/>
      <c r="C13" s="71"/>
      <c r="D13" s="71"/>
      <c r="E13" s="71"/>
      <c r="F13" s="71"/>
    </row>
    <row r="14" spans="1:6" x14ac:dyDescent="0.35">
      <c r="A14" s="74" t="s">
        <v>12</v>
      </c>
      <c r="B14" s="71"/>
      <c r="C14" s="71"/>
      <c r="D14" s="71"/>
      <c r="E14" s="71"/>
      <c r="F14" s="71"/>
    </row>
    <row r="15" spans="1:6" x14ac:dyDescent="0.35">
      <c r="A15" s="72" t="s">
        <v>13</v>
      </c>
      <c r="B15" s="16"/>
      <c r="C15" s="16"/>
      <c r="D15" s="16"/>
      <c r="E15" s="16"/>
      <c r="F15" s="16"/>
    </row>
    <row r="16" spans="1:6" x14ac:dyDescent="0.35">
      <c r="A16" s="93" t="s">
        <v>14</v>
      </c>
      <c r="B16" s="16"/>
      <c r="C16" s="16"/>
      <c r="D16" s="16"/>
      <c r="E16" s="16"/>
      <c r="F16" s="16"/>
    </row>
    <row r="18" spans="1:6" x14ac:dyDescent="0.35">
      <c r="A18" s="174" t="s">
        <v>15</v>
      </c>
      <c r="B18" s="174"/>
      <c r="C18" s="174"/>
      <c r="D18" s="174"/>
      <c r="E18" s="174"/>
      <c r="F18" s="174"/>
    </row>
    <row r="19" spans="1:6" x14ac:dyDescent="0.35">
      <c r="A19" s="97" t="s">
        <v>16</v>
      </c>
      <c r="B19" s="97" t="s">
        <v>17</v>
      </c>
      <c r="C19" s="186" t="s">
        <v>18</v>
      </c>
      <c r="D19" s="186"/>
      <c r="E19" s="186"/>
      <c r="F19" s="97"/>
    </row>
    <row r="20" spans="1:6" ht="42" customHeight="1" outlineLevel="1" x14ac:dyDescent="0.35">
      <c r="A20" s="66" t="s">
        <v>19</v>
      </c>
      <c r="B20" s="67" t="s">
        <v>20</v>
      </c>
      <c r="C20" s="179" t="s">
        <v>21</v>
      </c>
      <c r="D20" s="184"/>
      <c r="E20" s="185"/>
    </row>
    <row r="21" spans="1:6" ht="72.5" outlineLevel="1" x14ac:dyDescent="0.35">
      <c r="A21" s="68" t="s">
        <v>22</v>
      </c>
      <c r="B21" s="67" t="s">
        <v>23</v>
      </c>
      <c r="C21" s="178" t="s">
        <v>24</v>
      </c>
      <c r="D21" s="178"/>
      <c r="E21" s="178"/>
    </row>
    <row r="22" spans="1:6" ht="101.5" outlineLevel="1" x14ac:dyDescent="0.35">
      <c r="A22" s="69" t="s">
        <v>25</v>
      </c>
      <c r="B22" s="67" t="s">
        <v>26</v>
      </c>
      <c r="C22" s="179" t="s">
        <v>27</v>
      </c>
      <c r="D22" s="180"/>
      <c r="E22" s="181"/>
    </row>
    <row r="23" spans="1:6" ht="57.65" customHeight="1" outlineLevel="1" x14ac:dyDescent="0.35">
      <c r="A23" s="70" t="s">
        <v>28</v>
      </c>
      <c r="B23" s="67" t="s">
        <v>29</v>
      </c>
      <c r="C23" s="179" t="s">
        <v>30</v>
      </c>
      <c r="D23" s="182"/>
      <c r="E23" s="183"/>
    </row>
    <row r="25" spans="1:6" x14ac:dyDescent="0.35">
      <c r="A25" s="174" t="s">
        <v>31</v>
      </c>
      <c r="B25" s="174"/>
      <c r="C25" s="174"/>
      <c r="D25" s="174"/>
      <c r="E25" s="174"/>
      <c r="F25" s="174"/>
    </row>
    <row r="26" spans="1:6" hidden="1" outlineLevel="1" x14ac:dyDescent="0.35">
      <c r="A26" s="14" t="s">
        <v>32</v>
      </c>
      <c r="B26" s="14" t="s">
        <v>33</v>
      </c>
    </row>
    <row r="27" spans="1:6" hidden="1" outlineLevel="1" x14ac:dyDescent="0.35">
      <c r="A27" s="63" t="s">
        <v>34</v>
      </c>
      <c r="B27" s="62" t="s">
        <v>35</v>
      </c>
    </row>
    <row r="28" spans="1:6" hidden="1" outlineLevel="1" x14ac:dyDescent="0.35">
      <c r="A28" s="63" t="s">
        <v>36</v>
      </c>
      <c r="B28" s="62" t="s">
        <v>37</v>
      </c>
    </row>
    <row r="29" spans="1:6" hidden="1" outlineLevel="1" x14ac:dyDescent="0.35">
      <c r="A29" s="63" t="s">
        <v>38</v>
      </c>
      <c r="B29" s="62" t="s">
        <v>39</v>
      </c>
    </row>
    <row r="30" spans="1:6" hidden="1" outlineLevel="1" x14ac:dyDescent="0.35">
      <c r="A30" s="63" t="s">
        <v>40</v>
      </c>
      <c r="B30" s="62" t="s">
        <v>41</v>
      </c>
    </row>
    <row r="31" spans="1:6" hidden="1" outlineLevel="1" x14ac:dyDescent="0.35">
      <c r="A31" s="63" t="s">
        <v>42</v>
      </c>
      <c r="B31" s="62" t="s">
        <v>43</v>
      </c>
    </row>
    <row r="32" spans="1:6" hidden="1" outlineLevel="1" x14ac:dyDescent="0.35">
      <c r="A32" s="63" t="s">
        <v>44</v>
      </c>
      <c r="B32" s="62" t="s">
        <v>45</v>
      </c>
    </row>
    <row r="33" spans="1:2" hidden="1" outlineLevel="1" x14ac:dyDescent="0.35">
      <c r="A33" s="63" t="s">
        <v>46</v>
      </c>
      <c r="B33" s="62" t="s">
        <v>47</v>
      </c>
    </row>
    <row r="34" spans="1:2" hidden="1" outlineLevel="1" x14ac:dyDescent="0.35">
      <c r="A34" s="63" t="s">
        <v>48</v>
      </c>
      <c r="B34" s="62" t="s">
        <v>49</v>
      </c>
    </row>
    <row r="35" spans="1:2" hidden="1" outlineLevel="1" x14ac:dyDescent="0.35">
      <c r="A35" s="63" t="s">
        <v>50</v>
      </c>
      <c r="B35" s="62" t="s">
        <v>51</v>
      </c>
    </row>
    <row r="36" spans="1:2" hidden="1" outlineLevel="1" x14ac:dyDescent="0.35">
      <c r="A36" s="63" t="s">
        <v>52</v>
      </c>
      <c r="B36" s="62" t="s">
        <v>53</v>
      </c>
    </row>
    <row r="37" spans="1:2" hidden="1" outlineLevel="1" x14ac:dyDescent="0.35">
      <c r="A37" s="63" t="s">
        <v>54</v>
      </c>
      <c r="B37" s="62" t="s">
        <v>55</v>
      </c>
    </row>
    <row r="38" spans="1:2" hidden="1" outlineLevel="1" x14ac:dyDescent="0.35">
      <c r="A38" s="63" t="s">
        <v>56</v>
      </c>
      <c r="B38" s="62" t="s">
        <v>57</v>
      </c>
    </row>
    <row r="39" spans="1:2" hidden="1" outlineLevel="1" x14ac:dyDescent="0.35">
      <c r="A39" s="63" t="s">
        <v>58</v>
      </c>
      <c r="B39" s="62" t="s">
        <v>57</v>
      </c>
    </row>
    <row r="40" spans="1:2" hidden="1" outlineLevel="1" x14ac:dyDescent="0.35">
      <c r="A40" s="63" t="s">
        <v>59</v>
      </c>
      <c r="B40" s="62" t="s">
        <v>60</v>
      </c>
    </row>
    <row r="41" spans="1:2" hidden="1" outlineLevel="1" x14ac:dyDescent="0.35">
      <c r="A41" s="63" t="s">
        <v>61</v>
      </c>
      <c r="B41" s="62" t="s">
        <v>62</v>
      </c>
    </row>
    <row r="42" spans="1:2" hidden="1" outlineLevel="1" x14ac:dyDescent="0.35">
      <c r="A42" s="63" t="s">
        <v>63</v>
      </c>
      <c r="B42" s="62" t="s">
        <v>64</v>
      </c>
    </row>
    <row r="43" spans="1:2" hidden="1" outlineLevel="1" x14ac:dyDescent="0.35">
      <c r="A43" s="63" t="s">
        <v>65</v>
      </c>
      <c r="B43" s="62" t="s">
        <v>66</v>
      </c>
    </row>
    <row r="44" spans="1:2" hidden="1" outlineLevel="1" x14ac:dyDescent="0.35">
      <c r="A44" s="63" t="s">
        <v>67</v>
      </c>
      <c r="B44" s="62" t="s">
        <v>68</v>
      </c>
    </row>
    <row r="45" spans="1:2" hidden="1" outlineLevel="1" x14ac:dyDescent="0.35">
      <c r="A45" s="63" t="s">
        <v>69</v>
      </c>
      <c r="B45" s="62" t="s">
        <v>70</v>
      </c>
    </row>
    <row r="46" spans="1:2" hidden="1" outlineLevel="1" x14ac:dyDescent="0.35">
      <c r="A46" s="63" t="s">
        <v>71</v>
      </c>
      <c r="B46" s="62" t="s">
        <v>72</v>
      </c>
    </row>
    <row r="47" spans="1:2" hidden="1" outlineLevel="1" x14ac:dyDescent="0.35">
      <c r="A47" s="63" t="s">
        <v>73</v>
      </c>
      <c r="B47" s="62" t="s">
        <v>74</v>
      </c>
    </row>
    <row r="48" spans="1:2" hidden="1" outlineLevel="1" x14ac:dyDescent="0.35">
      <c r="A48" s="63" t="s">
        <v>75</v>
      </c>
      <c r="B48" s="62" t="s">
        <v>76</v>
      </c>
    </row>
    <row r="49" spans="1:2" hidden="1" outlineLevel="1" x14ac:dyDescent="0.35">
      <c r="A49" s="63" t="s">
        <v>77</v>
      </c>
      <c r="B49" s="62" t="s">
        <v>78</v>
      </c>
    </row>
    <row r="50" spans="1:2" hidden="1" outlineLevel="1" x14ac:dyDescent="0.35">
      <c r="A50" s="63" t="s">
        <v>79</v>
      </c>
      <c r="B50" s="62" t="s">
        <v>80</v>
      </c>
    </row>
    <row r="51" spans="1:2" hidden="1" outlineLevel="1" x14ac:dyDescent="0.35">
      <c r="A51" s="63" t="s">
        <v>81</v>
      </c>
      <c r="B51" s="62" t="s">
        <v>82</v>
      </c>
    </row>
    <row r="52" spans="1:2" hidden="1" outlineLevel="1" x14ac:dyDescent="0.35">
      <c r="A52" s="63" t="s">
        <v>83</v>
      </c>
      <c r="B52" s="62" t="s">
        <v>84</v>
      </c>
    </row>
    <row r="53" spans="1:2" hidden="1" outlineLevel="1" x14ac:dyDescent="0.35">
      <c r="A53" s="63" t="s">
        <v>85</v>
      </c>
      <c r="B53" s="62" t="s">
        <v>86</v>
      </c>
    </row>
    <row r="54" spans="1:2" hidden="1" outlineLevel="1" x14ac:dyDescent="0.35">
      <c r="A54" s="63" t="s">
        <v>87</v>
      </c>
      <c r="B54" s="62" t="s">
        <v>88</v>
      </c>
    </row>
    <row r="55" spans="1:2" hidden="1" outlineLevel="1" x14ac:dyDescent="0.35">
      <c r="A55" s="64" t="s">
        <v>89</v>
      </c>
      <c r="B55" s="62" t="s">
        <v>90</v>
      </c>
    </row>
    <row r="56" spans="1:2" hidden="1" outlineLevel="1" x14ac:dyDescent="0.35">
      <c r="A56" s="63" t="s">
        <v>91</v>
      </c>
      <c r="B56" s="62" t="s">
        <v>92</v>
      </c>
    </row>
    <row r="57" spans="1:2" hidden="1" outlineLevel="1" x14ac:dyDescent="0.35">
      <c r="A57" s="63" t="s">
        <v>93</v>
      </c>
      <c r="B57" s="62" t="s">
        <v>94</v>
      </c>
    </row>
    <row r="58" spans="1:2" hidden="1" outlineLevel="1" x14ac:dyDescent="0.35">
      <c r="A58" s="63" t="s">
        <v>95</v>
      </c>
      <c r="B58" s="62" t="s">
        <v>96</v>
      </c>
    </row>
    <row r="59" spans="1:2" hidden="1" outlineLevel="1" x14ac:dyDescent="0.35">
      <c r="A59" s="63" t="s">
        <v>97</v>
      </c>
      <c r="B59" s="62" t="s">
        <v>98</v>
      </c>
    </row>
    <row r="60" spans="1:2" hidden="1" outlineLevel="1" x14ac:dyDescent="0.35">
      <c r="A60" s="63" t="s">
        <v>99</v>
      </c>
      <c r="B60" s="62" t="s">
        <v>100</v>
      </c>
    </row>
    <row r="61" spans="1:2" hidden="1" outlineLevel="1" x14ac:dyDescent="0.35">
      <c r="A61" s="63" t="s">
        <v>101</v>
      </c>
      <c r="B61" s="62" t="s">
        <v>102</v>
      </c>
    </row>
    <row r="62" spans="1:2" hidden="1" outlineLevel="1" x14ac:dyDescent="0.35">
      <c r="A62" s="63" t="s">
        <v>103</v>
      </c>
      <c r="B62" s="62" t="s">
        <v>104</v>
      </c>
    </row>
    <row r="63" spans="1:2" hidden="1" outlineLevel="1" x14ac:dyDescent="0.35">
      <c r="A63" s="63" t="s">
        <v>105</v>
      </c>
      <c r="B63" s="62" t="s">
        <v>106</v>
      </c>
    </row>
    <row r="64" spans="1:2" hidden="1" outlineLevel="1" x14ac:dyDescent="0.35">
      <c r="A64" s="63" t="s">
        <v>107</v>
      </c>
      <c r="B64" s="62" t="s">
        <v>108</v>
      </c>
    </row>
    <row r="65" spans="1:7" hidden="1" outlineLevel="1" x14ac:dyDescent="0.35">
      <c r="A65" s="63" t="s">
        <v>109</v>
      </c>
      <c r="B65" s="62" t="s">
        <v>110</v>
      </c>
    </row>
    <row r="66" spans="1:7" hidden="1" outlineLevel="1" x14ac:dyDescent="0.35">
      <c r="A66" s="63" t="s">
        <v>111</v>
      </c>
      <c r="B66" s="62" t="s">
        <v>112</v>
      </c>
    </row>
    <row r="67" spans="1:7" hidden="1" outlineLevel="1" x14ac:dyDescent="0.35">
      <c r="A67" s="63" t="s">
        <v>113</v>
      </c>
      <c r="B67" s="62" t="s">
        <v>114</v>
      </c>
    </row>
    <row r="68" spans="1:7" hidden="1" outlineLevel="1" x14ac:dyDescent="0.35">
      <c r="A68" s="63" t="s">
        <v>115</v>
      </c>
      <c r="B68" s="62" t="s">
        <v>116</v>
      </c>
    </row>
    <row r="69" spans="1:7" hidden="1" outlineLevel="1" x14ac:dyDescent="0.35">
      <c r="A69" s="63" t="s">
        <v>117</v>
      </c>
      <c r="B69" s="62" t="s">
        <v>118</v>
      </c>
    </row>
    <row r="70" spans="1:7" hidden="1" outlineLevel="1" x14ac:dyDescent="0.35">
      <c r="A70" s="63" t="s">
        <v>119</v>
      </c>
      <c r="B70" s="62" t="s">
        <v>120</v>
      </c>
    </row>
    <row r="71" spans="1:7" hidden="1" outlineLevel="1" x14ac:dyDescent="0.35">
      <c r="A71" s="63" t="s">
        <v>121</v>
      </c>
      <c r="B71" s="62" t="s">
        <v>122</v>
      </c>
    </row>
    <row r="72" spans="1:7" hidden="1" outlineLevel="1" x14ac:dyDescent="0.35">
      <c r="A72" s="63"/>
      <c r="B72" s="63"/>
    </row>
    <row r="73" spans="1:7" collapsed="1" x14ac:dyDescent="0.35"/>
    <row r="75" spans="1:7" x14ac:dyDescent="0.35">
      <c r="A75" s="174" t="s">
        <v>123</v>
      </c>
      <c r="B75" s="174"/>
      <c r="C75" s="174"/>
      <c r="D75" s="174"/>
      <c r="E75" s="174"/>
      <c r="F75" s="174"/>
    </row>
    <row r="76" spans="1:7" ht="43.5" hidden="1" outlineLevel="1" x14ac:dyDescent="0.35">
      <c r="A76" s="14" t="s">
        <v>124</v>
      </c>
      <c r="B76" s="14"/>
      <c r="C76" s="15" t="s">
        <v>125</v>
      </c>
      <c r="D76" s="15" t="s">
        <v>126</v>
      </c>
      <c r="E76" s="15" t="s">
        <v>127</v>
      </c>
      <c r="F76" s="15" t="s">
        <v>128</v>
      </c>
      <c r="G76" s="15" t="s">
        <v>129</v>
      </c>
    </row>
    <row r="77" spans="1:7" hidden="1" outlineLevel="1" x14ac:dyDescent="0.35">
      <c r="A77" s="171" t="s">
        <v>130</v>
      </c>
      <c r="B77" s="171"/>
      <c r="C77" s="7">
        <v>1</v>
      </c>
      <c r="D77" s="7">
        <v>1</v>
      </c>
      <c r="E77" s="7">
        <v>1</v>
      </c>
      <c r="F77" s="7">
        <v>1</v>
      </c>
      <c r="G77" s="7">
        <v>1</v>
      </c>
    </row>
    <row r="78" spans="1:7" hidden="1" outlineLevel="1" x14ac:dyDescent="0.35">
      <c r="A78" s="171" t="s">
        <v>131</v>
      </c>
      <c r="B78" s="171"/>
      <c r="C78" s="7">
        <v>1</v>
      </c>
      <c r="D78" s="7">
        <v>1</v>
      </c>
      <c r="E78" s="7">
        <v>1</v>
      </c>
      <c r="F78" s="7">
        <v>1</v>
      </c>
      <c r="G78" s="7">
        <v>1</v>
      </c>
    </row>
    <row r="79" spans="1:7" hidden="1" outlineLevel="1" x14ac:dyDescent="0.35">
      <c r="A79" s="171" t="s">
        <v>132</v>
      </c>
      <c r="B79" s="171"/>
      <c r="C79" s="7">
        <v>15</v>
      </c>
      <c r="D79" s="7">
        <v>15</v>
      </c>
      <c r="E79" s="7">
        <v>15</v>
      </c>
      <c r="F79" s="7">
        <v>15</v>
      </c>
      <c r="G79" s="7">
        <v>15</v>
      </c>
    </row>
    <row r="80" spans="1:7" hidden="1" outlineLevel="1" x14ac:dyDescent="0.35">
      <c r="A80" s="171" t="s">
        <v>133</v>
      </c>
      <c r="B80" s="171"/>
      <c r="C80" s="7">
        <v>25</v>
      </c>
      <c r="D80" s="7">
        <v>25</v>
      </c>
      <c r="E80" s="7">
        <v>0</v>
      </c>
      <c r="F80" s="7">
        <v>25</v>
      </c>
      <c r="G80" s="7">
        <v>25</v>
      </c>
    </row>
    <row r="81" spans="1:7" hidden="1" outlineLevel="1" x14ac:dyDescent="0.35">
      <c r="A81" s="171" t="s">
        <v>134</v>
      </c>
      <c r="B81" s="171"/>
      <c r="C81" s="8">
        <v>0</v>
      </c>
      <c r="D81" s="8">
        <v>0</v>
      </c>
      <c r="E81" s="7">
        <v>30</v>
      </c>
      <c r="F81" s="8">
        <v>0</v>
      </c>
      <c r="G81" s="8">
        <v>0</v>
      </c>
    </row>
    <row r="82" spans="1:7" hidden="1" outlineLevel="1" x14ac:dyDescent="0.35">
      <c r="A82" s="171" t="s">
        <v>135</v>
      </c>
      <c r="B82" s="171"/>
      <c r="C82" s="7">
        <v>3</v>
      </c>
      <c r="D82" s="7">
        <v>3</v>
      </c>
      <c r="E82" s="7">
        <v>3</v>
      </c>
      <c r="F82" s="7">
        <v>3</v>
      </c>
      <c r="G82" s="7">
        <v>3</v>
      </c>
    </row>
    <row r="83" spans="1:7" hidden="1" outlineLevel="1" x14ac:dyDescent="0.35">
      <c r="A83" s="171" t="s">
        <v>136</v>
      </c>
      <c r="B83" s="171"/>
      <c r="C83" s="7">
        <v>120</v>
      </c>
      <c r="D83" s="7">
        <v>120</v>
      </c>
      <c r="E83" s="8">
        <v>0</v>
      </c>
      <c r="F83" s="7">
        <v>120</v>
      </c>
      <c r="G83" s="8">
        <v>0</v>
      </c>
    </row>
    <row r="84" spans="1:7" hidden="1" outlineLevel="1" x14ac:dyDescent="0.35">
      <c r="A84" s="171" t="s">
        <v>137</v>
      </c>
      <c r="B84" s="171"/>
      <c r="C84" s="7">
        <v>60</v>
      </c>
      <c r="D84" s="7">
        <v>60</v>
      </c>
      <c r="E84" s="7">
        <v>60</v>
      </c>
      <c r="F84" s="7">
        <v>60</v>
      </c>
      <c r="G84" s="7">
        <v>60</v>
      </c>
    </row>
    <row r="85" spans="1:7" hidden="1" outlineLevel="1" x14ac:dyDescent="0.35">
      <c r="A85" s="171" t="s">
        <v>138</v>
      </c>
      <c r="B85" s="171"/>
      <c r="C85" s="7">
        <v>10</v>
      </c>
      <c r="D85" s="7">
        <v>10</v>
      </c>
      <c r="E85" s="7">
        <v>10</v>
      </c>
      <c r="F85" s="7">
        <v>10</v>
      </c>
      <c r="G85" s="7">
        <v>10</v>
      </c>
    </row>
    <row r="86" spans="1:7" hidden="1" outlineLevel="1" x14ac:dyDescent="0.35">
      <c r="A86" s="171" t="s">
        <v>139</v>
      </c>
      <c r="B86" s="171"/>
      <c r="C86" s="7">
        <v>5</v>
      </c>
      <c r="D86" s="7">
        <v>5</v>
      </c>
      <c r="E86" s="7">
        <v>5</v>
      </c>
      <c r="F86" s="7">
        <v>5</v>
      </c>
      <c r="G86" s="7">
        <v>5</v>
      </c>
    </row>
    <row r="87" spans="1:7" hidden="1" outlineLevel="1" x14ac:dyDescent="0.35">
      <c r="A87" s="171" t="s">
        <v>140</v>
      </c>
      <c r="B87" s="171"/>
      <c r="C87" s="7">
        <v>10</v>
      </c>
      <c r="D87" s="7">
        <v>10</v>
      </c>
      <c r="E87" s="8">
        <v>0</v>
      </c>
      <c r="F87" s="7">
        <v>10</v>
      </c>
      <c r="G87" s="7">
        <v>10</v>
      </c>
    </row>
    <row r="88" spans="1:7" hidden="1" outlineLevel="1" x14ac:dyDescent="0.35">
      <c r="A88" s="171" t="s">
        <v>141</v>
      </c>
      <c r="B88" s="171"/>
      <c r="C88" s="7">
        <v>5</v>
      </c>
      <c r="D88" s="7">
        <v>5</v>
      </c>
      <c r="E88" s="8">
        <v>0</v>
      </c>
      <c r="F88" s="7">
        <v>5</v>
      </c>
      <c r="G88" s="7">
        <v>5</v>
      </c>
    </row>
    <row r="89" spans="1:7" hidden="1" outlineLevel="1" x14ac:dyDescent="0.35">
      <c r="A89" s="171" t="s">
        <v>142</v>
      </c>
      <c r="B89" s="171"/>
      <c r="C89" s="7">
        <v>5</v>
      </c>
      <c r="D89" s="7">
        <v>5</v>
      </c>
      <c r="E89" s="7">
        <v>5</v>
      </c>
      <c r="F89" s="7">
        <v>5</v>
      </c>
      <c r="G89" s="7">
        <v>5</v>
      </c>
    </row>
    <row r="90" spans="1:7" hidden="1" outlineLevel="1" x14ac:dyDescent="0.35">
      <c r="A90" s="171" t="s">
        <v>143</v>
      </c>
      <c r="B90" s="171"/>
      <c r="C90" s="7">
        <v>10</v>
      </c>
      <c r="D90" s="7">
        <v>10</v>
      </c>
      <c r="E90" s="7">
        <v>10</v>
      </c>
      <c r="F90" s="7">
        <v>10</v>
      </c>
      <c r="G90" s="7">
        <v>10</v>
      </c>
    </row>
    <row r="91" spans="1:7" hidden="1" outlineLevel="1" x14ac:dyDescent="0.35">
      <c r="A91" s="171" t="s">
        <v>144</v>
      </c>
      <c r="B91" s="171"/>
      <c r="C91" s="7">
        <v>10</v>
      </c>
      <c r="D91" s="7">
        <v>10</v>
      </c>
      <c r="E91" s="7">
        <v>10</v>
      </c>
      <c r="F91" s="7">
        <v>10</v>
      </c>
      <c r="G91" s="7">
        <v>10</v>
      </c>
    </row>
    <row r="92" spans="1:7" hidden="1" outlineLevel="1" x14ac:dyDescent="0.35">
      <c r="A92" s="171" t="s">
        <v>145</v>
      </c>
      <c r="B92" s="171"/>
      <c r="C92" s="7">
        <v>0</v>
      </c>
      <c r="D92" s="7">
        <v>0</v>
      </c>
      <c r="E92" s="7">
        <v>30</v>
      </c>
      <c r="F92" s="7">
        <v>0</v>
      </c>
      <c r="G92" s="7">
        <v>0</v>
      </c>
    </row>
    <row r="93" spans="1:7" hidden="1" outlineLevel="1" x14ac:dyDescent="0.35">
      <c r="A93" s="171" t="s">
        <v>146</v>
      </c>
      <c r="B93" s="171"/>
      <c r="C93" s="7">
        <v>5</v>
      </c>
      <c r="D93" s="7">
        <v>5</v>
      </c>
      <c r="E93" s="7">
        <v>5</v>
      </c>
      <c r="F93" s="7">
        <v>5</v>
      </c>
      <c r="G93" s="7">
        <v>5</v>
      </c>
    </row>
    <row r="94" spans="1:7" hidden="1" outlineLevel="1" x14ac:dyDescent="0.35">
      <c r="A94" s="171" t="s">
        <v>147</v>
      </c>
      <c r="B94" s="171"/>
      <c r="C94" s="7">
        <v>20</v>
      </c>
      <c r="D94" s="7">
        <v>20</v>
      </c>
      <c r="E94" s="7">
        <v>20</v>
      </c>
      <c r="F94" s="7">
        <v>20</v>
      </c>
      <c r="G94" s="7">
        <v>20</v>
      </c>
    </row>
    <row r="95" spans="1:7" hidden="1" outlineLevel="1" x14ac:dyDescent="0.35">
      <c r="A95" s="171" t="s">
        <v>148</v>
      </c>
      <c r="B95" s="171"/>
      <c r="C95" s="7">
        <v>0</v>
      </c>
      <c r="D95" s="7">
        <v>0</v>
      </c>
      <c r="E95" s="7">
        <v>0</v>
      </c>
      <c r="F95" s="7">
        <v>0</v>
      </c>
      <c r="G95" s="7">
        <v>0</v>
      </c>
    </row>
    <row r="96" spans="1:7" hidden="1" outlineLevel="1" x14ac:dyDescent="0.35">
      <c r="A96" s="171" t="s">
        <v>149</v>
      </c>
      <c r="B96" s="171"/>
      <c r="C96" s="7">
        <v>5</v>
      </c>
      <c r="D96" s="7">
        <v>5</v>
      </c>
      <c r="E96" s="7">
        <v>5</v>
      </c>
      <c r="F96" s="7">
        <v>5</v>
      </c>
      <c r="G96" s="7">
        <v>5</v>
      </c>
    </row>
    <row r="97" spans="1:7" hidden="1" outlineLevel="1" x14ac:dyDescent="0.35">
      <c r="A97" s="172" t="s">
        <v>150</v>
      </c>
      <c r="B97" s="172"/>
      <c r="C97" s="7">
        <v>10</v>
      </c>
      <c r="D97" s="7">
        <v>10</v>
      </c>
      <c r="E97" s="7">
        <v>20</v>
      </c>
      <c r="F97" s="7">
        <v>10</v>
      </c>
      <c r="G97" s="7">
        <v>10</v>
      </c>
    </row>
    <row r="98" spans="1:7" hidden="1" outlineLevel="1" x14ac:dyDescent="0.35">
      <c r="A98" s="171" t="s">
        <v>151</v>
      </c>
      <c r="B98" s="171"/>
      <c r="C98" s="7">
        <v>5</v>
      </c>
      <c r="D98" s="7">
        <v>5</v>
      </c>
      <c r="E98" s="7">
        <v>5</v>
      </c>
      <c r="F98" s="7">
        <v>5</v>
      </c>
      <c r="G98" s="7">
        <v>5</v>
      </c>
    </row>
    <row r="99" spans="1:7" hidden="1" outlineLevel="1" x14ac:dyDescent="0.35">
      <c r="A99" s="171" t="s">
        <v>152</v>
      </c>
      <c r="B99" s="171"/>
      <c r="C99" s="7">
        <v>5</v>
      </c>
      <c r="D99" s="7">
        <v>5</v>
      </c>
      <c r="E99" s="7">
        <v>5</v>
      </c>
      <c r="F99" s="7">
        <v>5</v>
      </c>
      <c r="G99" s="7">
        <v>5</v>
      </c>
    </row>
    <row r="100" spans="1:7" hidden="1" outlineLevel="1" x14ac:dyDescent="0.35">
      <c r="A100" s="171" t="s">
        <v>153</v>
      </c>
      <c r="B100" s="171"/>
      <c r="C100" s="7">
        <v>10</v>
      </c>
      <c r="D100" s="7">
        <v>10</v>
      </c>
      <c r="E100" s="7">
        <v>10</v>
      </c>
      <c r="F100" s="7">
        <v>10</v>
      </c>
      <c r="G100" s="7">
        <v>10</v>
      </c>
    </row>
    <row r="101" spans="1:7" hidden="1" outlineLevel="1" x14ac:dyDescent="0.35">
      <c r="A101" s="171" t="s">
        <v>154</v>
      </c>
      <c r="B101" s="171"/>
      <c r="C101" s="7">
        <v>5</v>
      </c>
      <c r="D101" s="7">
        <v>5</v>
      </c>
      <c r="E101" s="7">
        <v>5</v>
      </c>
      <c r="F101" s="7">
        <v>5</v>
      </c>
      <c r="G101" s="7">
        <v>5</v>
      </c>
    </row>
    <row r="102" spans="1:7" hidden="1" outlineLevel="1" x14ac:dyDescent="0.35">
      <c r="A102" s="171" t="s">
        <v>155</v>
      </c>
      <c r="B102" s="171"/>
      <c r="C102" s="7">
        <v>90</v>
      </c>
      <c r="D102" s="7">
        <v>90</v>
      </c>
      <c r="E102" s="7">
        <v>90</v>
      </c>
      <c r="F102" s="7">
        <v>90</v>
      </c>
      <c r="G102" s="7">
        <v>90</v>
      </c>
    </row>
    <row r="103" spans="1:7" hidden="1" outlineLevel="1" x14ac:dyDescent="0.35">
      <c r="A103" s="171" t="s">
        <v>156</v>
      </c>
      <c r="B103" s="171"/>
      <c r="C103" s="7">
        <v>3</v>
      </c>
      <c r="D103" s="7">
        <v>3</v>
      </c>
      <c r="E103" s="7">
        <v>3</v>
      </c>
      <c r="F103" s="7">
        <v>3</v>
      </c>
      <c r="G103" s="7">
        <v>3</v>
      </c>
    </row>
    <row r="104" spans="1:7" hidden="1" outlineLevel="1" x14ac:dyDescent="0.35">
      <c r="A104" s="171" t="s">
        <v>157</v>
      </c>
      <c r="B104" s="171"/>
      <c r="C104" s="7">
        <v>5</v>
      </c>
      <c r="D104" s="7">
        <v>5</v>
      </c>
      <c r="E104" s="7">
        <v>5</v>
      </c>
      <c r="F104" s="7">
        <v>5</v>
      </c>
      <c r="G104" s="7">
        <v>5</v>
      </c>
    </row>
    <row r="105" spans="1:7" hidden="1" outlineLevel="1" x14ac:dyDescent="0.35">
      <c r="A105" s="171" t="s">
        <v>158</v>
      </c>
      <c r="B105" s="171"/>
      <c r="C105" s="7">
        <v>5</v>
      </c>
      <c r="D105" s="7">
        <v>5</v>
      </c>
      <c r="E105" s="7">
        <v>0</v>
      </c>
      <c r="F105" s="7">
        <v>5</v>
      </c>
      <c r="G105" s="7">
        <v>5</v>
      </c>
    </row>
    <row r="106" spans="1:7" hidden="1" outlineLevel="1" x14ac:dyDescent="0.35">
      <c r="A106" s="171" t="s">
        <v>159</v>
      </c>
      <c r="B106" s="171"/>
      <c r="C106" s="7">
        <v>5</v>
      </c>
      <c r="D106" s="7">
        <v>5</v>
      </c>
      <c r="E106" s="7">
        <v>0</v>
      </c>
      <c r="F106" s="7">
        <v>5</v>
      </c>
      <c r="G106" s="7">
        <v>5</v>
      </c>
    </row>
    <row r="107" spans="1:7" hidden="1" outlineLevel="1" x14ac:dyDescent="0.35">
      <c r="A107" s="171" t="s">
        <v>160</v>
      </c>
      <c r="B107" s="171"/>
      <c r="C107" s="7">
        <v>3</v>
      </c>
      <c r="D107" s="7">
        <v>3</v>
      </c>
      <c r="E107" s="7">
        <v>3</v>
      </c>
      <c r="F107" s="7">
        <v>3</v>
      </c>
      <c r="G107" s="7">
        <v>3</v>
      </c>
    </row>
    <row r="108" spans="1:7" hidden="1" outlineLevel="1" x14ac:dyDescent="0.35">
      <c r="A108" s="172" t="s">
        <v>161</v>
      </c>
      <c r="B108" s="172"/>
      <c r="C108" s="7">
        <v>40</v>
      </c>
      <c r="D108" s="7">
        <v>40</v>
      </c>
      <c r="E108" s="7">
        <v>40</v>
      </c>
      <c r="F108" s="7">
        <v>40</v>
      </c>
      <c r="G108" s="7">
        <v>40</v>
      </c>
    </row>
    <row r="109" spans="1:7" hidden="1" outlineLevel="1" x14ac:dyDescent="0.35">
      <c r="A109" s="171" t="s">
        <v>162</v>
      </c>
      <c r="B109" s="171"/>
      <c r="C109" s="7">
        <v>3</v>
      </c>
      <c r="D109" s="7">
        <v>3</v>
      </c>
      <c r="E109" s="7">
        <v>3</v>
      </c>
      <c r="F109" s="7">
        <v>3</v>
      </c>
      <c r="G109" s="7">
        <v>3</v>
      </c>
    </row>
    <row r="110" spans="1:7" hidden="1" outlineLevel="1" x14ac:dyDescent="0.35">
      <c r="A110" s="171" t="s">
        <v>163</v>
      </c>
      <c r="B110" s="171"/>
      <c r="C110" s="7">
        <v>3</v>
      </c>
      <c r="D110" s="7">
        <v>3</v>
      </c>
      <c r="E110" s="7">
        <v>3</v>
      </c>
      <c r="F110" s="7">
        <v>3</v>
      </c>
      <c r="G110" s="7">
        <v>3</v>
      </c>
    </row>
    <row r="111" spans="1:7" hidden="1" outlineLevel="1" x14ac:dyDescent="0.35">
      <c r="A111" s="171" t="s">
        <v>164</v>
      </c>
      <c r="B111" s="171"/>
      <c r="C111" s="7">
        <v>0</v>
      </c>
      <c r="D111" s="7">
        <v>0</v>
      </c>
      <c r="E111" s="7">
        <v>20</v>
      </c>
      <c r="F111" s="7">
        <v>0</v>
      </c>
      <c r="G111" s="7">
        <v>0</v>
      </c>
    </row>
    <row r="112" spans="1:7" hidden="1" outlineLevel="1" x14ac:dyDescent="0.35">
      <c r="A112" s="171" t="s">
        <v>165</v>
      </c>
      <c r="B112" s="171"/>
      <c r="C112" s="7">
        <v>0</v>
      </c>
      <c r="D112" s="7">
        <v>0</v>
      </c>
      <c r="E112" s="7">
        <v>30</v>
      </c>
      <c r="F112" s="7">
        <v>0</v>
      </c>
      <c r="G112" s="7">
        <v>0</v>
      </c>
    </row>
    <row r="113" spans="1:7" hidden="1" outlineLevel="1" x14ac:dyDescent="0.35">
      <c r="A113" s="171" t="s">
        <v>166</v>
      </c>
      <c r="B113" s="171"/>
      <c r="C113" s="7">
        <v>0</v>
      </c>
      <c r="D113" s="7">
        <v>0</v>
      </c>
      <c r="E113" s="7">
        <v>60</v>
      </c>
      <c r="F113" s="7">
        <v>0</v>
      </c>
      <c r="G113" s="7">
        <v>0</v>
      </c>
    </row>
    <row r="114" spans="1:7" hidden="1" outlineLevel="1" x14ac:dyDescent="0.35">
      <c r="A114" s="171" t="s">
        <v>167</v>
      </c>
      <c r="B114" s="171"/>
      <c r="C114" s="7">
        <v>0</v>
      </c>
      <c r="D114" s="7">
        <v>0</v>
      </c>
      <c r="E114" s="7">
        <v>60</v>
      </c>
      <c r="F114" s="7">
        <v>0</v>
      </c>
      <c r="G114" s="7">
        <v>0</v>
      </c>
    </row>
    <row r="115" spans="1:7" hidden="1" outlineLevel="1" x14ac:dyDescent="0.35">
      <c r="A115" s="172" t="s">
        <v>168</v>
      </c>
      <c r="B115" s="172"/>
      <c r="C115" s="7">
        <v>15</v>
      </c>
      <c r="D115" s="7">
        <v>0</v>
      </c>
      <c r="E115" s="7">
        <v>0</v>
      </c>
      <c r="F115" s="7">
        <v>0</v>
      </c>
      <c r="G115" s="7">
        <v>0</v>
      </c>
    </row>
    <row r="116" spans="1:7" hidden="1" outlineLevel="1" x14ac:dyDescent="0.35">
      <c r="A116" s="171" t="s">
        <v>169</v>
      </c>
      <c r="B116" s="171"/>
      <c r="C116" s="7">
        <v>0</v>
      </c>
      <c r="D116" s="7">
        <v>0</v>
      </c>
      <c r="E116" s="7">
        <v>30</v>
      </c>
      <c r="F116" s="7">
        <v>0</v>
      </c>
      <c r="G116" s="7">
        <v>0</v>
      </c>
    </row>
    <row r="117" spans="1:7" hidden="1" outlineLevel="1" x14ac:dyDescent="0.35">
      <c r="A117" s="171" t="s">
        <v>170</v>
      </c>
      <c r="B117" s="171"/>
      <c r="C117" s="7">
        <v>30</v>
      </c>
      <c r="D117" s="7">
        <v>30</v>
      </c>
      <c r="E117" s="8">
        <v>0</v>
      </c>
      <c r="F117" s="7">
        <v>30</v>
      </c>
      <c r="G117" s="7">
        <v>30</v>
      </c>
    </row>
    <row r="118" spans="1:7" hidden="1" outlineLevel="1" x14ac:dyDescent="0.35">
      <c r="A118" s="171" t="s">
        <v>171</v>
      </c>
      <c r="B118" s="171"/>
      <c r="C118" s="7">
        <v>30</v>
      </c>
      <c r="D118" s="7">
        <v>30</v>
      </c>
      <c r="E118" s="7">
        <v>30</v>
      </c>
      <c r="F118" s="7">
        <v>30</v>
      </c>
      <c r="G118" s="7">
        <v>30</v>
      </c>
    </row>
    <row r="119" spans="1:7" hidden="1" outlineLevel="1" x14ac:dyDescent="0.35">
      <c r="A119" s="171" t="s">
        <v>172</v>
      </c>
      <c r="B119" s="171"/>
      <c r="C119" s="7">
        <v>5</v>
      </c>
      <c r="D119" s="7">
        <v>5</v>
      </c>
      <c r="E119" s="7">
        <v>5</v>
      </c>
      <c r="F119" s="7">
        <v>5</v>
      </c>
      <c r="G119" s="7">
        <v>5</v>
      </c>
    </row>
    <row r="120" spans="1:7" hidden="1" outlineLevel="1" x14ac:dyDescent="0.35">
      <c r="A120" s="171" t="s">
        <v>173</v>
      </c>
      <c r="B120" s="171"/>
      <c r="C120" s="7">
        <v>30</v>
      </c>
      <c r="D120" s="7">
        <v>30</v>
      </c>
      <c r="E120" s="8">
        <v>0</v>
      </c>
      <c r="F120" s="7">
        <v>30</v>
      </c>
      <c r="G120" s="7">
        <v>30</v>
      </c>
    </row>
    <row r="121" spans="1:7" hidden="1" outlineLevel="1" x14ac:dyDescent="0.35">
      <c r="A121" s="171" t="s">
        <v>174</v>
      </c>
      <c r="B121" s="171"/>
      <c r="C121" s="7">
        <v>80</v>
      </c>
      <c r="D121" s="7">
        <v>60</v>
      </c>
      <c r="E121" s="7">
        <v>120</v>
      </c>
      <c r="F121" s="7">
        <v>60</v>
      </c>
      <c r="G121" s="7">
        <v>60</v>
      </c>
    </row>
    <row r="122" spans="1:7" hidden="1" outlineLevel="1" x14ac:dyDescent="0.35">
      <c r="A122" s="171" t="s">
        <v>175</v>
      </c>
      <c r="B122" s="171"/>
      <c r="C122" s="7">
        <v>90</v>
      </c>
      <c r="D122" s="8">
        <v>0</v>
      </c>
      <c r="E122" s="7">
        <v>0</v>
      </c>
      <c r="F122" s="8">
        <v>0</v>
      </c>
      <c r="G122" s="7">
        <v>0</v>
      </c>
    </row>
    <row r="123" spans="1:7" hidden="1" outlineLevel="1" x14ac:dyDescent="0.35">
      <c r="A123" s="171" t="s">
        <v>176</v>
      </c>
      <c r="B123" s="171"/>
      <c r="C123" s="7">
        <v>20</v>
      </c>
      <c r="D123" s="7">
        <v>20</v>
      </c>
      <c r="E123" s="7">
        <v>0</v>
      </c>
      <c r="F123" s="7">
        <v>20</v>
      </c>
      <c r="G123" s="7">
        <v>20</v>
      </c>
    </row>
    <row r="124" spans="1:7" hidden="1" outlineLevel="1" x14ac:dyDescent="0.35">
      <c r="A124" s="171" t="s">
        <v>177</v>
      </c>
      <c r="B124" s="171"/>
      <c r="C124" s="7">
        <v>30</v>
      </c>
      <c r="D124" s="7">
        <v>30</v>
      </c>
      <c r="E124" s="7">
        <v>0</v>
      </c>
      <c r="F124" s="7">
        <v>30</v>
      </c>
      <c r="G124" s="7">
        <v>30</v>
      </c>
    </row>
    <row r="125" spans="1:7" hidden="1" outlineLevel="1" x14ac:dyDescent="0.35">
      <c r="A125" s="171" t="s">
        <v>178</v>
      </c>
      <c r="B125" s="171"/>
      <c r="C125" s="7">
        <v>30</v>
      </c>
      <c r="D125" s="7">
        <v>30</v>
      </c>
      <c r="E125" s="7">
        <v>30</v>
      </c>
      <c r="F125" s="7">
        <v>30</v>
      </c>
      <c r="G125" s="7">
        <v>30</v>
      </c>
    </row>
    <row r="126" spans="1:7" hidden="1" outlineLevel="1" x14ac:dyDescent="0.35">
      <c r="A126" s="171" t="s">
        <v>179</v>
      </c>
      <c r="B126" s="171"/>
      <c r="C126" s="7">
        <v>5</v>
      </c>
      <c r="D126" s="7">
        <v>5</v>
      </c>
      <c r="E126" s="7">
        <v>5</v>
      </c>
      <c r="F126" s="7">
        <v>5</v>
      </c>
      <c r="G126" s="7">
        <v>5</v>
      </c>
    </row>
    <row r="127" spans="1:7" hidden="1" outlineLevel="1" x14ac:dyDescent="0.35">
      <c r="A127" s="171" t="s">
        <v>180</v>
      </c>
      <c r="B127" s="171"/>
      <c r="C127" s="8">
        <v>0</v>
      </c>
      <c r="D127" s="8">
        <v>0</v>
      </c>
      <c r="E127" s="7">
        <v>5</v>
      </c>
      <c r="F127" s="8">
        <v>0</v>
      </c>
      <c r="G127" s="8">
        <v>0</v>
      </c>
    </row>
    <row r="128" spans="1:7" hidden="1" outlineLevel="1" x14ac:dyDescent="0.35">
      <c r="A128" s="171" t="s">
        <v>181</v>
      </c>
      <c r="B128" s="171"/>
      <c r="C128" s="7">
        <v>120</v>
      </c>
      <c r="D128" s="8">
        <v>0</v>
      </c>
      <c r="E128" s="7">
        <v>0</v>
      </c>
      <c r="F128" s="8">
        <v>0</v>
      </c>
      <c r="G128" s="8">
        <v>0</v>
      </c>
    </row>
    <row r="129" spans="1:7" hidden="1" outlineLevel="1" x14ac:dyDescent="0.35">
      <c r="A129" s="171" t="s">
        <v>182</v>
      </c>
      <c r="B129" s="171"/>
      <c r="C129" s="7">
        <v>20</v>
      </c>
      <c r="D129" s="8">
        <v>0</v>
      </c>
      <c r="E129" s="7">
        <v>0</v>
      </c>
      <c r="F129" s="8">
        <v>0</v>
      </c>
      <c r="G129" s="7">
        <v>0</v>
      </c>
    </row>
    <row r="130" spans="1:7" hidden="1" outlineLevel="1" x14ac:dyDescent="0.35">
      <c r="A130" s="171" t="s">
        <v>183</v>
      </c>
      <c r="B130" s="171"/>
      <c r="C130" s="7">
        <v>20</v>
      </c>
      <c r="D130" s="7">
        <v>20</v>
      </c>
      <c r="E130" s="7">
        <v>0</v>
      </c>
      <c r="F130" s="7">
        <v>60</v>
      </c>
      <c r="G130" s="7">
        <v>20</v>
      </c>
    </row>
    <row r="131" spans="1:7" hidden="1" outlineLevel="1" x14ac:dyDescent="0.35">
      <c r="A131" s="171" t="s">
        <v>184</v>
      </c>
      <c r="B131" s="171"/>
      <c r="C131" s="7">
        <v>0</v>
      </c>
      <c r="D131" s="7">
        <v>0</v>
      </c>
      <c r="E131" s="7">
        <v>60</v>
      </c>
      <c r="F131" s="7">
        <v>0</v>
      </c>
      <c r="G131" s="7">
        <v>0</v>
      </c>
    </row>
    <row r="132" spans="1:7" hidden="1" outlineLevel="1" x14ac:dyDescent="0.35">
      <c r="A132" s="171" t="s">
        <v>185</v>
      </c>
      <c r="B132" s="171"/>
      <c r="C132" s="7">
        <v>0</v>
      </c>
      <c r="D132" s="7">
        <v>0</v>
      </c>
      <c r="E132" s="7">
        <v>30</v>
      </c>
      <c r="F132" s="7">
        <v>0</v>
      </c>
      <c r="G132" s="7">
        <v>0</v>
      </c>
    </row>
    <row r="133" spans="1:7" hidden="1" outlineLevel="1" x14ac:dyDescent="0.35">
      <c r="A133" s="171" t="s">
        <v>186</v>
      </c>
      <c r="B133" s="171"/>
      <c r="C133" s="7">
        <v>30</v>
      </c>
      <c r="D133" s="7">
        <v>30</v>
      </c>
      <c r="E133" s="7">
        <v>30</v>
      </c>
      <c r="F133" s="7">
        <v>30</v>
      </c>
      <c r="G133" s="7">
        <v>30</v>
      </c>
    </row>
    <row r="134" spans="1:7" hidden="1" outlineLevel="1" x14ac:dyDescent="0.35">
      <c r="A134" s="171" t="s">
        <v>187</v>
      </c>
      <c r="B134" s="171"/>
      <c r="C134" s="7">
        <v>10</v>
      </c>
      <c r="D134" s="7">
        <v>10</v>
      </c>
      <c r="E134" s="7">
        <v>10</v>
      </c>
      <c r="F134" s="7">
        <v>10</v>
      </c>
      <c r="G134" s="7">
        <v>10</v>
      </c>
    </row>
    <row r="135" spans="1:7" hidden="1" outlineLevel="1" x14ac:dyDescent="0.35">
      <c r="A135" s="171" t="s">
        <v>188</v>
      </c>
      <c r="B135" s="171"/>
      <c r="C135" s="7">
        <v>5</v>
      </c>
      <c r="D135" s="7">
        <v>5</v>
      </c>
      <c r="E135" s="7">
        <v>5</v>
      </c>
      <c r="F135" s="7">
        <v>5</v>
      </c>
      <c r="G135" s="7">
        <v>5</v>
      </c>
    </row>
    <row r="136" spans="1:7" hidden="1" outlineLevel="1" x14ac:dyDescent="0.35">
      <c r="A136" s="171" t="s">
        <v>189</v>
      </c>
      <c r="B136" s="171"/>
      <c r="C136" s="7">
        <v>60</v>
      </c>
      <c r="D136" s="7">
        <v>60</v>
      </c>
      <c r="E136" s="7">
        <v>60</v>
      </c>
      <c r="F136" s="7">
        <v>60</v>
      </c>
      <c r="G136" s="7">
        <v>60</v>
      </c>
    </row>
    <row r="137" spans="1:7" hidden="1" outlineLevel="1" x14ac:dyDescent="0.35">
      <c r="A137" s="171" t="s">
        <v>190</v>
      </c>
      <c r="B137" s="171"/>
      <c r="C137" s="7">
        <v>45</v>
      </c>
      <c r="D137" s="7">
        <v>45</v>
      </c>
      <c r="E137" s="7">
        <v>45</v>
      </c>
      <c r="F137" s="7">
        <v>45</v>
      </c>
      <c r="G137" s="7">
        <v>45</v>
      </c>
    </row>
    <row r="138" spans="1:7" hidden="1" outlineLevel="1" x14ac:dyDescent="0.35">
      <c r="A138" s="171" t="s">
        <v>191</v>
      </c>
      <c r="B138" s="171"/>
      <c r="C138" s="7">
        <v>3</v>
      </c>
      <c r="D138" s="7">
        <v>3</v>
      </c>
      <c r="E138" s="7">
        <v>3</v>
      </c>
      <c r="F138" s="7">
        <v>3</v>
      </c>
      <c r="G138" s="7">
        <v>3</v>
      </c>
    </row>
    <row r="139" spans="1:7" hidden="1" outlineLevel="1" x14ac:dyDescent="0.35">
      <c r="A139" s="171" t="s">
        <v>192</v>
      </c>
      <c r="B139" s="171"/>
      <c r="C139" s="7">
        <v>10</v>
      </c>
      <c r="D139" s="7">
        <v>10</v>
      </c>
      <c r="E139" s="7">
        <v>10</v>
      </c>
      <c r="F139" s="7">
        <v>10</v>
      </c>
      <c r="G139" s="7">
        <v>10</v>
      </c>
    </row>
    <row r="140" spans="1:7" hidden="1" outlineLevel="1" x14ac:dyDescent="0.35">
      <c r="A140" s="171" t="s">
        <v>193</v>
      </c>
      <c r="B140" s="171"/>
      <c r="C140" s="7">
        <v>5</v>
      </c>
      <c r="D140" s="7">
        <v>5</v>
      </c>
      <c r="E140" s="7">
        <v>0</v>
      </c>
      <c r="F140" s="7">
        <v>5</v>
      </c>
      <c r="G140" s="7">
        <v>5</v>
      </c>
    </row>
    <row r="141" spans="1:7" hidden="1" outlineLevel="1" x14ac:dyDescent="0.35">
      <c r="A141" s="171" t="s">
        <v>194</v>
      </c>
      <c r="B141" s="171"/>
      <c r="C141" s="7">
        <v>5</v>
      </c>
      <c r="D141" s="7">
        <v>5</v>
      </c>
      <c r="E141" s="7">
        <v>5</v>
      </c>
      <c r="F141" s="7">
        <v>5</v>
      </c>
      <c r="G141" s="7">
        <v>5</v>
      </c>
    </row>
    <row r="142" spans="1:7" hidden="1" outlineLevel="1" x14ac:dyDescent="0.35">
      <c r="A142" s="171" t="s">
        <v>195</v>
      </c>
      <c r="B142" s="171"/>
      <c r="C142" s="8">
        <v>0</v>
      </c>
      <c r="D142" s="8">
        <v>0</v>
      </c>
      <c r="E142" s="7">
        <v>30</v>
      </c>
      <c r="F142" s="8">
        <v>0</v>
      </c>
      <c r="G142" s="8">
        <v>0</v>
      </c>
    </row>
    <row r="143" spans="1:7" hidden="1" outlineLevel="1" x14ac:dyDescent="0.35">
      <c r="A143" s="171" t="s">
        <v>196</v>
      </c>
      <c r="B143" s="171"/>
      <c r="C143" s="8">
        <v>0</v>
      </c>
      <c r="D143" s="8">
        <v>0</v>
      </c>
      <c r="E143" s="7">
        <v>30</v>
      </c>
      <c r="F143" s="8">
        <v>0</v>
      </c>
      <c r="G143" s="8">
        <v>0</v>
      </c>
    </row>
    <row r="144" spans="1:7" hidden="1" outlineLevel="1" x14ac:dyDescent="0.35">
      <c r="A144" s="171" t="s">
        <v>197</v>
      </c>
      <c r="B144" s="171"/>
      <c r="C144" s="7">
        <v>5</v>
      </c>
      <c r="D144" s="7">
        <v>5</v>
      </c>
      <c r="E144" s="7">
        <v>5</v>
      </c>
      <c r="F144" s="7">
        <v>5</v>
      </c>
      <c r="G144" s="7">
        <v>5</v>
      </c>
    </row>
    <row r="145" spans="1:7" hidden="1" outlineLevel="1" x14ac:dyDescent="0.35">
      <c r="A145" s="171" t="s">
        <v>198</v>
      </c>
      <c r="B145" s="171"/>
      <c r="C145" s="7">
        <v>5</v>
      </c>
      <c r="D145" s="7">
        <v>5</v>
      </c>
      <c r="E145" s="7">
        <v>5</v>
      </c>
      <c r="F145" s="7">
        <v>5</v>
      </c>
      <c r="G145" s="7">
        <v>5</v>
      </c>
    </row>
    <row r="146" spans="1:7" hidden="1" outlineLevel="1" x14ac:dyDescent="0.35">
      <c r="A146" s="171" t="s">
        <v>199</v>
      </c>
      <c r="B146" s="171"/>
      <c r="C146" s="7">
        <v>3</v>
      </c>
      <c r="D146" s="7">
        <v>3</v>
      </c>
      <c r="E146" s="7">
        <v>3</v>
      </c>
      <c r="F146" s="7">
        <v>3</v>
      </c>
      <c r="G146" s="7">
        <v>3</v>
      </c>
    </row>
    <row r="147" spans="1:7" hidden="1" outlineLevel="1" x14ac:dyDescent="0.35">
      <c r="A147" s="171" t="s">
        <v>200</v>
      </c>
      <c r="B147" s="171"/>
      <c r="C147" s="7">
        <v>0</v>
      </c>
      <c r="D147" s="7">
        <v>0</v>
      </c>
      <c r="E147" s="7">
        <v>0</v>
      </c>
      <c r="F147" s="7">
        <v>0</v>
      </c>
      <c r="G147" s="7">
        <v>0</v>
      </c>
    </row>
    <row r="148" spans="1:7" collapsed="1" x14ac:dyDescent="0.35"/>
  </sheetData>
  <autoFilter ref="A26:B26" xr:uid="{C67C8D8E-E5E2-4882-9088-647078EC0BDF}">
    <sortState xmlns:xlrd2="http://schemas.microsoft.com/office/spreadsheetml/2017/richdata2" ref="A27:B71">
      <sortCondition ref="A26"/>
    </sortState>
  </autoFilter>
  <mergeCells count="83">
    <mergeCell ref="A1:F1"/>
    <mergeCell ref="A77:B77"/>
    <mergeCell ref="A78:B78"/>
    <mergeCell ref="A79:B79"/>
    <mergeCell ref="A80:B80"/>
    <mergeCell ref="A75:F75"/>
    <mergeCell ref="A25:F25"/>
    <mergeCell ref="A8:F8"/>
    <mergeCell ref="A9:F12"/>
    <mergeCell ref="D2:F6"/>
    <mergeCell ref="A18:F18"/>
    <mergeCell ref="C21:E21"/>
    <mergeCell ref="C22:E22"/>
    <mergeCell ref="C23:E23"/>
    <mergeCell ref="C20:E20"/>
    <mergeCell ref="C19:E19"/>
    <mergeCell ref="A81:B81"/>
    <mergeCell ref="A82:B82"/>
    <mergeCell ref="A83:B83"/>
    <mergeCell ref="A84:B84"/>
    <mergeCell ref="A85:B85"/>
    <mergeCell ref="A86:B86"/>
    <mergeCell ref="A87:B87"/>
    <mergeCell ref="A88:B88"/>
    <mergeCell ref="A89:B89"/>
    <mergeCell ref="A90:B90"/>
    <mergeCell ref="A91:B91"/>
    <mergeCell ref="A92:B92"/>
    <mergeCell ref="A93:B93"/>
    <mergeCell ref="A94:B94"/>
    <mergeCell ref="A95:B95"/>
    <mergeCell ref="A96:B96"/>
    <mergeCell ref="A98:B98"/>
    <mergeCell ref="A99:B99"/>
    <mergeCell ref="A100:B100"/>
    <mergeCell ref="A101:B101"/>
    <mergeCell ref="A97:B97"/>
    <mergeCell ref="A102:B102"/>
    <mergeCell ref="A103:B103"/>
    <mergeCell ref="A104:B104"/>
    <mergeCell ref="A105:B105"/>
    <mergeCell ref="A106:B106"/>
    <mergeCell ref="A107:B107"/>
    <mergeCell ref="A109:B109"/>
    <mergeCell ref="A110:B110"/>
    <mergeCell ref="A111:B111"/>
    <mergeCell ref="A112:B112"/>
    <mergeCell ref="A108:B108"/>
    <mergeCell ref="A113:B113"/>
    <mergeCell ref="A114:B114"/>
    <mergeCell ref="A116:B116"/>
    <mergeCell ref="A117:B117"/>
    <mergeCell ref="A118:B118"/>
    <mergeCell ref="A115:B115"/>
    <mergeCell ref="A125:B125"/>
    <mergeCell ref="A126:B126"/>
    <mergeCell ref="A127:B127"/>
    <mergeCell ref="A128:B128"/>
    <mergeCell ref="A119:B119"/>
    <mergeCell ref="A120:B120"/>
    <mergeCell ref="A121:B121"/>
    <mergeCell ref="A122:B122"/>
    <mergeCell ref="A123:B123"/>
    <mergeCell ref="A124:B124"/>
    <mergeCell ref="A146:B146"/>
    <mergeCell ref="A147:B147"/>
    <mergeCell ref="A139:B139"/>
    <mergeCell ref="A140:B140"/>
    <mergeCell ref="A141:B141"/>
    <mergeCell ref="A142:B142"/>
    <mergeCell ref="A143:B143"/>
    <mergeCell ref="A144:B144"/>
    <mergeCell ref="A145:B145"/>
    <mergeCell ref="A134:B134"/>
    <mergeCell ref="A135:B135"/>
    <mergeCell ref="A136:B136"/>
    <mergeCell ref="A137:B137"/>
    <mergeCell ref="A138:B138"/>
    <mergeCell ref="A129:B129"/>
    <mergeCell ref="A130:B130"/>
    <mergeCell ref="A131:B131"/>
    <mergeCell ref="A132:B132"/>
    <mergeCell ref="A133:B133"/>
  </mergeCells>
  <conditionalFormatting sqref="A3:A6">
    <cfRule type="expression" dxfId="35" priority="6">
      <formula>$B3=""</formula>
    </cfRule>
  </conditionalFormatting>
  <conditionalFormatting sqref="B5:B6">
    <cfRule type="containsBlanks" dxfId="34" priority="3">
      <formula>LEN(TRIM(B5))=0</formula>
    </cfRule>
  </conditionalFormatting>
  <conditionalFormatting sqref="B3">
    <cfRule type="containsBlanks" dxfId="33" priority="7">
      <formula>LEN(TRIM(B3))=0</formula>
    </cfRule>
  </conditionalFormatting>
  <conditionalFormatting sqref="B4">
    <cfRule type="notContainsBlanks" dxfId="32" priority="1">
      <formula>LEN(TRIM(B4))&gt;0</formula>
    </cfRule>
    <cfRule type="expression" dxfId="31" priority="2">
      <formula>AND($A$4&lt;&gt;"",$B$4="")</formula>
    </cfRule>
  </conditionalFormatting>
  <dataValidations count="3">
    <dataValidation type="list" allowBlank="1" showInputMessage="1" showErrorMessage="1" sqref="B6" xr:uid="{C2ED7414-0A90-4C5E-9B92-1DA7C2EFA850}">
      <formula1>"CF,DMC,ELE,MSM"</formula1>
    </dataValidation>
    <dataValidation type="list" allowBlank="1" errorTitle="Character Limit Exceeded" error="The project name cannot exceed 10 characters " promptTitle="Character Limitation" prompt="The project name cannot exceed 10 characters " sqref="B3" xr:uid="{CE04CB42-11EA-4DC2-B222-252573AE3C56}">
      <formula1>"Supplier Name,Project Name,Project Manager"</formula1>
    </dataValidation>
    <dataValidation allowBlank="1" errorTitle="Character Limitat Exceeded" error="The subproject name cannot exceed 8 characters " promptTitle="Character Limitation" prompt="The subproject name cannot exceed 8 characters " sqref="B4" xr:uid="{0AC85E5A-AEF4-45BC-A730-C2F865DC8D64}"/>
  </dataValidations>
  <hyperlinks>
    <hyperlink ref="A16" r:id="rId1" xr:uid="{0790AD15-E0F2-4F60-920C-9709BC74DB99}"/>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559D1-990B-414B-80E5-82D25E13045E}">
  <sheetPr codeName="Sheet2"/>
  <dimension ref="A1:KY126"/>
  <sheetViews>
    <sheetView showGridLines="0" zoomScale="70" zoomScaleNormal="70" workbookViewId="0">
      <pane xSplit="7" ySplit="8" topLeftCell="I9" activePane="bottomRight" state="frozen"/>
      <selection pane="topRight" activeCell="H1" sqref="H1"/>
      <selection pane="bottomLeft" activeCell="A9" sqref="A9"/>
      <selection pane="bottomRight" activeCell="A9" sqref="A9:XFD10"/>
    </sheetView>
  </sheetViews>
  <sheetFormatPr defaultRowHeight="14.5" outlineLevelRow="1" outlineLevelCol="1" x14ac:dyDescent="0.35"/>
  <cols>
    <col min="1" max="1" width="20.81640625" customWidth="1"/>
    <col min="2" max="2" width="9.81640625" customWidth="1"/>
    <col min="3" max="3" width="16.81640625" bestFit="1" customWidth="1"/>
    <col min="4" max="4" width="12.1796875" style="104" customWidth="1"/>
    <col min="5" max="5" width="11.7265625" customWidth="1"/>
    <col min="6" max="6" width="23" customWidth="1"/>
    <col min="7" max="7" width="21" bestFit="1" customWidth="1"/>
    <col min="8" max="8" width="14.26953125" customWidth="1"/>
    <col min="9" max="9" width="11.7265625" customWidth="1"/>
    <col min="10" max="10" width="11.7265625" customWidth="1" outlineLevel="1"/>
    <col min="11" max="11" width="13.7265625" customWidth="1" outlineLevel="1"/>
    <col min="12" max="12" width="13.7265625" customWidth="1"/>
    <col min="13" max="13" width="13.7265625" customWidth="1" outlineLevel="1"/>
    <col min="14" max="14" width="13.26953125" customWidth="1" outlineLevel="1"/>
    <col min="15" max="15" width="13.26953125" customWidth="1"/>
    <col min="16" max="16" width="13" customWidth="1" outlineLevel="1"/>
    <col min="17" max="17" width="12.26953125" customWidth="1" outlineLevel="1"/>
    <col min="18" max="18" width="12.26953125" customWidth="1"/>
    <col min="19" max="20" width="10.7265625" customWidth="1" outlineLevel="1"/>
    <col min="21" max="21" width="10.7265625" customWidth="1"/>
    <col min="22" max="22" width="13" customWidth="1" outlineLevel="1"/>
    <col min="23" max="23" width="14.81640625" customWidth="1" outlineLevel="1"/>
    <col min="24" max="24" width="14.81640625" customWidth="1"/>
    <col min="25" max="25" width="13.1796875" customWidth="1" outlineLevel="1"/>
    <col min="26" max="26" width="13.453125" customWidth="1" outlineLevel="1"/>
    <col min="27" max="27" width="13.453125" customWidth="1"/>
    <col min="28" max="29" width="13.453125" customWidth="1" outlineLevel="1"/>
    <col min="30" max="30" width="13.453125" customWidth="1"/>
    <col min="31" max="32" width="13.453125" customWidth="1" outlineLevel="1"/>
    <col min="33" max="33" width="13.453125" customWidth="1"/>
    <col min="34" max="35" width="10.7265625" customWidth="1" outlineLevel="1"/>
    <col min="36" max="36" width="10.7265625" customWidth="1"/>
    <col min="37" max="38" width="10.7265625" customWidth="1" outlineLevel="1"/>
    <col min="39" max="39" width="10.7265625" customWidth="1"/>
    <col min="40" max="41" width="10.7265625" customWidth="1" outlineLevel="1"/>
    <col min="42" max="42" width="10.7265625" customWidth="1"/>
    <col min="43" max="44" width="10.7265625" customWidth="1" outlineLevel="1"/>
    <col min="45" max="45" width="10.7265625" customWidth="1"/>
    <col min="46" max="47" width="10.7265625" customWidth="1" outlineLevel="1"/>
    <col min="48" max="48" width="10.7265625" customWidth="1"/>
    <col min="49" max="50" width="10.7265625" customWidth="1" outlineLevel="1"/>
    <col min="51" max="51" width="10.7265625" customWidth="1"/>
    <col min="52" max="53" width="10.7265625" customWidth="1" outlineLevel="1"/>
    <col min="54" max="54" width="10.7265625" customWidth="1"/>
    <col min="55" max="55" width="12.54296875" customWidth="1" outlineLevel="1"/>
    <col min="56" max="56" width="13.453125" customWidth="1" outlineLevel="1"/>
    <col min="57" max="57" width="10.81640625" customWidth="1"/>
    <col min="58" max="59" width="10.7265625" customWidth="1" outlineLevel="1"/>
    <col min="60" max="60" width="11.26953125" customWidth="1"/>
    <col min="61" max="62" width="10.7265625" customWidth="1" outlineLevel="1"/>
    <col min="63" max="63" width="10.7265625" customWidth="1"/>
    <col min="64" max="65" width="10.7265625" customWidth="1" outlineLevel="1"/>
    <col min="66" max="66" width="10.7265625" customWidth="1"/>
    <col min="67" max="68" width="10.7265625" customWidth="1" outlineLevel="1"/>
    <col min="69" max="69" width="10.7265625" customWidth="1"/>
    <col min="70" max="71" width="10.7265625" customWidth="1" outlineLevel="1"/>
    <col min="72" max="72" width="10.7265625" customWidth="1"/>
    <col min="73" max="74" width="10.7265625" customWidth="1" outlineLevel="1"/>
    <col min="75" max="75" width="10.7265625" customWidth="1"/>
    <col min="76" max="76" width="13.26953125" customWidth="1" outlineLevel="1"/>
    <col min="77" max="77" width="13.54296875" customWidth="1" outlineLevel="1"/>
    <col min="78" max="78" width="13.54296875" customWidth="1"/>
    <col min="79" max="80" width="10.7265625" customWidth="1" outlineLevel="1"/>
    <col min="81" max="81" width="10.7265625" customWidth="1"/>
    <col min="82" max="82" width="12.7265625" customWidth="1" outlineLevel="1"/>
    <col min="83" max="83" width="13.26953125" customWidth="1" outlineLevel="1"/>
    <col min="84" max="84" width="13.26953125" customWidth="1"/>
    <col min="85" max="86" width="10.7265625" customWidth="1" outlineLevel="1"/>
    <col min="87" max="87" width="10.7265625" customWidth="1"/>
    <col min="88" max="88" width="13.26953125" customWidth="1" outlineLevel="1"/>
    <col min="89" max="89" width="14" customWidth="1" outlineLevel="1"/>
    <col min="90" max="90" width="14" customWidth="1"/>
    <col min="91" max="92" width="10.7265625" customWidth="1" outlineLevel="1"/>
    <col min="93" max="93" width="10.7265625" customWidth="1"/>
    <col min="94" max="94" width="13" customWidth="1" outlineLevel="1"/>
    <col min="95" max="95" width="12.26953125" customWidth="1" outlineLevel="1"/>
    <col min="96" max="96" width="12.26953125" customWidth="1"/>
    <col min="97" max="97" width="84" customWidth="1"/>
    <col min="98" max="99" width="10.7265625" customWidth="1" outlineLevel="1"/>
    <col min="100" max="100" width="10.7265625" customWidth="1"/>
    <col min="101" max="101" width="12.1796875" customWidth="1" outlineLevel="1"/>
    <col min="102" max="102" width="10.7265625" customWidth="1" outlineLevel="1"/>
    <col min="103" max="103" width="10.7265625" customWidth="1"/>
    <col min="104" max="105" width="10.7265625" customWidth="1" outlineLevel="1"/>
    <col min="106" max="106" width="10.7265625" customWidth="1"/>
    <col min="107" max="107" width="13.453125" customWidth="1" outlineLevel="1"/>
    <col min="108" max="108" width="12.54296875" customWidth="1" outlineLevel="1"/>
    <col min="109" max="109" width="12.54296875" customWidth="1"/>
    <col min="110" max="111" width="10.7265625" customWidth="1" outlineLevel="1"/>
    <col min="112" max="112" width="10.7265625" customWidth="1"/>
    <col min="113" max="115" width="11.7265625" customWidth="1" outlineLevel="1"/>
    <col min="116" max="116" width="12.26953125" customWidth="1"/>
    <col min="117" max="117" width="12.7265625" customWidth="1" outlineLevel="1"/>
    <col min="118" max="118" width="12.26953125" customWidth="1" outlineLevel="1"/>
    <col min="119" max="119" width="12.26953125" customWidth="1"/>
    <col min="120" max="120" width="12.26953125" customWidth="1" outlineLevel="1"/>
    <col min="121" max="121" width="10.81640625" customWidth="1" outlineLevel="1"/>
    <col min="122" max="122" width="10.81640625" customWidth="1"/>
    <col min="123" max="123" width="13" customWidth="1" outlineLevel="1"/>
    <col min="124" max="124" width="12.1796875" customWidth="1" outlineLevel="1"/>
    <col min="125" max="125" width="12.54296875" customWidth="1" outlineLevel="1"/>
    <col min="126" max="126" width="13.7265625" customWidth="1"/>
    <col min="127" max="127" width="13.7265625" customWidth="1" outlineLevel="1"/>
    <col min="128" max="129" width="12.7265625" customWidth="1" outlineLevel="1"/>
    <col min="130" max="130" width="13.81640625" customWidth="1"/>
    <col min="131" max="131" width="13.81640625" customWidth="1" outlineLevel="1"/>
    <col min="132" max="132" width="13.453125" customWidth="1" outlineLevel="1"/>
    <col min="133" max="133" width="14" customWidth="1" outlineLevel="1"/>
    <col min="134" max="134" width="14" customWidth="1"/>
    <col min="135" max="136" width="10.7265625" customWidth="1" outlineLevel="1"/>
    <col min="137" max="137" width="10.7265625" customWidth="1"/>
    <col min="138" max="139" width="10.7265625" customWidth="1" outlineLevel="1"/>
    <col min="140" max="140" width="10.7265625" customWidth="1"/>
    <col min="141" max="142" width="10.7265625" customWidth="1" outlineLevel="1"/>
    <col min="143" max="143" width="10.7265625" customWidth="1"/>
    <col min="144" max="145" width="10.7265625" customWidth="1" outlineLevel="1"/>
    <col min="146" max="146" width="10.7265625" customWidth="1"/>
    <col min="147" max="148" width="10.7265625" customWidth="1" outlineLevel="1"/>
    <col min="149" max="149" width="10.7265625" customWidth="1"/>
    <col min="150" max="151" width="10.7265625" customWidth="1" outlineLevel="1"/>
    <col min="152" max="152" width="10.7265625" customWidth="1"/>
    <col min="153" max="154" width="10.7265625" customWidth="1" outlineLevel="1"/>
    <col min="155" max="155" width="10.7265625" customWidth="1"/>
    <col min="156" max="157" width="10.7265625" customWidth="1" outlineLevel="1"/>
    <col min="158" max="158" width="10.7265625" customWidth="1"/>
    <col min="159" max="159" width="13.26953125" customWidth="1" outlineLevel="1"/>
    <col min="160" max="160" width="12.81640625" customWidth="1" outlineLevel="1"/>
    <col min="161" max="161" width="12.81640625" customWidth="1"/>
    <col min="162" max="163" width="12.81640625" customWidth="1" outlineLevel="1"/>
    <col min="164" max="164" width="12.81640625" customWidth="1"/>
    <col min="165" max="165" width="13.26953125" customWidth="1" outlineLevel="1"/>
    <col min="166" max="166" width="11.453125" customWidth="1" outlineLevel="1"/>
    <col min="167" max="167" width="11.453125" customWidth="1"/>
    <col min="168" max="168" width="13.7265625" customWidth="1" outlineLevel="1"/>
    <col min="169" max="169" width="13.81640625" customWidth="1" outlineLevel="1"/>
    <col min="170" max="170" width="13.81640625" customWidth="1"/>
    <col min="171" max="171" width="12.26953125" customWidth="1" outlineLevel="1"/>
    <col min="172" max="172" width="13.7265625" customWidth="1" outlineLevel="1"/>
    <col min="173" max="173" width="13.453125" customWidth="1"/>
    <col min="174" max="174" width="17.81640625" customWidth="1"/>
    <col min="175" max="175" width="17.81640625" style="112" customWidth="1"/>
    <col min="176" max="178" width="13.81640625" customWidth="1"/>
    <col min="179" max="179" width="14.26953125" customWidth="1"/>
  </cols>
  <sheetData>
    <row r="1" spans="1:311" ht="15.75" customHeight="1" x14ac:dyDescent="0.35">
      <c r="A1" s="80" t="s">
        <v>201</v>
      </c>
      <c r="B1" s="13"/>
      <c r="C1" s="17" t="s">
        <v>202</v>
      </c>
      <c r="D1" s="94"/>
      <c r="E1" s="17"/>
      <c r="F1" s="18"/>
      <c r="G1" s="117"/>
      <c r="H1" s="117" t="s">
        <v>203</v>
      </c>
      <c r="I1" s="118" t="s">
        <v>204</v>
      </c>
      <c r="J1" s="118"/>
      <c r="K1" s="119"/>
      <c r="L1" s="119"/>
      <c r="M1" s="119"/>
      <c r="N1" s="119"/>
      <c r="O1" s="119"/>
      <c r="P1" s="119"/>
      <c r="Q1" s="119"/>
      <c r="R1" s="119"/>
      <c r="S1" s="119"/>
      <c r="T1" s="119"/>
      <c r="U1" s="119"/>
      <c r="V1" s="119"/>
      <c r="W1" s="119"/>
      <c r="X1" s="119"/>
      <c r="Y1" s="119"/>
      <c r="Z1" s="119"/>
      <c r="AA1" s="119"/>
      <c r="AB1" s="119"/>
      <c r="AC1" s="119"/>
      <c r="AD1" s="119"/>
      <c r="AE1" s="119"/>
      <c r="AF1" s="119"/>
      <c r="AG1" s="119"/>
      <c r="AH1" s="119"/>
      <c r="AI1" s="119"/>
      <c r="AJ1" s="119"/>
      <c r="AK1" s="119"/>
      <c r="AL1" s="119"/>
      <c r="AM1" s="119"/>
      <c r="AN1" s="119"/>
      <c r="AO1" s="119"/>
      <c r="AP1" s="119"/>
      <c r="AQ1" s="119"/>
      <c r="AR1" s="119"/>
      <c r="AS1" s="119"/>
      <c r="AT1" s="119"/>
      <c r="AU1" s="119"/>
      <c r="AV1" s="119"/>
      <c r="AW1" s="119"/>
      <c r="AX1" s="119"/>
      <c r="AY1" s="119"/>
      <c r="AZ1" s="119"/>
      <c r="BA1" s="119"/>
      <c r="BB1" s="119"/>
      <c r="BC1" s="119"/>
      <c r="BD1" s="119"/>
      <c r="BE1" s="119"/>
      <c r="BF1" s="119"/>
      <c r="BG1" s="119"/>
      <c r="BH1" s="119"/>
      <c r="BI1" s="119"/>
      <c r="BJ1" s="119"/>
      <c r="BK1" s="119"/>
      <c r="BL1" s="119"/>
      <c r="BM1" s="119"/>
      <c r="BN1" s="119"/>
      <c r="BO1" s="119"/>
      <c r="BP1" s="119"/>
      <c r="BQ1" s="119"/>
      <c r="BR1" s="119"/>
      <c r="BS1" s="119"/>
      <c r="BT1" s="119"/>
      <c r="BU1" s="119"/>
      <c r="BV1" s="119"/>
      <c r="BW1" s="119"/>
      <c r="BX1" s="119"/>
      <c r="BY1" s="119"/>
      <c r="BZ1" s="119"/>
      <c r="CA1" s="119"/>
      <c r="CB1" s="119"/>
      <c r="CC1" s="119"/>
      <c r="CD1" s="119"/>
      <c r="CE1" s="119"/>
      <c r="CF1" s="119"/>
      <c r="CG1" s="119"/>
      <c r="CH1" s="119"/>
      <c r="CI1" s="119"/>
      <c r="CJ1" s="119"/>
      <c r="CK1" s="119"/>
      <c r="CL1" s="119"/>
      <c r="CM1" s="119"/>
      <c r="CN1" s="119"/>
      <c r="CO1" s="119"/>
      <c r="CP1" s="119"/>
      <c r="CQ1" s="119"/>
      <c r="CR1" s="119"/>
      <c r="CS1" s="119"/>
      <c r="CT1" s="119"/>
      <c r="CU1" s="119"/>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35">
      <c r="A2" s="18"/>
      <c r="B2" s="4"/>
      <c r="C2" s="17" t="s">
        <v>205</v>
      </c>
      <c r="D2" s="94"/>
      <c r="E2" s="17"/>
      <c r="F2" s="18"/>
      <c r="G2" s="117"/>
      <c r="H2" s="117"/>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c r="BN2" s="119"/>
      <c r="BO2" s="119"/>
      <c r="BP2" s="119"/>
      <c r="BQ2" s="119"/>
      <c r="BR2" s="119"/>
      <c r="BS2" s="119"/>
      <c r="BT2" s="119"/>
      <c r="BU2" s="119"/>
      <c r="BV2" s="119"/>
      <c r="BW2" s="119"/>
      <c r="BX2" s="119"/>
      <c r="BY2" s="119"/>
      <c r="BZ2" s="119"/>
      <c r="CA2" s="119"/>
      <c r="CB2" s="119"/>
      <c r="CC2" s="119"/>
      <c r="CD2" s="119"/>
      <c r="CE2" s="119"/>
      <c r="CF2" s="119"/>
      <c r="CG2" s="119"/>
      <c r="CH2" s="119"/>
      <c r="CI2" s="119"/>
      <c r="CJ2" s="119"/>
      <c r="CK2" s="119"/>
      <c r="CL2" s="119"/>
      <c r="CM2" s="119"/>
      <c r="CN2" s="119"/>
      <c r="CO2" s="119"/>
      <c r="CP2" s="119"/>
      <c r="CQ2" s="119"/>
      <c r="CR2" s="119"/>
      <c r="CS2" s="119"/>
      <c r="CT2" s="119"/>
      <c r="CU2" s="119"/>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6" x14ac:dyDescent="0.35">
      <c r="A3" s="18"/>
      <c r="B3" s="10"/>
      <c r="C3" s="17" t="s">
        <v>206</v>
      </c>
      <c r="D3" s="94"/>
      <c r="E3" s="17"/>
      <c r="F3" s="19"/>
      <c r="G3" s="20"/>
      <c r="H3" s="20" t="s">
        <v>207</v>
      </c>
      <c r="I3" s="38" t="s">
        <v>208</v>
      </c>
      <c r="J3" s="120" t="s">
        <v>209</v>
      </c>
      <c r="K3" s="120"/>
      <c r="L3" s="120"/>
      <c r="M3" s="120"/>
      <c r="N3" s="120"/>
      <c r="O3" s="120"/>
      <c r="P3" s="120"/>
      <c r="Q3" s="120"/>
      <c r="R3" s="120"/>
      <c r="S3" s="120"/>
      <c r="T3" s="120"/>
      <c r="U3" s="120"/>
      <c r="V3" s="120"/>
      <c r="W3" s="120"/>
      <c r="X3" s="120"/>
      <c r="Y3" s="120"/>
      <c r="Z3" s="120"/>
      <c r="AA3" s="120"/>
      <c r="AB3" s="96"/>
      <c r="AC3" s="96"/>
      <c r="AD3" s="96"/>
      <c r="AE3" s="121" t="s">
        <v>210</v>
      </c>
      <c r="AF3" s="121"/>
      <c r="AG3" s="121"/>
      <c r="AH3" s="122" t="s">
        <v>211</v>
      </c>
      <c r="AI3" s="122"/>
      <c r="AJ3" s="122"/>
      <c r="AK3" s="122"/>
      <c r="AL3" s="122"/>
      <c r="AM3" s="122"/>
      <c r="AN3" s="122"/>
      <c r="AO3" s="122"/>
      <c r="AP3" s="122"/>
      <c r="AQ3" s="123" t="s">
        <v>212</v>
      </c>
      <c r="AR3" s="123"/>
      <c r="AS3" s="123"/>
      <c r="AT3" s="123"/>
      <c r="AU3" s="123"/>
      <c r="AV3" s="123"/>
      <c r="AW3" s="123"/>
      <c r="AX3" s="123"/>
      <c r="AY3" s="123"/>
      <c r="AZ3" s="123"/>
      <c r="BA3" s="123"/>
      <c r="BB3" s="50"/>
      <c r="BC3" s="124" t="s">
        <v>213</v>
      </c>
      <c r="BD3" s="124"/>
      <c r="BE3" s="124"/>
      <c r="BF3" s="124"/>
      <c r="BG3" s="124"/>
      <c r="BH3" s="124"/>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35">
      <c r="A4" s="21"/>
      <c r="B4" s="27"/>
      <c r="C4" s="17" t="s">
        <v>215</v>
      </c>
      <c r="D4" s="94"/>
      <c r="E4" s="17"/>
      <c r="F4" s="19"/>
      <c r="G4" s="20"/>
      <c r="H4" s="20" t="s">
        <v>216</v>
      </c>
      <c r="I4" s="32" t="s">
        <v>217</v>
      </c>
      <c r="J4" s="125" t="s">
        <v>218</v>
      </c>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6" t="s">
        <v>219</v>
      </c>
      <c r="BG4" s="126"/>
      <c r="BH4" s="126"/>
      <c r="BI4" s="126"/>
      <c r="BJ4" s="126"/>
      <c r="BK4" s="126"/>
      <c r="BL4" s="126"/>
      <c r="BM4" s="126"/>
      <c r="BN4" s="126"/>
      <c r="BO4" s="126"/>
      <c r="BP4" s="126"/>
      <c r="BQ4" s="126"/>
      <c r="BR4" s="126"/>
      <c r="BS4" s="126"/>
      <c r="BT4" s="126"/>
      <c r="BU4" s="126"/>
      <c r="BV4" s="126"/>
      <c r="BW4" s="126"/>
      <c r="BX4" s="126"/>
      <c r="BY4" s="126"/>
      <c r="BZ4" s="126"/>
      <c r="CA4" s="126"/>
      <c r="CB4" s="126"/>
      <c r="CC4" s="126"/>
      <c r="CD4" s="126"/>
      <c r="CE4" s="126"/>
      <c r="CF4" s="126"/>
      <c r="CG4" s="126"/>
      <c r="CH4" s="126"/>
      <c r="CI4" s="126"/>
      <c r="CJ4" s="126"/>
      <c r="CK4" s="126"/>
      <c r="CL4" s="126"/>
      <c r="CM4" s="127" t="s">
        <v>220</v>
      </c>
      <c r="CN4" s="127"/>
      <c r="CO4" s="127"/>
      <c r="CP4" s="127"/>
      <c r="CQ4" s="127"/>
      <c r="CR4" s="127"/>
      <c r="CS4" s="127"/>
      <c r="CT4" s="127"/>
      <c r="CU4" s="127"/>
      <c r="CV4" s="127"/>
      <c r="CW4" s="127"/>
      <c r="CX4" s="127"/>
      <c r="CY4" s="127"/>
      <c r="CZ4" s="127"/>
      <c r="DA4" s="127"/>
      <c r="DB4" s="127"/>
      <c r="DC4" s="127"/>
      <c r="DD4" s="127"/>
      <c r="DE4" s="127"/>
      <c r="DF4" s="127"/>
      <c r="DG4" s="127"/>
      <c r="DH4" s="127"/>
      <c r="DI4" s="127"/>
      <c r="DJ4" s="127"/>
      <c r="DK4" s="127"/>
      <c r="DL4" s="127"/>
      <c r="DM4" s="127"/>
      <c r="DN4" s="127"/>
      <c r="DO4" s="127"/>
      <c r="DP4" s="127"/>
      <c r="DQ4" s="127"/>
      <c r="DR4" s="127"/>
      <c r="DS4" s="127"/>
      <c r="DT4" s="127"/>
      <c r="DU4" s="127"/>
      <c r="DV4" s="127"/>
      <c r="DW4" s="127"/>
      <c r="DX4" s="127"/>
      <c r="DY4" s="127"/>
      <c r="DZ4" s="127"/>
      <c r="EA4" s="127"/>
      <c r="EB4" s="127"/>
      <c r="EC4" s="127"/>
      <c r="ED4" s="127"/>
      <c r="EE4" s="127"/>
      <c r="EF4" s="127"/>
      <c r="EG4" s="127"/>
      <c r="EH4" s="127"/>
      <c r="EI4" s="127"/>
      <c r="EJ4" s="127"/>
      <c r="EK4" s="127"/>
      <c r="EL4" s="127"/>
      <c r="EM4" s="127"/>
      <c r="EN4" s="127"/>
      <c r="EO4" s="127"/>
      <c r="EP4" s="127"/>
      <c r="EQ4" s="127"/>
      <c r="ER4" s="127"/>
      <c r="ES4" s="127"/>
      <c r="ET4" s="127"/>
      <c r="EU4" s="127"/>
      <c r="EV4" s="127"/>
      <c r="EW4" s="127"/>
      <c r="EX4" s="127"/>
      <c r="EY4" s="127"/>
      <c r="EZ4" s="128" t="s">
        <v>221</v>
      </c>
      <c r="FA4" s="128"/>
      <c r="FB4" s="128"/>
      <c r="FC4" s="128"/>
      <c r="FD4" s="128"/>
      <c r="FE4" s="128"/>
      <c r="FF4" s="128"/>
      <c r="FG4" s="128"/>
      <c r="FH4" s="128"/>
      <c r="FI4" s="128"/>
      <c r="FJ4" s="128"/>
      <c r="FK4" s="128"/>
      <c r="FL4" s="128"/>
      <c r="FM4" s="128"/>
      <c r="FN4" s="128"/>
      <c r="FO4" s="128"/>
      <c r="FP4" s="128"/>
      <c r="FQ4" s="128"/>
      <c r="FR4" s="128"/>
      <c r="FS4" s="106"/>
      <c r="FT4" s="2"/>
      <c r="FU4" s="2"/>
      <c r="FV4" s="2"/>
      <c r="FW4" s="41"/>
      <c r="FX4" s="36"/>
      <c r="FY4" s="36"/>
      <c r="FZ4" s="36"/>
      <c r="GA4" s="36"/>
      <c r="GB4" s="36"/>
      <c r="GC4" s="36"/>
      <c r="GD4" s="36"/>
    </row>
    <row r="5" spans="1:311" x14ac:dyDescent="0.35">
      <c r="A5" s="21"/>
      <c r="B5" s="51"/>
      <c r="C5" s="17" t="s">
        <v>222</v>
      </c>
      <c r="D5" s="94"/>
      <c r="E5" s="17"/>
      <c r="F5" s="20"/>
      <c r="G5" s="20"/>
      <c r="H5" s="20" t="s">
        <v>223</v>
      </c>
      <c r="I5" s="129" t="s">
        <v>224</v>
      </c>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3" t="s">
        <v>225</v>
      </c>
      <c r="BJ5" s="134"/>
      <c r="BK5" s="134"/>
      <c r="BL5" s="134"/>
      <c r="BM5" s="134"/>
      <c r="BN5" s="134"/>
      <c r="BO5" s="134"/>
      <c r="BP5" s="134"/>
      <c r="BQ5" s="134"/>
      <c r="BR5" s="134"/>
      <c r="BS5" s="134"/>
      <c r="BT5" s="134"/>
      <c r="BU5" s="134"/>
      <c r="BV5" s="134"/>
      <c r="BW5" s="134"/>
      <c r="BX5" s="134"/>
      <c r="BY5" s="134"/>
      <c r="BZ5" s="134"/>
      <c r="CA5" s="134"/>
      <c r="CB5" s="134"/>
      <c r="CC5" s="134"/>
      <c r="CD5" s="134"/>
      <c r="CE5" s="134"/>
      <c r="CF5" s="134"/>
      <c r="CG5" s="134"/>
      <c r="CH5" s="134"/>
      <c r="CI5" s="134"/>
      <c r="CJ5" s="134"/>
      <c r="CK5" s="134"/>
      <c r="CL5" s="134"/>
      <c r="CM5" s="134"/>
      <c r="CN5" s="134"/>
      <c r="CO5" s="134"/>
      <c r="CP5" s="134"/>
      <c r="CQ5" s="134"/>
      <c r="CR5" s="134"/>
      <c r="CS5" s="134"/>
      <c r="CT5" s="134"/>
      <c r="CU5" s="134"/>
      <c r="CV5" s="134"/>
      <c r="CW5" s="134"/>
      <c r="CX5" s="134"/>
      <c r="CY5" s="134"/>
      <c r="CZ5" s="134"/>
      <c r="DA5" s="134"/>
      <c r="DB5" s="134"/>
      <c r="DC5" s="134"/>
      <c r="DD5" s="134"/>
      <c r="DE5" s="134"/>
      <c r="DF5" s="134"/>
      <c r="DG5" s="134"/>
      <c r="DH5" s="134"/>
      <c r="DI5" s="134"/>
      <c r="DJ5" s="134"/>
      <c r="DK5" s="134"/>
      <c r="DL5" s="134"/>
      <c r="DM5" s="134"/>
      <c r="DN5" s="134"/>
      <c r="DO5" s="134"/>
      <c r="DP5" s="134"/>
      <c r="DQ5" s="134"/>
      <c r="DR5" s="134"/>
      <c r="DS5" s="134"/>
      <c r="DT5" s="134"/>
      <c r="DU5" s="134"/>
      <c r="DV5" s="134"/>
      <c r="DW5" s="134"/>
      <c r="DX5" s="134"/>
      <c r="DY5" s="134"/>
      <c r="DZ5" s="134"/>
      <c r="EA5" s="134"/>
      <c r="EB5" s="134"/>
      <c r="EC5" s="134"/>
      <c r="ED5" s="134"/>
      <c r="EE5" s="134"/>
      <c r="EF5" s="134"/>
      <c r="EG5" s="134"/>
      <c r="EH5" s="134"/>
      <c r="EI5" s="134"/>
      <c r="EJ5" s="134"/>
      <c r="EK5" s="134"/>
      <c r="EL5" s="134"/>
      <c r="EM5" s="134"/>
      <c r="EN5" s="134"/>
      <c r="EO5" s="134"/>
      <c r="EP5" s="134"/>
      <c r="EQ5" s="134"/>
      <c r="ER5" s="134"/>
      <c r="ES5" s="134"/>
      <c r="ET5" s="134"/>
      <c r="EU5" s="134"/>
      <c r="EV5" s="134"/>
      <c r="EW5" s="134"/>
      <c r="EX5" s="134"/>
      <c r="EY5" s="134"/>
      <c r="EZ5" s="134"/>
      <c r="FA5" s="134"/>
      <c r="FB5" s="134"/>
      <c r="FC5" s="134"/>
      <c r="FD5" s="134"/>
      <c r="FE5" s="134"/>
      <c r="FF5" s="134"/>
      <c r="FG5" s="134"/>
      <c r="FH5" s="134"/>
      <c r="FI5" s="134"/>
      <c r="FJ5" s="134"/>
      <c r="FK5" s="135"/>
      <c r="FL5" s="139" t="s">
        <v>226</v>
      </c>
      <c r="FM5" s="140"/>
      <c r="FN5" s="140"/>
      <c r="FO5" s="140"/>
      <c r="FP5" s="140"/>
      <c r="FQ5" s="140"/>
      <c r="FR5" s="141"/>
      <c r="FS5" s="107"/>
      <c r="FT5" s="145" t="s">
        <v>227</v>
      </c>
      <c r="FU5" s="145"/>
      <c r="FV5" s="145"/>
      <c r="FW5" s="145"/>
      <c r="FX5" s="36"/>
      <c r="FY5" s="36"/>
      <c r="FZ5" s="36"/>
      <c r="GA5" s="36"/>
      <c r="GB5" s="36"/>
      <c r="GC5" s="36"/>
      <c r="GD5" s="36"/>
    </row>
    <row r="6" spans="1:311" x14ac:dyDescent="0.35">
      <c r="A6" s="22"/>
      <c r="B6" s="92"/>
      <c r="C6" s="17" t="s">
        <v>228</v>
      </c>
      <c r="D6" s="94"/>
      <c r="E6" s="17"/>
      <c r="F6" s="20"/>
      <c r="G6" s="20"/>
      <c r="H6" s="20"/>
      <c r="I6" s="131"/>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2"/>
      <c r="AJ6" s="132"/>
      <c r="AK6" s="132"/>
      <c r="AL6" s="132"/>
      <c r="AM6" s="132"/>
      <c r="AN6" s="132"/>
      <c r="AO6" s="132"/>
      <c r="AP6" s="132"/>
      <c r="AQ6" s="132"/>
      <c r="AR6" s="132"/>
      <c r="AS6" s="132"/>
      <c r="AT6" s="132"/>
      <c r="AU6" s="132"/>
      <c r="AV6" s="132"/>
      <c r="AW6" s="132"/>
      <c r="AX6" s="132"/>
      <c r="AY6" s="132"/>
      <c r="AZ6" s="132"/>
      <c r="BA6" s="132"/>
      <c r="BB6" s="132"/>
      <c r="BC6" s="132"/>
      <c r="BD6" s="132"/>
      <c r="BE6" s="132"/>
      <c r="BF6" s="132"/>
      <c r="BG6" s="132"/>
      <c r="BH6" s="132"/>
      <c r="BI6" s="136"/>
      <c r="BJ6" s="137"/>
      <c r="BK6" s="137"/>
      <c r="BL6" s="137"/>
      <c r="BM6" s="137"/>
      <c r="BN6" s="137"/>
      <c r="BO6" s="137"/>
      <c r="BP6" s="137"/>
      <c r="BQ6" s="137"/>
      <c r="BR6" s="137"/>
      <c r="BS6" s="137"/>
      <c r="BT6" s="137"/>
      <c r="BU6" s="137"/>
      <c r="BV6" s="137"/>
      <c r="BW6" s="137"/>
      <c r="BX6" s="137"/>
      <c r="BY6" s="137"/>
      <c r="BZ6" s="137"/>
      <c r="CA6" s="137"/>
      <c r="CB6" s="137"/>
      <c r="CC6" s="137"/>
      <c r="CD6" s="137"/>
      <c r="CE6" s="137"/>
      <c r="CF6" s="137"/>
      <c r="CG6" s="137"/>
      <c r="CH6" s="137"/>
      <c r="CI6" s="137"/>
      <c r="CJ6" s="137"/>
      <c r="CK6" s="137"/>
      <c r="CL6" s="137"/>
      <c r="CM6" s="137"/>
      <c r="CN6" s="137"/>
      <c r="CO6" s="137"/>
      <c r="CP6" s="137"/>
      <c r="CQ6" s="137"/>
      <c r="CR6" s="137"/>
      <c r="CS6" s="137"/>
      <c r="CT6" s="137"/>
      <c r="CU6" s="137"/>
      <c r="CV6" s="137"/>
      <c r="CW6" s="137"/>
      <c r="CX6" s="137"/>
      <c r="CY6" s="137"/>
      <c r="CZ6" s="137"/>
      <c r="DA6" s="137"/>
      <c r="DB6" s="137"/>
      <c r="DC6" s="137"/>
      <c r="DD6" s="137"/>
      <c r="DE6" s="137"/>
      <c r="DF6" s="137"/>
      <c r="DG6" s="137"/>
      <c r="DH6" s="137"/>
      <c r="DI6" s="137"/>
      <c r="DJ6" s="137"/>
      <c r="DK6" s="137"/>
      <c r="DL6" s="137"/>
      <c r="DM6" s="137"/>
      <c r="DN6" s="137"/>
      <c r="DO6" s="137"/>
      <c r="DP6" s="137"/>
      <c r="DQ6" s="137"/>
      <c r="DR6" s="137"/>
      <c r="DS6" s="137"/>
      <c r="DT6" s="137"/>
      <c r="DU6" s="137"/>
      <c r="DV6" s="137"/>
      <c r="DW6" s="137"/>
      <c r="DX6" s="137"/>
      <c r="DY6" s="137"/>
      <c r="DZ6" s="137"/>
      <c r="EA6" s="137"/>
      <c r="EB6" s="137"/>
      <c r="EC6" s="137"/>
      <c r="ED6" s="137"/>
      <c r="EE6" s="137"/>
      <c r="EF6" s="137"/>
      <c r="EG6" s="137"/>
      <c r="EH6" s="137"/>
      <c r="EI6" s="137"/>
      <c r="EJ6" s="137"/>
      <c r="EK6" s="137"/>
      <c r="EL6" s="137"/>
      <c r="EM6" s="137"/>
      <c r="EN6" s="137"/>
      <c r="EO6" s="137"/>
      <c r="EP6" s="137"/>
      <c r="EQ6" s="137"/>
      <c r="ER6" s="137"/>
      <c r="ES6" s="137"/>
      <c r="ET6" s="137"/>
      <c r="EU6" s="137"/>
      <c r="EV6" s="137"/>
      <c r="EW6" s="137"/>
      <c r="EX6" s="137"/>
      <c r="EY6" s="137"/>
      <c r="EZ6" s="137"/>
      <c r="FA6" s="137"/>
      <c r="FB6" s="137"/>
      <c r="FC6" s="137"/>
      <c r="FD6" s="137"/>
      <c r="FE6" s="137"/>
      <c r="FF6" s="137"/>
      <c r="FG6" s="137"/>
      <c r="FH6" s="137"/>
      <c r="FI6" s="137"/>
      <c r="FJ6" s="137"/>
      <c r="FK6" s="138"/>
      <c r="FL6" s="142"/>
      <c r="FM6" s="143"/>
      <c r="FN6" s="143"/>
      <c r="FO6" s="143"/>
      <c r="FP6" s="143"/>
      <c r="FQ6" s="143"/>
      <c r="FR6" s="144"/>
      <c r="FS6" s="108"/>
      <c r="FT6" s="145"/>
      <c r="FU6" s="145"/>
      <c r="FV6" s="145"/>
      <c r="FW6" s="145"/>
      <c r="FX6" s="36"/>
      <c r="FY6" s="36"/>
      <c r="FZ6" s="36"/>
      <c r="GA6" s="36"/>
      <c r="GB6" s="36"/>
      <c r="GC6" s="36"/>
      <c r="GD6" s="36"/>
    </row>
    <row r="7" spans="1:311" s="23" customFormat="1" ht="38.25" customHeight="1" x14ac:dyDescent="0.35">
      <c r="A7" s="146" t="s">
        <v>229</v>
      </c>
      <c r="B7" s="146"/>
      <c r="C7" s="146"/>
      <c r="D7" s="146"/>
      <c r="E7" s="146"/>
      <c r="F7" s="146"/>
      <c r="G7" s="146"/>
      <c r="H7" s="52"/>
      <c r="I7" s="37" t="s">
        <v>230</v>
      </c>
      <c r="J7" s="147" t="s">
        <v>231</v>
      </c>
      <c r="K7" s="147"/>
      <c r="L7" s="147"/>
      <c r="M7" s="148" t="s">
        <v>232</v>
      </c>
      <c r="N7" s="148"/>
      <c r="O7" s="148"/>
      <c r="P7" s="148" t="s">
        <v>233</v>
      </c>
      <c r="Q7" s="148"/>
      <c r="R7" s="149"/>
      <c r="S7" s="147" t="s">
        <v>234</v>
      </c>
      <c r="T7" s="147"/>
      <c r="U7" s="147"/>
      <c r="V7" s="147" t="s">
        <v>235</v>
      </c>
      <c r="W7" s="147" t="s">
        <v>235</v>
      </c>
      <c r="X7" s="147"/>
      <c r="Y7" s="147" t="s">
        <v>236</v>
      </c>
      <c r="Z7" s="147" t="s">
        <v>236</v>
      </c>
      <c r="AA7" s="150"/>
      <c r="AB7" s="147" t="s">
        <v>237</v>
      </c>
      <c r="AC7" s="147"/>
      <c r="AD7" s="147"/>
      <c r="AE7" s="147" t="s">
        <v>238</v>
      </c>
      <c r="AF7" s="147" t="s">
        <v>239</v>
      </c>
      <c r="AG7" s="147"/>
      <c r="AH7" s="151" t="s">
        <v>240</v>
      </c>
      <c r="AI7" s="151" t="s">
        <v>241</v>
      </c>
      <c r="AJ7" s="152"/>
      <c r="AK7" s="147" t="s">
        <v>242</v>
      </c>
      <c r="AL7" s="147" t="s">
        <v>243</v>
      </c>
      <c r="AM7" s="147"/>
      <c r="AN7" s="147" t="s">
        <v>244</v>
      </c>
      <c r="AO7" s="147" t="s">
        <v>244</v>
      </c>
      <c r="AP7" s="147"/>
      <c r="AQ7" s="151" t="s">
        <v>245</v>
      </c>
      <c r="AR7" s="151" t="s">
        <v>245</v>
      </c>
      <c r="AS7" s="152"/>
      <c r="AT7" s="147" t="s">
        <v>246</v>
      </c>
      <c r="AU7" s="147" t="s">
        <v>246</v>
      </c>
      <c r="AV7" s="147"/>
      <c r="AW7" s="147" t="s">
        <v>247</v>
      </c>
      <c r="AX7" s="147" t="s">
        <v>247</v>
      </c>
      <c r="AY7" s="147"/>
      <c r="AZ7" s="153" t="s">
        <v>248</v>
      </c>
      <c r="BA7" s="153"/>
      <c r="BB7" s="153"/>
      <c r="BC7" s="151" t="s">
        <v>249</v>
      </c>
      <c r="BD7" s="151"/>
      <c r="BE7" s="152"/>
      <c r="BF7" s="147" t="s">
        <v>250</v>
      </c>
      <c r="BG7" s="147" t="s">
        <v>250</v>
      </c>
      <c r="BH7" s="147"/>
      <c r="BI7" s="147" t="s">
        <v>251</v>
      </c>
      <c r="BJ7" s="147" t="s">
        <v>251</v>
      </c>
      <c r="BK7" s="147"/>
      <c r="BL7" s="147" t="s">
        <v>252</v>
      </c>
      <c r="BM7" s="147" t="s">
        <v>252</v>
      </c>
      <c r="BN7" s="147"/>
      <c r="BO7" s="147" t="s">
        <v>253</v>
      </c>
      <c r="BP7" s="147" t="s">
        <v>253</v>
      </c>
      <c r="BQ7" s="147"/>
      <c r="BR7" s="147" t="s">
        <v>254</v>
      </c>
      <c r="BS7" s="147" t="s">
        <v>254</v>
      </c>
      <c r="BT7" s="147"/>
      <c r="BU7" s="147" t="s">
        <v>255</v>
      </c>
      <c r="BV7" s="147" t="s">
        <v>255</v>
      </c>
      <c r="BW7" s="147"/>
      <c r="BX7" s="147" t="s">
        <v>256</v>
      </c>
      <c r="BY7" s="147" t="s">
        <v>256</v>
      </c>
      <c r="BZ7" s="147"/>
      <c r="CA7" s="147" t="s">
        <v>257</v>
      </c>
      <c r="CB7" s="147" t="s">
        <v>257</v>
      </c>
      <c r="CC7" s="147"/>
      <c r="CD7" s="147" t="s">
        <v>258</v>
      </c>
      <c r="CE7" s="147" t="s">
        <v>258</v>
      </c>
      <c r="CF7" s="147"/>
      <c r="CG7" s="147" t="s">
        <v>259</v>
      </c>
      <c r="CH7" s="147" t="s">
        <v>259</v>
      </c>
      <c r="CI7" s="147"/>
      <c r="CJ7" s="147" t="s">
        <v>260</v>
      </c>
      <c r="CK7" s="147" t="s">
        <v>260</v>
      </c>
      <c r="CL7" s="147"/>
      <c r="CM7" s="154" t="s">
        <v>261</v>
      </c>
      <c r="CN7" s="154"/>
      <c r="CO7" s="155"/>
      <c r="CP7" s="155" t="s">
        <v>262</v>
      </c>
      <c r="CQ7" s="156"/>
      <c r="CR7" s="156"/>
      <c r="CS7" s="157"/>
      <c r="CT7" s="151" t="s">
        <v>263</v>
      </c>
      <c r="CU7" s="151"/>
      <c r="CV7" s="152"/>
      <c r="CW7" s="158" t="s">
        <v>264</v>
      </c>
      <c r="CX7" s="158"/>
      <c r="CY7" s="158"/>
      <c r="CZ7" s="147" t="s">
        <v>265</v>
      </c>
      <c r="DA7" s="147"/>
      <c r="DB7" s="147"/>
      <c r="DC7" s="159" t="s">
        <v>266</v>
      </c>
      <c r="DD7" s="159"/>
      <c r="DE7" s="159"/>
      <c r="DF7" s="160" t="s">
        <v>267</v>
      </c>
      <c r="DG7" s="160"/>
      <c r="DH7" s="160"/>
      <c r="DI7" s="161" t="s">
        <v>268</v>
      </c>
      <c r="DJ7" s="162"/>
      <c r="DK7" s="162"/>
      <c r="DL7" s="163"/>
      <c r="DM7" s="158" t="s">
        <v>269</v>
      </c>
      <c r="DN7" s="158"/>
      <c r="DO7" s="158"/>
      <c r="DP7" s="147" t="s">
        <v>270</v>
      </c>
      <c r="DQ7" s="147"/>
      <c r="DR7" s="147"/>
      <c r="DS7" s="164" t="s">
        <v>271</v>
      </c>
      <c r="DT7" s="165"/>
      <c r="DU7" s="165"/>
      <c r="DV7" s="166"/>
      <c r="DW7" s="164" t="s">
        <v>272</v>
      </c>
      <c r="DX7" s="165"/>
      <c r="DY7" s="165"/>
      <c r="DZ7" s="166"/>
      <c r="EA7" s="164" t="s">
        <v>273</v>
      </c>
      <c r="EB7" s="165"/>
      <c r="EC7" s="165"/>
      <c r="ED7" s="166"/>
      <c r="EE7" s="148" t="s">
        <v>274</v>
      </c>
      <c r="EF7" s="148"/>
      <c r="EG7" s="148"/>
      <c r="EH7" s="148" t="s">
        <v>275</v>
      </c>
      <c r="EI7" s="148"/>
      <c r="EJ7" s="149"/>
      <c r="EK7" s="158" t="s">
        <v>276</v>
      </c>
      <c r="EL7" s="158"/>
      <c r="EM7" s="158"/>
      <c r="EN7" s="147" t="s">
        <v>277</v>
      </c>
      <c r="EO7" s="147"/>
      <c r="EP7" s="147"/>
      <c r="EQ7" s="147" t="s">
        <v>278</v>
      </c>
      <c r="ER7" s="147"/>
      <c r="ES7" s="147"/>
      <c r="ET7" s="147" t="s">
        <v>279</v>
      </c>
      <c r="EU7" s="147"/>
      <c r="EV7" s="147"/>
      <c r="EW7" s="147" t="s">
        <v>280</v>
      </c>
      <c r="EX7" s="147"/>
      <c r="EY7" s="147"/>
      <c r="EZ7" s="169" t="s">
        <v>281</v>
      </c>
      <c r="FA7" s="169" t="s">
        <v>281</v>
      </c>
      <c r="FB7" s="169"/>
      <c r="FC7" s="147" t="s">
        <v>282</v>
      </c>
      <c r="FD7" s="147"/>
      <c r="FE7" s="147"/>
      <c r="FF7" s="150" t="s">
        <v>283</v>
      </c>
      <c r="FG7" s="170"/>
      <c r="FH7" s="170"/>
      <c r="FI7" s="167" t="s">
        <v>284</v>
      </c>
      <c r="FJ7" s="167"/>
      <c r="FK7" s="167"/>
      <c r="FL7" s="151" t="s">
        <v>285</v>
      </c>
      <c r="FM7" s="151"/>
      <c r="FN7" s="151"/>
      <c r="FO7" s="168" t="s">
        <v>286</v>
      </c>
      <c r="FP7" s="168"/>
      <c r="FQ7" s="168"/>
      <c r="FR7" s="75" t="s">
        <v>287</v>
      </c>
      <c r="FS7" s="75" t="s">
        <v>288</v>
      </c>
      <c r="FT7" s="145"/>
      <c r="FU7" s="145"/>
      <c r="FV7" s="145"/>
      <c r="FW7" s="145"/>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3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outlineLevel="1" x14ac:dyDescent="0.35">
      <c r="A9" s="23"/>
      <c r="B9" s="23"/>
      <c r="C9" s="24"/>
      <c r="D9" s="95"/>
      <c r="E9" s="24"/>
      <c r="F9" s="25" t="s">
        <v>463</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395</v>
      </c>
      <c r="FU9" s="54">
        <f>NETWORKDAYS($I10,FP10)</f>
        <v>395</v>
      </c>
      <c r="FV9" s="54">
        <f>IF(FQ10="",NETWORKDAYS($I10,FP10),NETWORKDAYS($I10,FQ10))</f>
        <v>395</v>
      </c>
      <c r="FW9" s="55" t="s">
        <v>464</v>
      </c>
    </row>
    <row r="10" spans="1:311" x14ac:dyDescent="0.35">
      <c r="A10" s="23" t="s">
        <v>465</v>
      </c>
      <c r="B10" s="23">
        <v>100000</v>
      </c>
      <c r="C10" s="23">
        <v>111</v>
      </c>
      <c r="D10" s="65"/>
      <c r="E10" s="23" t="str">
        <f>IF(D10="","Unknown",IF(D10&lt;=FM10+90,"Red",IF(AND(D10&gt;FM10+90,D10&lt;=FM10+180),"Yellow",IF(AND(D10&gt;FM10+180,D10&lt;=FM10+690),"Green","Covered"))))</f>
        <v>Unknown</v>
      </c>
      <c r="F10" s="25" t="s">
        <v>466</v>
      </c>
      <c r="G10" s="26"/>
      <c r="H10" s="26" t="str">
        <f>IF(CR10="","Pre-Execution","Execution")</f>
        <v>Pre-Execution</v>
      </c>
      <c r="I10" s="13">
        <v>45689</v>
      </c>
      <c r="J10" s="28"/>
      <c r="K10" s="28"/>
      <c r="L10" s="28"/>
      <c r="M10" s="10">
        <f>WORKDAY(I10,M9)</f>
        <v>45727</v>
      </c>
      <c r="N10" s="10">
        <f>WORKDAY(I10,N9)</f>
        <v>45727</v>
      </c>
      <c r="O10" s="56"/>
      <c r="P10" s="10">
        <f>WORKDAY(M10,P9)</f>
        <v>45727</v>
      </c>
      <c r="Q10" s="10">
        <f>IF(O10="",WORKDAY(N10,Q9),WORKDAY(O10,Q9))</f>
        <v>45727</v>
      </c>
      <c r="R10" s="56"/>
      <c r="S10" s="28"/>
      <c r="T10" s="28"/>
      <c r="U10" s="28"/>
      <c r="V10" s="10">
        <f>WORKDAY(P10, V9)</f>
        <v>45769</v>
      </c>
      <c r="W10" s="10">
        <f>IF(R10="",WORKDAY(Q10,W9),WORKDAY(R10,W9))</f>
        <v>45769</v>
      </c>
      <c r="X10" s="56"/>
      <c r="Y10" s="10">
        <f>WORKDAY(P10,Y9)</f>
        <v>45825</v>
      </c>
      <c r="Z10" s="10">
        <f>IF(R10="",WORKDAY(Q10,Z9),WORKDAY(R10,Z9))</f>
        <v>45825</v>
      </c>
      <c r="AA10" s="56"/>
      <c r="AB10" s="10">
        <f>WORKDAY(I10,AB9)</f>
        <v>45689</v>
      </c>
      <c r="AC10" s="10">
        <f>WORKDAY(I10,AC9)</f>
        <v>45689</v>
      </c>
      <c r="AD10" s="56"/>
      <c r="AE10" s="10">
        <f>WORKDAY(AB10,AE9)</f>
        <v>45793</v>
      </c>
      <c r="AF10" s="10">
        <f>IF(AD10="",WORKDAY(AC10,AF9),WORKDAY(AD10,AF9))</f>
        <v>45793</v>
      </c>
      <c r="AG10" s="56"/>
      <c r="AH10" s="10">
        <f>WORKDAY(IF(Y10&gt;AE10,Y10,AE10),AH9)</f>
        <v>45832</v>
      </c>
      <c r="AI10" s="10">
        <f>WORKDAY(IF(AA10="",IF(Z10&gt;AF10,Z10,AF10),IF(AA10&gt;AG10,AA10,AG10)),AI9)</f>
        <v>45832</v>
      </c>
      <c r="AJ10" s="56"/>
      <c r="AK10" s="10">
        <f>WORKDAY(AH10,AK9)</f>
        <v>45860</v>
      </c>
      <c r="AL10" s="10">
        <f>IF(AJ10="",WORKDAY(AI10,AL9),WORKDAY(AJ10,AL9))</f>
        <v>45860</v>
      </c>
      <c r="AM10" s="56"/>
      <c r="AN10" s="10">
        <f>WORKDAY(AK10,AN9)</f>
        <v>45860</v>
      </c>
      <c r="AO10" s="10">
        <f>IF(AM10="",WORKDAY(AL10,AO9),WORKDAY(AM10,AO9))</f>
        <v>45860</v>
      </c>
      <c r="AP10" s="56"/>
      <c r="AQ10" s="10">
        <f>WORKDAY(AN10,AQ9)</f>
        <v>45888</v>
      </c>
      <c r="AR10" s="10">
        <f>IF(AP10="",WORKDAY(AO10,AR9),WORKDAY(AP10,AR9))</f>
        <v>45888</v>
      </c>
      <c r="AS10" s="56"/>
      <c r="AT10" s="10">
        <f>WORKDAY(AN10,AT9)</f>
        <v>45867</v>
      </c>
      <c r="AU10" s="10">
        <f>IF(O10="",WORKDAY(AO10,AU9),WORKDAY(AP10,AU9))</f>
        <v>45867</v>
      </c>
      <c r="AV10" s="56"/>
      <c r="AW10" s="10">
        <f>IF(AQ10&gt;AT10,WORKDAY(AQ10,AW9),WORKDAY(AT10,AW9))</f>
        <v>45902</v>
      </c>
      <c r="AX10" s="10">
        <f>IF(AS10="",IF(AR10&gt;AU10,WORKDAY(AR10,AX9),WORKDAY(AU10,AX9)),IF(AS10&gt;AV10,WORKDAY(AS10,AX9),WORKDAY(AV10,AX9)))</f>
        <v>45902</v>
      </c>
      <c r="AY10" s="56"/>
      <c r="AZ10" s="10">
        <f>WORKDAY(AN10,AZ9)</f>
        <v>45902</v>
      </c>
      <c r="BA10" s="10">
        <f>IF(AP10="",WORKDAY(AO10,BA9),WORKDAY(AP10,BA9))</f>
        <v>45902</v>
      </c>
      <c r="BB10" s="56"/>
      <c r="BC10" s="10">
        <f>IF(AW10&gt;AZ10,WORKDAY(AW10,BC9),WORKDAY(AZ10,BC9))</f>
        <v>45909</v>
      </c>
      <c r="BD10" s="10">
        <f>IF(AY10="",IF(AX10&gt;BA10,WORKDAY(AX10,BD9),WORKDAY(BA10,BD9)),IF(AY10&gt;BB10,WORKDAY(AY10,BD9),WORKDAY(BB10,BD9)))</f>
        <v>45909</v>
      </c>
      <c r="BE10" s="56"/>
      <c r="BF10" s="10">
        <f>WORKDAY(BC10,BF9)</f>
        <v>45916</v>
      </c>
      <c r="BG10" s="10">
        <f>IF(BE10="",WORKDAY(BD10,BG9),WORKDAY(BE10,BG9))</f>
        <v>45916</v>
      </c>
      <c r="BH10" s="56"/>
      <c r="BI10" s="10">
        <f>WORKDAY(BF10,BI9)</f>
        <v>45923</v>
      </c>
      <c r="BJ10" s="10">
        <f>IF(BH10="",WORKDAY(BG10,BJ9),WORKDAY(BH10,BJ9))</f>
        <v>45923</v>
      </c>
      <c r="BK10" s="56"/>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f>WORKDAY(BI10,CM9)</f>
        <v>45926</v>
      </c>
      <c r="CN10" s="10">
        <f>IF(BK10="",WORKDAY(BJ10,CN9),WORKDAY(BK10,CN9))</f>
        <v>45926</v>
      </c>
      <c r="CO10" s="56"/>
      <c r="CP10" s="10">
        <f>WORKDAY(CM10,CP9)</f>
        <v>45933</v>
      </c>
      <c r="CQ10" s="10">
        <f>IF(CO10="",WORKDAY(CN10,CQ9),WORKDAY(CO10,CQ9))</f>
        <v>45933</v>
      </c>
      <c r="CR10" s="56"/>
      <c r="CS10" s="77" t="str">
        <f>IF(CR10="","No Action: Still in Pre-Execution","Execution schedule has been re-baselined w/ FAIR PO Ack ACD. Validate your durations before publishing")</f>
        <v>No Action: Still in Pre-Execution</v>
      </c>
      <c r="CT10" s="10">
        <f>IF(CR10="",WORKDAY(CP10,CT9),WORKDAY(CR10,CT9))</f>
        <v>46101</v>
      </c>
      <c r="CU10" s="10">
        <f>IF(CR10="",WORKDAY(CQ10,CU9),WORKDAY(CR10,CU9))</f>
        <v>46101</v>
      </c>
      <c r="CV10" s="56"/>
      <c r="CW10" s="10">
        <f>WORKDAY(AZ10,CW9)</f>
        <v>45916</v>
      </c>
      <c r="CX10" s="10">
        <f>IF(BB10="",WORKDAY(BA10,CX9),WORKDAY(BB10,CX9))</f>
        <v>45916</v>
      </c>
      <c r="CY10" s="56"/>
      <c r="CZ10" s="10">
        <f>WORKDAY(CW10,CZ9)</f>
        <v>45916</v>
      </c>
      <c r="DA10" s="10">
        <f>IF(CY10="",WORKDAY(CX10,DA9),WORKDAY(CY10,DA9))</f>
        <v>45916</v>
      </c>
      <c r="DB10" s="56"/>
      <c r="DC10" s="45"/>
      <c r="DD10" s="45"/>
      <c r="DE10" s="45"/>
      <c r="DF10" s="10">
        <f>IF($CT10&gt;$CZ10,WORKDAY($CT10,DF9),WORKDAY($CZ10,DF9))</f>
        <v>46129</v>
      </c>
      <c r="DG10" s="10">
        <f>IF($CV10="",IF($CU10&gt;$DA10,WORKDAY($CU10,DG9),WORKDAY($DA10,DG9)),IF($CV10&gt;$DB10,WORKDAY($CV10,DG9),WORKDAY($DB10,DG9)))</f>
        <v>46129</v>
      </c>
      <c r="DH10" s="56"/>
      <c r="DI10" s="46"/>
      <c r="DJ10" s="10">
        <f>WORKDAY(DF10,DJ9*$DI9)</f>
        <v>46157</v>
      </c>
      <c r="DK10" s="10">
        <f>IF(DH10="",WORKDAY(DG10,DK9*$DI9),WORKDAY(DH10,DK9*$DI9))</f>
        <v>46157</v>
      </c>
      <c r="DL10" s="56"/>
      <c r="DM10" s="46"/>
      <c r="DN10" s="46"/>
      <c r="DO10" s="46"/>
      <c r="DP10" s="46"/>
      <c r="DQ10" s="46"/>
      <c r="DR10" s="46"/>
      <c r="DS10" s="46"/>
      <c r="DT10" s="46"/>
      <c r="DU10" s="46"/>
      <c r="DV10" s="46"/>
      <c r="DW10" s="46"/>
      <c r="DX10" s="46"/>
      <c r="DY10" s="46"/>
      <c r="DZ10" s="46"/>
      <c r="EA10" s="46"/>
      <c r="EB10" s="46"/>
      <c r="EC10" s="46"/>
      <c r="ED10" s="46"/>
      <c r="EE10" s="10">
        <f>WORKDAY(DJ10,EE9)</f>
        <v>46157</v>
      </c>
      <c r="EF10" s="10">
        <f>IF(DL10="",WORKDAY(DK10,EF9),WORKDAY(DL10,EF9))</f>
        <v>46157</v>
      </c>
      <c r="EG10" s="56"/>
      <c r="EH10" s="10">
        <f>IF(CR10="",WORKDAY(BF10,EH9),WORKDAY(BH10,EH9))</f>
        <v>45958</v>
      </c>
      <c r="EI10" s="10">
        <f>IF(BH10="",WORKDAY(BG10,EI9),WORKDAY(BH10,EI9))</f>
        <v>45958</v>
      </c>
      <c r="EJ10" s="56"/>
      <c r="EK10" s="27"/>
      <c r="EL10" s="27"/>
      <c r="EM10" s="27"/>
      <c r="EN10" s="27"/>
      <c r="EO10" s="28"/>
      <c r="EP10" s="28"/>
      <c r="EQ10" s="28"/>
      <c r="ER10" s="28"/>
      <c r="ES10" s="28"/>
      <c r="ET10" s="28"/>
      <c r="EU10" s="28"/>
      <c r="EV10" s="28"/>
      <c r="EW10" s="28"/>
      <c r="EX10" s="28"/>
      <c r="EY10" s="28"/>
      <c r="EZ10" s="10">
        <f>WORKDAY(EE10,EZ9)</f>
        <v>46164</v>
      </c>
      <c r="FA10" s="10">
        <f>IF(EG10="",WORKDAY(EF10,FA9),WORKDAY(EG10,FA9))</f>
        <v>46164</v>
      </c>
      <c r="FB10" s="56"/>
      <c r="FC10" s="28"/>
      <c r="FD10" s="28"/>
      <c r="FE10" s="28"/>
      <c r="FF10" s="28"/>
      <c r="FG10" s="28"/>
      <c r="FH10" s="28"/>
      <c r="FI10" s="10">
        <f>WORKDAY(EZ10,FI9)</f>
        <v>46185</v>
      </c>
      <c r="FJ10" s="10">
        <f>IF(FB10="",WORKDAY(FA10,FJ9),WORKDAY(FB10,FJ9))</f>
        <v>46185</v>
      </c>
      <c r="FK10" s="56"/>
      <c r="FL10" s="10">
        <f>WORKDAY(FI10,FL9)</f>
        <v>46185</v>
      </c>
      <c r="FM10" s="10">
        <f>IF(FK10="",WORKDAY(FJ10,FM9),WORKDAY(FK10,FM9))</f>
        <v>46185</v>
      </c>
      <c r="FN10" s="56"/>
      <c r="FO10" s="10">
        <f>WORKDAY(FL10,FO9)</f>
        <v>46241</v>
      </c>
      <c r="FP10" s="10">
        <f>WORKDAY(FM10,FP9)</f>
        <v>46241</v>
      </c>
      <c r="FQ10" s="56"/>
      <c r="FR10" s="77" t="str">
        <f>IF(NETWORKDAYS(FJ10,FO10)&gt;=30,"On-Track",IF(AND(NETWORKDAYS(FJ10,FO10)&lt;30,FJ10&lt;=FO10),"At Risk","Missed TCD"))</f>
        <v>On-Track</v>
      </c>
      <c r="FS10" s="110"/>
      <c r="FT10" s="57">
        <f>NETWORKDAYS(CP10,FI10)</f>
        <v>181</v>
      </c>
      <c r="FU10" s="57">
        <f>NETWORKDAYS(CQ10,FJ10)</f>
        <v>181</v>
      </c>
      <c r="FV10" s="57">
        <f>IF(BH10="",NETWORKDAYS(BG10,FJ10),IF(FK10="",NETWORKDAYS(BH10,FJ10),NETWORKDAYS(BH10,FK10)))</f>
        <v>194</v>
      </c>
      <c r="FW10" s="58" t="s">
        <v>467</v>
      </c>
    </row>
    <row r="11" spans="1:311" outlineLevel="1" x14ac:dyDescent="0.35">
      <c r="A11" s="23"/>
      <c r="B11" s="23"/>
      <c r="C11" s="24"/>
      <c r="D11" s="95"/>
      <c r="E11" s="24"/>
      <c r="F11" s="25" t="s">
        <v>463</v>
      </c>
      <c r="G11" s="26"/>
      <c r="H11" s="26"/>
      <c r="I11" s="27"/>
      <c r="J11" s="27"/>
      <c r="K11" s="27"/>
      <c r="L11" s="27"/>
      <c r="M11" s="4">
        <v>5</v>
      </c>
      <c r="N11" s="4">
        <v>5</v>
      </c>
      <c r="O11" s="27"/>
      <c r="P11" s="4">
        <v>10</v>
      </c>
      <c r="Q11" s="4">
        <v>10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4">
        <v>10</v>
      </c>
      <c r="CK11" s="4">
        <v>10</v>
      </c>
      <c r="CL11" s="27"/>
      <c r="CM11" s="4">
        <v>3</v>
      </c>
      <c r="CN11" s="4">
        <v>3</v>
      </c>
      <c r="CO11" s="27"/>
      <c r="CP11" s="4">
        <v>5</v>
      </c>
      <c r="CQ11" s="4">
        <v>5</v>
      </c>
      <c r="CR11" s="27"/>
      <c r="CS11" s="27"/>
      <c r="CT11" s="5">
        <v>120</v>
      </c>
      <c r="CU11" s="5">
        <v>120</v>
      </c>
      <c r="CV11" s="27"/>
      <c r="CW11" s="5">
        <v>10</v>
      </c>
      <c r="CX11" s="5">
        <v>10</v>
      </c>
      <c r="CY11" s="27"/>
      <c r="CZ11" s="5">
        <v>60</v>
      </c>
      <c r="DA11" s="5">
        <v>60</v>
      </c>
      <c r="DB11" s="27"/>
      <c r="DC11" s="5">
        <v>30</v>
      </c>
      <c r="DD11" s="5">
        <v>30</v>
      </c>
      <c r="DE11" s="27"/>
      <c r="DF11" s="4">
        <v>20</v>
      </c>
      <c r="DG11" s="4">
        <v>20</v>
      </c>
      <c r="DH11" s="27"/>
      <c r="DI11" s="89">
        <v>1</v>
      </c>
      <c r="DJ11" s="4">
        <v>20</v>
      </c>
      <c r="DK11" s="4">
        <v>20</v>
      </c>
      <c r="DL11" s="27"/>
      <c r="DM11" s="4">
        <v>5</v>
      </c>
      <c r="DN11" s="4">
        <v>5</v>
      </c>
      <c r="DO11" s="27"/>
      <c r="DP11" s="4">
        <v>3</v>
      </c>
      <c r="DQ11" s="4">
        <v>3</v>
      </c>
      <c r="DR11" s="27"/>
      <c r="DS11" s="89">
        <v>1</v>
      </c>
      <c r="DT11" s="4">
        <v>60</v>
      </c>
      <c r="DU11" s="4">
        <v>60</v>
      </c>
      <c r="DV11" s="27"/>
      <c r="DW11" s="46"/>
      <c r="DX11" s="46"/>
      <c r="DY11" s="46"/>
      <c r="DZ11" s="46"/>
      <c r="EA11" s="89">
        <v>1</v>
      </c>
      <c r="EB11" s="4">
        <v>60</v>
      </c>
      <c r="EC11" s="4">
        <v>60</v>
      </c>
      <c r="ED11" s="27"/>
      <c r="EE11" s="4">
        <v>30</v>
      </c>
      <c r="EF11" s="4">
        <v>30</v>
      </c>
      <c r="EG11" s="27"/>
      <c r="EH11" s="4">
        <v>60</v>
      </c>
      <c r="EI11" s="4">
        <v>60</v>
      </c>
      <c r="EJ11" s="27"/>
      <c r="EK11" s="27"/>
      <c r="EL11" s="27"/>
      <c r="EM11" s="27"/>
      <c r="EN11" s="4">
        <v>60</v>
      </c>
      <c r="EO11" s="4">
        <v>60</v>
      </c>
      <c r="EP11" s="27"/>
      <c r="EQ11" s="4">
        <v>60</v>
      </c>
      <c r="ER11" s="4">
        <v>60</v>
      </c>
      <c r="ES11" s="27"/>
      <c r="ET11" s="4">
        <v>60</v>
      </c>
      <c r="EU11" s="4">
        <v>60</v>
      </c>
      <c r="EV11" s="27"/>
      <c r="EW11" s="4">
        <v>5</v>
      </c>
      <c r="EX11" s="4">
        <v>5</v>
      </c>
      <c r="EY11" s="27"/>
      <c r="EZ11" s="4">
        <v>5</v>
      </c>
      <c r="FA11" s="4">
        <v>5</v>
      </c>
      <c r="FB11" s="27"/>
      <c r="FC11" s="27"/>
      <c r="FD11" s="27"/>
      <c r="FE11" s="27"/>
      <c r="FF11" s="27"/>
      <c r="FG11" s="27"/>
      <c r="FH11" s="27"/>
      <c r="FI11" s="4">
        <v>15</v>
      </c>
      <c r="FJ11" s="4">
        <v>15</v>
      </c>
      <c r="FK11" s="27"/>
      <c r="FL11" s="4">
        <v>0</v>
      </c>
      <c r="FM11" s="4">
        <v>0</v>
      </c>
      <c r="FN11" s="27"/>
      <c r="FO11" s="4">
        <v>40</v>
      </c>
      <c r="FP11" s="4">
        <v>40</v>
      </c>
      <c r="FQ11" s="27"/>
      <c r="FR11" s="27"/>
      <c r="FS11" s="109"/>
      <c r="FT11" s="54">
        <f t="shared" ref="FT11" si="0">NETWORKDAYS($I12,FO12)</f>
        <v>646</v>
      </c>
      <c r="FU11" s="54">
        <f t="shared" ref="FU11" si="1">NETWORKDAYS($I12,FP12)</f>
        <v>646</v>
      </c>
      <c r="FV11" s="54">
        <f t="shared" ref="FV11" si="2">IF(FQ12="",NETWORKDAYS($I12,FP12),NETWORKDAYS($I12,FQ12))</f>
        <v>646</v>
      </c>
      <c r="FW11" s="55" t="s">
        <v>464</v>
      </c>
    </row>
    <row r="12" spans="1:311" x14ac:dyDescent="0.35">
      <c r="A12" s="23" t="s">
        <v>465</v>
      </c>
      <c r="B12" s="23">
        <v>100001</v>
      </c>
      <c r="C12" s="23">
        <v>222</v>
      </c>
      <c r="D12" s="65"/>
      <c r="E12" s="23" t="str">
        <f>IF(D12="","Unknown",IF(D12&lt;=FM12+90,"Red",IF(AND(D12&gt;FM12+90,D12&lt;=FM12+180),"Yellow",IF(AND(D12&gt;FM12+180,D12&lt;=FM12+690),"Green","Covered"))))</f>
        <v>Unknown</v>
      </c>
      <c r="F12" s="25" t="s">
        <v>468</v>
      </c>
      <c r="G12" s="26"/>
      <c r="H12" s="26" t="str">
        <f>IF(CR12="","Pre-Execution","Execution")</f>
        <v>Pre-Execution</v>
      </c>
      <c r="I12" s="13">
        <v>45717</v>
      </c>
      <c r="J12" s="28"/>
      <c r="K12" s="28"/>
      <c r="L12" s="28"/>
      <c r="M12" s="10">
        <f>WORKDAY(I12,M11)</f>
        <v>45723</v>
      </c>
      <c r="N12" s="10">
        <f>WORKDAY(I12,N11)</f>
        <v>45723</v>
      </c>
      <c r="O12" s="56"/>
      <c r="P12" s="10">
        <f>WORKDAY(M12,P11)</f>
        <v>45737</v>
      </c>
      <c r="Q12" s="10">
        <f>IF(O12="",WORKDAY(N12,Q11),WORKDAY(O12,Q11))</f>
        <v>45737</v>
      </c>
      <c r="R12" s="56"/>
      <c r="S12" s="28"/>
      <c r="T12" s="28"/>
      <c r="U12" s="28"/>
      <c r="V12" s="10">
        <f>WORKDAY(P12, V11)</f>
        <v>45779</v>
      </c>
      <c r="W12" s="10">
        <f>IF(R12="",WORKDAY(Q12,W11),WORKDAY(R12,W11))</f>
        <v>45779</v>
      </c>
      <c r="X12" s="56"/>
      <c r="Y12" s="10">
        <f>WORKDAY(P12,Y11)</f>
        <v>45835</v>
      </c>
      <c r="Z12" s="10">
        <f>IF(R12="",WORKDAY(Q12,Z11),WORKDAY(R12,Z11))</f>
        <v>45835</v>
      </c>
      <c r="AA12" s="56"/>
      <c r="AB12" s="10">
        <f>WORKDAY(I12,AB11)</f>
        <v>45717</v>
      </c>
      <c r="AC12" s="10">
        <f>WORKDAY(I12,AC11)</f>
        <v>45717</v>
      </c>
      <c r="AD12" s="56"/>
      <c r="AE12" s="10">
        <f>WORKDAY(AB12,AE11)</f>
        <v>45821</v>
      </c>
      <c r="AF12" s="10">
        <f>IF(AD12="",WORKDAY(AC12,AF11),WORKDAY(AD12,AF11))</f>
        <v>45821</v>
      </c>
      <c r="AG12" s="56"/>
      <c r="AH12" s="10">
        <f>WORKDAY(IF(Y12&gt;AE12,Y12,AE12),AH11)</f>
        <v>45842</v>
      </c>
      <c r="AI12" s="10">
        <f>WORKDAY(IF(AA12="",IF(Z12&gt;AF12,Z12,AF12),IF(AA12&gt;AG12,AA12,AG12)),AI11)</f>
        <v>45842</v>
      </c>
      <c r="AJ12" s="56"/>
      <c r="AK12" s="10">
        <f>WORKDAY(AH12,AK11)</f>
        <v>45870</v>
      </c>
      <c r="AL12" s="10">
        <f>IF(AJ12="",WORKDAY(AI12,AL11),WORKDAY(AJ12,AL11))</f>
        <v>45870</v>
      </c>
      <c r="AM12" s="56"/>
      <c r="AN12" s="10">
        <f>WORKDAY(AK12,AN11)</f>
        <v>45870</v>
      </c>
      <c r="AO12" s="10">
        <f>IF(AM12="",WORKDAY(AL12,AO11),WORKDAY(AM12,AO11))</f>
        <v>45870</v>
      </c>
      <c r="AP12" s="56"/>
      <c r="AQ12" s="10">
        <f>WORKDAY(AN12,AQ11)</f>
        <v>45898</v>
      </c>
      <c r="AR12" s="10">
        <f>IF(AP12="",WORKDAY(AO12,AR11),WORKDAY(AP12,AR11))</f>
        <v>45898</v>
      </c>
      <c r="AS12" s="56"/>
      <c r="AT12" s="10">
        <f>WORKDAY(AN12,AT11)</f>
        <v>45877</v>
      </c>
      <c r="AU12" s="10">
        <f>IF(O12="",WORKDAY(AO12,AU11),WORKDAY(AP12,AU11))</f>
        <v>45877</v>
      </c>
      <c r="AV12" s="56"/>
      <c r="AW12" s="10">
        <f>IF(AQ12&gt;AT12,WORKDAY(AQ12,AW11),WORKDAY(AT12,AW11))</f>
        <v>45912</v>
      </c>
      <c r="AX12" s="10">
        <f>IF(AS12="",IF(AR12&gt;AU12,WORKDAY(AR12,AX11),WORKDAY(AU12,AX11)),IF(AS12&gt;AV12,WORKDAY(AS12,AX11),WORKDAY(AV12,AX11)))</f>
        <v>45912</v>
      </c>
      <c r="AY12" s="56"/>
      <c r="AZ12" s="10">
        <f>WORKDAY(AN12,AZ11)</f>
        <v>45912</v>
      </c>
      <c r="BA12" s="10">
        <f>IF(AP12="",WORKDAY(AO12,BA11),WORKDAY(AP12,BA11))</f>
        <v>45912</v>
      </c>
      <c r="BB12" s="56"/>
      <c r="BC12" s="10">
        <f>IF(AW12&gt;AZ12,WORKDAY(AW12,BC11),WORKDAY(AZ12,BC11))</f>
        <v>45919</v>
      </c>
      <c r="BD12" s="10">
        <f>IF(AY12="",IF(AX12&gt;BA12,WORKDAY(AX12,BD11),WORKDAY(BA12,BD11)),IF(AY12&gt;BB12,WORKDAY(AY12,BD11),WORKDAY(BB12,BD11)))</f>
        <v>45919</v>
      </c>
      <c r="BE12" s="56"/>
      <c r="BF12" s="10">
        <f>WORKDAY(BC12,BF11)</f>
        <v>45926</v>
      </c>
      <c r="BG12" s="10">
        <f>IF(BE12="",WORKDAY(BD12,BG11),WORKDAY(BE12,BG11))</f>
        <v>45926</v>
      </c>
      <c r="BH12" s="56"/>
      <c r="BI12" s="10">
        <f>WORKDAY(BF12,BI11)</f>
        <v>45933</v>
      </c>
      <c r="BJ12" s="10">
        <f>IF(BH12="",WORKDAY(BG12,BJ11),WORKDAY(BH12,BJ11))</f>
        <v>45933</v>
      </c>
      <c r="BK12" s="56"/>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10">
        <f>WORKDAY(BI12,CJ11)</f>
        <v>45947</v>
      </c>
      <c r="CK12" s="10">
        <f>IF(BK12="",WORKDAY(BJ12,CK11),WORKDAY(BK12,CK11))</f>
        <v>45947</v>
      </c>
      <c r="CL12" s="56"/>
      <c r="CM12" s="10">
        <f>WORKDAY(CJ12,CM11)</f>
        <v>45952</v>
      </c>
      <c r="CN12" s="10">
        <f>IF(CL12="",WORKDAY(CK12,CN11),WORKDAY(CL12,CN11))</f>
        <v>45952</v>
      </c>
      <c r="CO12" s="56"/>
      <c r="CP12" s="10">
        <f>WORKDAY(CM12,CP11)</f>
        <v>45959</v>
      </c>
      <c r="CQ12" s="10">
        <f>IF(CO12="",WORKDAY(CN12,CQ11),WORKDAY(CO12,CQ11))</f>
        <v>45959</v>
      </c>
      <c r="CR12" s="56"/>
      <c r="CS12" s="77" t="str">
        <f>IF(CR12="","No Action: Still in Pre-Execution","Execution schedule has been re-baselined w/ FAIR PO Ack ACD. Validate your durations before publishing")</f>
        <v>No Action: Still in Pre-Execution</v>
      </c>
      <c r="CT12" s="10">
        <f>IF(CR12="",WORKDAY(CP12,CT11),WORKDAY(CR12,CT11))</f>
        <v>46127</v>
      </c>
      <c r="CU12" s="10">
        <f>IF(CR12="",WORKDAY(CQ12,CU11),WORKDAY(CR12,CU11))</f>
        <v>46127</v>
      </c>
      <c r="CV12" s="56"/>
      <c r="CW12" s="10">
        <f>WORKDAY(AZ12,CW11)</f>
        <v>45926</v>
      </c>
      <c r="CX12" s="10">
        <f>IF(BB12="",WORKDAY(BA12,CX11),WORKDAY(BB12,CX11))</f>
        <v>45926</v>
      </c>
      <c r="CY12" s="56"/>
      <c r="CZ12" s="10">
        <f>WORKDAY(CW12,CZ11)</f>
        <v>46010</v>
      </c>
      <c r="DA12" s="10">
        <f>IF(CY12="",WORKDAY(CX12,DA11),WORKDAY(CY12,DA11))</f>
        <v>46010</v>
      </c>
      <c r="DB12" s="56"/>
      <c r="DC12" s="10">
        <f>IF($CU12&gt;$DA12,WORKDAY($CU12,DC11),WORKDAY($DA12,DC11))</f>
        <v>46169</v>
      </c>
      <c r="DD12" s="10">
        <f>IF(CV12="",IF($CU12&gt;$DA12,WORKDAY($CU12,DD11),WORKDAY($DA12,DD11)),IF($CV12&gt;$DB12,WORKDAY($CV12,DD11),WORKDAY($DB12,DD11)))</f>
        <v>46169</v>
      </c>
      <c r="DE12" s="56"/>
      <c r="DF12" s="10">
        <f>WORKDAY(DC12,DF11)</f>
        <v>46197</v>
      </c>
      <c r="DG12" s="10">
        <f>IF(DE12="",WORKDAY(DD12,DG11),WORKDAY(DE12,DG11))</f>
        <v>46197</v>
      </c>
      <c r="DH12" s="56"/>
      <c r="DI12" s="46"/>
      <c r="DJ12" s="10">
        <f>WORKDAY(DF12,DJ11*$DI11)</f>
        <v>46225</v>
      </c>
      <c r="DK12" s="10">
        <f>IF(DH12="",WORKDAY(DG12,DK11*$DI11),WORKDAY(DH12,DK11*$DI11))</f>
        <v>46225</v>
      </c>
      <c r="DL12" s="56"/>
      <c r="DM12" s="10">
        <f>WORKDAY(DJ12,DM11)</f>
        <v>46232</v>
      </c>
      <c r="DN12" s="10">
        <f>IF(DL12="",WORKDAY(DK12,DN11),WORKDAY(DL12,DN11))</f>
        <v>46232</v>
      </c>
      <c r="DO12" s="56"/>
      <c r="DP12" s="10">
        <f>WORKDAY(DM12,DP11)</f>
        <v>46237</v>
      </c>
      <c r="DQ12" s="10">
        <f>IF(DO12="",WORKDAY(DN12,DQ11),WORKDAY(DO12,DQ11))</f>
        <v>46237</v>
      </c>
      <c r="DR12" s="56"/>
      <c r="DS12" s="46"/>
      <c r="DT12" s="10">
        <f>WORKDAY(DP12,DT11*$DS11)</f>
        <v>46321</v>
      </c>
      <c r="DU12" s="10">
        <f>IF(DR12="",WORKDAY(DQ12,DU11*$DS11),WORKDAY(DR12,DU11*$DS11))</f>
        <v>46321</v>
      </c>
      <c r="DV12" s="56"/>
      <c r="DW12" s="46"/>
      <c r="DX12" s="46"/>
      <c r="DY12" s="46"/>
      <c r="DZ12" s="46"/>
      <c r="EA12" s="46"/>
      <c r="EB12" s="10">
        <f>WORKDAY(DT12,EB11*$EA11)</f>
        <v>46405</v>
      </c>
      <c r="EC12" s="10">
        <f>IF(DV12="",WORKDAY(DU12,EC11*$EA11),WORKDAY(DV12,EC11*$EA11))</f>
        <v>46405</v>
      </c>
      <c r="ED12" s="56"/>
      <c r="EE12" s="10">
        <f>WORKDAY(EB12,EE11)</f>
        <v>46447</v>
      </c>
      <c r="EF12" s="10">
        <f>IF(ED12="",WORKDAY(EC12,EF11),WORKDAY(ED12,EF11))</f>
        <v>46447</v>
      </c>
      <c r="EG12" s="56"/>
      <c r="EH12" s="10">
        <f>IF(CR12="",WORKDAY(BF12,EH11),WORKDAY(BH12,EH11))</f>
        <v>46010</v>
      </c>
      <c r="EI12" s="10">
        <f>IF(BH12="",WORKDAY(BG12,EI11),WORKDAY(BH12,EI11))</f>
        <v>46010</v>
      </c>
      <c r="EJ12" s="56"/>
      <c r="EK12" s="27"/>
      <c r="EL12" s="27"/>
      <c r="EM12" s="27"/>
      <c r="EN12" s="10">
        <f>WORKDAY(EE12,EN11)</f>
        <v>46531</v>
      </c>
      <c r="EO12" s="10">
        <f>IF(EG12="",WORKDAY(EF12,EO11),WORKDAY(EG12,EO11))</f>
        <v>46531</v>
      </c>
      <c r="EP12" s="56"/>
      <c r="EQ12" s="10">
        <f>WORKDAY(EE12,EQ11)</f>
        <v>46531</v>
      </c>
      <c r="ER12" s="10">
        <f>IF(EG12="",WORKDAY(EF12,ER11),WORKDAY(EG12,ER11))</f>
        <v>46531</v>
      </c>
      <c r="ES12" s="56"/>
      <c r="ET12" s="10">
        <f>WORKDAY(EE12,ET11)</f>
        <v>46531</v>
      </c>
      <c r="EU12" s="10">
        <f>IF(EG12="",WORKDAY(EF12,EU11),WORKDAY(EG12,EU11))</f>
        <v>46531</v>
      </c>
      <c r="EV12" s="56"/>
      <c r="EW12" s="10">
        <f>WORKDAY(IF(EN12&gt;EQ12,(IF(EN12&gt;ET12,EN12,ET12)),IF(EQ12&gt;ET12,EQ12,ET12)),EW11)</f>
        <v>46538</v>
      </c>
      <c r="EX12" s="10">
        <f>IF(EP12="",WORKDAY(IF(EO12&gt;ER12,(IF(EO12&gt;EU12,EO12,EU12)),IF(ER12&gt;EU12,ER12,EU12)),EX11),WORKDAY(IF(EP12&gt;ES12,(IF(EP12&gt;EV12,EP12,EV12)),IF(ES12&gt;EV12,ES12,EV12)),EX11))</f>
        <v>46538</v>
      </c>
      <c r="EY12" s="56"/>
      <c r="EZ12" s="10">
        <f>WORKDAY(EW12,EZ11)</f>
        <v>46545</v>
      </c>
      <c r="FA12" s="10">
        <f>IF(EY12="",WORKDAY(EX12,FA11),WORKDAY(EY12,FA11))</f>
        <v>46545</v>
      </c>
      <c r="FB12" s="56"/>
      <c r="FC12" s="28"/>
      <c r="FD12" s="28"/>
      <c r="FE12" s="28"/>
      <c r="FF12" s="28"/>
      <c r="FG12" s="28"/>
      <c r="FH12" s="28"/>
      <c r="FI12" s="10">
        <f>WORKDAY(EZ12,FI11)</f>
        <v>46566</v>
      </c>
      <c r="FJ12" s="10">
        <f>IF(FB12="",WORKDAY(FA12,FJ11),WORKDAY(FB12,FJ11))</f>
        <v>46566</v>
      </c>
      <c r="FK12" s="56"/>
      <c r="FL12" s="10">
        <f>WORKDAY(FI12,FL11)</f>
        <v>46566</v>
      </c>
      <c r="FM12" s="10">
        <f>IF(FK12="",WORKDAY(FJ12,FM11),WORKDAY(FK12,FM11))</f>
        <v>46566</v>
      </c>
      <c r="FN12" s="56"/>
      <c r="FO12" s="10">
        <f>WORKDAY(FL12,FO11)</f>
        <v>46622</v>
      </c>
      <c r="FP12" s="10">
        <f>WORKDAY(FM12,FP11)</f>
        <v>46622</v>
      </c>
      <c r="FQ12" s="56"/>
      <c r="FR12" s="77" t="str">
        <f>IF(NETWORKDAYS(FJ12,FO12)&gt;=30,"On-Track",IF(AND(NETWORKDAYS(FJ12,FO12)&lt;30,FJ12&lt;=FO12),"At Risk","Missed TCD"))</f>
        <v>On-Track</v>
      </c>
      <c r="FS12" s="110"/>
      <c r="FT12" s="57">
        <f t="shared" ref="FT12" si="3">NETWORKDAYS(CP12,FI12)</f>
        <v>434</v>
      </c>
      <c r="FU12" s="57">
        <f t="shared" ref="FU12" si="4">NETWORKDAYS(CQ12,FJ12)</f>
        <v>434</v>
      </c>
      <c r="FV12" s="57">
        <f t="shared" ref="FV12" si="5">IF(BH12="",NETWORKDAYS(BG12,FJ12),IF(FK12="",NETWORKDAYS(BH12,FJ12),NETWORKDAYS(BH12,FK12)))</f>
        <v>457</v>
      </c>
      <c r="FW12" s="58" t="s">
        <v>467</v>
      </c>
    </row>
    <row r="13" spans="1:311" outlineLevel="1" x14ac:dyDescent="0.35">
      <c r="A13" s="23"/>
      <c r="B13" s="23"/>
      <c r="C13" s="24"/>
      <c r="D13" s="95"/>
      <c r="E13" s="24"/>
      <c r="F13" s="25" t="s">
        <v>463</v>
      </c>
      <c r="G13" s="26"/>
      <c r="H13" s="26"/>
      <c r="I13" s="27"/>
      <c r="J13" s="4">
        <v>45</v>
      </c>
      <c r="K13" s="4">
        <v>45</v>
      </c>
      <c r="L13" s="27"/>
      <c r="M13" s="4">
        <v>0</v>
      </c>
      <c r="N13" s="4">
        <v>0</v>
      </c>
      <c r="O13" s="27"/>
      <c r="P13" s="4">
        <v>31</v>
      </c>
      <c r="Q13" s="4">
        <v>31</v>
      </c>
      <c r="R13" s="27"/>
      <c r="S13" s="4">
        <v>30</v>
      </c>
      <c r="T13" s="4">
        <v>30</v>
      </c>
      <c r="U13" s="27"/>
      <c r="V13" s="29"/>
      <c r="W13" s="29"/>
      <c r="X13" s="29"/>
      <c r="Y13" s="4">
        <v>50</v>
      </c>
      <c r="Z13" s="4">
        <v>50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0</v>
      </c>
      <c r="BA13" s="4">
        <v>0</v>
      </c>
      <c r="BB13" s="27"/>
      <c r="BC13" s="4">
        <v>5</v>
      </c>
      <c r="BD13" s="4">
        <v>5</v>
      </c>
      <c r="BE13" s="27"/>
      <c r="BF13" s="4">
        <v>5</v>
      </c>
      <c r="BG13" s="4">
        <v>5</v>
      </c>
      <c r="BH13" s="27"/>
      <c r="BI13" s="4">
        <v>5</v>
      </c>
      <c r="BJ13" s="4">
        <v>5</v>
      </c>
      <c r="BK13" s="27"/>
      <c r="BL13" s="4">
        <v>5</v>
      </c>
      <c r="BM13" s="4">
        <v>5</v>
      </c>
      <c r="BN13" s="27"/>
      <c r="BO13" s="4">
        <v>5</v>
      </c>
      <c r="BP13" s="4">
        <v>5</v>
      </c>
      <c r="BQ13" s="27"/>
      <c r="BR13" s="4">
        <v>5</v>
      </c>
      <c r="BS13" s="4">
        <v>5</v>
      </c>
      <c r="BT13" s="27"/>
      <c r="BU13" s="4">
        <v>5</v>
      </c>
      <c r="BV13" s="4">
        <v>5</v>
      </c>
      <c r="BW13" s="27"/>
      <c r="BX13" s="4">
        <v>5</v>
      </c>
      <c r="BY13" s="4">
        <v>5</v>
      </c>
      <c r="BZ13" s="27"/>
      <c r="CA13" s="4">
        <v>5</v>
      </c>
      <c r="CB13" s="4">
        <v>5</v>
      </c>
      <c r="CC13" s="27"/>
      <c r="CD13" s="4">
        <v>15</v>
      </c>
      <c r="CE13" s="4">
        <v>15</v>
      </c>
      <c r="CF13" s="27"/>
      <c r="CG13" s="4">
        <v>15</v>
      </c>
      <c r="CH13" s="4">
        <v>15</v>
      </c>
      <c r="CI13" s="27"/>
      <c r="CJ13" s="4">
        <v>10</v>
      </c>
      <c r="CK13" s="4">
        <v>10</v>
      </c>
      <c r="CL13" s="27"/>
      <c r="CM13" s="4">
        <v>3</v>
      </c>
      <c r="CN13" s="4">
        <v>3</v>
      </c>
      <c r="CO13" s="27"/>
      <c r="CP13" s="4">
        <v>5</v>
      </c>
      <c r="CQ13" s="4">
        <v>5</v>
      </c>
      <c r="CR13" s="27"/>
      <c r="CS13" s="27"/>
      <c r="CT13" s="5">
        <v>120</v>
      </c>
      <c r="CU13" s="5">
        <v>120</v>
      </c>
      <c r="CV13" s="27"/>
      <c r="CW13" s="5">
        <v>0</v>
      </c>
      <c r="CX13" s="5">
        <v>0</v>
      </c>
      <c r="CY13" s="27"/>
      <c r="CZ13" s="5">
        <v>0</v>
      </c>
      <c r="DA13" s="5">
        <v>0</v>
      </c>
      <c r="DB13" s="27"/>
      <c r="DC13" s="31"/>
      <c r="DD13" s="31"/>
      <c r="DE13" s="27"/>
      <c r="DF13" s="4">
        <v>120</v>
      </c>
      <c r="DG13" s="4">
        <v>120</v>
      </c>
      <c r="DH13" s="27"/>
      <c r="DI13" s="89">
        <v>1</v>
      </c>
      <c r="DJ13" s="4">
        <v>20</v>
      </c>
      <c r="DK13" s="4">
        <v>20</v>
      </c>
      <c r="DL13" s="27"/>
      <c r="DM13" s="4">
        <v>5</v>
      </c>
      <c r="DN13" s="4">
        <v>5</v>
      </c>
      <c r="DO13" s="27"/>
      <c r="DP13" s="4">
        <v>3</v>
      </c>
      <c r="DQ13" s="4">
        <v>3</v>
      </c>
      <c r="DR13" s="27"/>
      <c r="DS13" s="89">
        <v>1</v>
      </c>
      <c r="DT13" s="4">
        <v>60</v>
      </c>
      <c r="DU13" s="4">
        <v>60</v>
      </c>
      <c r="DV13" s="27"/>
      <c r="DW13" s="46"/>
      <c r="DX13" s="46"/>
      <c r="DY13" s="46"/>
      <c r="DZ13" s="46"/>
      <c r="EA13" s="89">
        <v>1</v>
      </c>
      <c r="EB13" s="4">
        <v>60</v>
      </c>
      <c r="EC13" s="4">
        <v>60</v>
      </c>
      <c r="ED13" s="27"/>
      <c r="EE13" s="4">
        <v>30</v>
      </c>
      <c r="EF13" s="4">
        <v>30</v>
      </c>
      <c r="EG13" s="27"/>
      <c r="EH13" s="4">
        <v>120</v>
      </c>
      <c r="EI13" s="4">
        <v>120</v>
      </c>
      <c r="EJ13" s="27"/>
      <c r="EK13" s="4">
        <v>3</v>
      </c>
      <c r="EL13" s="4">
        <v>3</v>
      </c>
      <c r="EM13" s="27"/>
      <c r="EN13" s="4">
        <v>60</v>
      </c>
      <c r="EO13" s="4">
        <v>60</v>
      </c>
      <c r="EP13" s="27"/>
      <c r="EQ13" s="4">
        <v>60</v>
      </c>
      <c r="ER13" s="4">
        <v>60</v>
      </c>
      <c r="ES13" s="27"/>
      <c r="ET13" s="4">
        <v>60</v>
      </c>
      <c r="EU13" s="4">
        <v>60</v>
      </c>
      <c r="EV13" s="27"/>
      <c r="EW13" s="4">
        <v>5</v>
      </c>
      <c r="EX13" s="4">
        <v>5</v>
      </c>
      <c r="EY13" s="27"/>
      <c r="EZ13" s="4">
        <v>5</v>
      </c>
      <c r="FA13" s="4">
        <v>5</v>
      </c>
      <c r="FB13" s="27"/>
      <c r="FC13" s="4">
        <v>20</v>
      </c>
      <c r="FD13" s="4">
        <v>20</v>
      </c>
      <c r="FE13" s="27"/>
      <c r="FF13" s="4">
        <v>5</v>
      </c>
      <c r="FG13" s="4">
        <v>5</v>
      </c>
      <c r="FH13" s="27"/>
      <c r="FI13" s="4">
        <v>5</v>
      </c>
      <c r="FJ13" s="4">
        <v>5</v>
      </c>
      <c r="FK13" s="27"/>
      <c r="FL13" s="4">
        <v>0</v>
      </c>
      <c r="FM13" s="4">
        <v>0</v>
      </c>
      <c r="FN13" s="27"/>
      <c r="FO13" s="4">
        <v>40</v>
      </c>
      <c r="FP13" s="4">
        <v>40</v>
      </c>
      <c r="FQ13" s="27"/>
      <c r="FR13" s="27"/>
      <c r="FS13" s="109"/>
      <c r="FT13" s="54">
        <f t="shared" ref="FT13" si="6">NETWORKDAYS($I14,FO14)</f>
        <v>812</v>
      </c>
      <c r="FU13" s="54">
        <f t="shared" ref="FU13" si="7">NETWORKDAYS($I14,FP14)</f>
        <v>812</v>
      </c>
      <c r="FV13" s="54">
        <f t="shared" ref="FV13" si="8">IF(FQ14="",NETWORKDAYS($I14,FP14),NETWORKDAYS($I14,FQ14))</f>
        <v>812</v>
      </c>
      <c r="FW13" s="55" t="s">
        <v>464</v>
      </c>
    </row>
    <row r="14" spans="1:311" x14ac:dyDescent="0.35">
      <c r="A14" s="23" t="s">
        <v>465</v>
      </c>
      <c r="B14" s="23">
        <v>100002</v>
      </c>
      <c r="C14" s="23">
        <v>333</v>
      </c>
      <c r="D14" s="65"/>
      <c r="E14" s="23" t="str">
        <f>IF(D14="","Unknown",IF(D14&lt;=FM14+90,"Red",IF(AND(D14&gt;FM14+90,D14&lt;=FM14+180),"Yellow",IF(AND(D14&gt;FM14+180,D14&lt;=FM14+690),"Green","Covered"))))</f>
        <v>Unknown</v>
      </c>
      <c r="F14" s="25" t="s">
        <v>469</v>
      </c>
      <c r="G14" s="26"/>
      <c r="H14" s="26" t="str">
        <f>IF(CR14="","Pre-Execution","Execution")</f>
        <v>Pre-Execution</v>
      </c>
      <c r="I14" s="13">
        <v>45717</v>
      </c>
      <c r="J14" s="10">
        <f>WORKDAY(I14,J13)</f>
        <v>45779</v>
      </c>
      <c r="K14" s="10">
        <f>WORKDAY(I14,K13)</f>
        <v>45779</v>
      </c>
      <c r="L14" s="56"/>
      <c r="M14" s="10">
        <f>WORKDAY(J14,M13)</f>
        <v>45779</v>
      </c>
      <c r="N14" s="10">
        <f>IF(L14="",WORKDAY(K14,N13),WORKDAY(L14,N13))</f>
        <v>45779</v>
      </c>
      <c r="O14" s="56"/>
      <c r="P14" s="10">
        <f>WORKDAY(M14,P13)</f>
        <v>45824</v>
      </c>
      <c r="Q14" s="10">
        <f>IF(O14="",WORKDAY(N14,Q13),WORKDAY(O14,Q13))</f>
        <v>45824</v>
      </c>
      <c r="R14" s="56"/>
      <c r="S14" s="10">
        <f>WORKDAY(P14, S13)</f>
        <v>45866</v>
      </c>
      <c r="T14" s="10">
        <f>IF(R14="",WORKDAY(Q14,T13),WORKDAY(R14,T13))</f>
        <v>45866</v>
      </c>
      <c r="U14" s="56"/>
      <c r="V14" s="47"/>
      <c r="W14" s="47"/>
      <c r="X14" s="47"/>
      <c r="Y14" s="10">
        <f>WORKDAY(P14,Y13)</f>
        <v>45894</v>
      </c>
      <c r="Z14" s="10">
        <f>IF(R14="",WORKDAY(Q14,Z13),WORKDAY(R14,Z13))</f>
        <v>45894</v>
      </c>
      <c r="AA14" s="56"/>
      <c r="AB14" s="10">
        <f>WORKDAY(I14,AB13)</f>
        <v>45717</v>
      </c>
      <c r="AC14" s="10">
        <f>WORKDAY(I14,AC13)</f>
        <v>45717</v>
      </c>
      <c r="AD14" s="56"/>
      <c r="AE14" s="10">
        <f>WORKDAY(AB14,AE13)</f>
        <v>45821</v>
      </c>
      <c r="AF14" s="10">
        <f>IF(AD14="",WORKDAY(AC14,AF13),WORKDAY(AD14,AF13))</f>
        <v>45821</v>
      </c>
      <c r="AG14" s="56"/>
      <c r="AH14" s="10">
        <f>WORKDAY(IF(S14&gt;Y14,(IF(S14&gt;AE14,S14,AE14)),IF(Y14&gt;AE14,Y14,AE14)),AH13)</f>
        <v>45901</v>
      </c>
      <c r="AI14" s="10">
        <f>IF(U14="",WORKDAY(IF(T14&gt;Z14,(IF(T14&gt;AF14,T14,AF14)),IF(Z14&gt;AF14,Z14,AF14)),AI13),WORKDAY(IF(U14&gt;AA14,(IF(U14&gt;AG14,U14,AG14)),IF(AA14&gt;AG14,AA14,AG14)),AI13))</f>
        <v>45901</v>
      </c>
      <c r="AJ14" s="56"/>
      <c r="AK14" s="10">
        <f>WORKDAY(AH14,AK13)</f>
        <v>45929</v>
      </c>
      <c r="AL14" s="10">
        <f>IF(AJ14="",WORKDAY(AI14,AL13),WORKDAY(AJ14,AL13))</f>
        <v>45929</v>
      </c>
      <c r="AM14" s="56"/>
      <c r="AN14" s="10">
        <f>WORKDAY(AK14,AN13)</f>
        <v>45929</v>
      </c>
      <c r="AO14" s="10">
        <f>IF(AM14="",WORKDAY(AL14,AO13),WORKDAY(AM14,AO13))</f>
        <v>45929</v>
      </c>
      <c r="AP14" s="56"/>
      <c r="AQ14" s="10">
        <f>WORKDAY(AN14,AQ13)</f>
        <v>45957</v>
      </c>
      <c r="AR14" s="10">
        <f>IF(AP14="",WORKDAY(AO14,AR13),WORKDAY(AP14,AR13))</f>
        <v>45957</v>
      </c>
      <c r="AS14" s="56"/>
      <c r="AT14" s="10">
        <f>WORKDAY(AN14,AT13)</f>
        <v>45936</v>
      </c>
      <c r="AU14" s="10">
        <f>IF(O14="",WORKDAY(AO14,AU13),WORKDAY(AP14,AU13))</f>
        <v>45936</v>
      </c>
      <c r="AV14" s="56"/>
      <c r="AW14" s="10">
        <f>IF(AQ14&gt;AT14,WORKDAY(AQ14,AW13),WORKDAY(AT14,AW13))</f>
        <v>45971</v>
      </c>
      <c r="AX14" s="10">
        <f>IF(AS14="",IF(AR14&gt;AU14,WORKDAY(AR14,AX13),WORKDAY(AU14,AX13)),IF(AS14&gt;AV14,WORKDAY(AS14,AX13),WORKDAY(AV14,AX13)))</f>
        <v>45971</v>
      </c>
      <c r="AY14" s="56"/>
      <c r="AZ14" s="10">
        <f>WORKDAY(AN14,AZ13)</f>
        <v>45929</v>
      </c>
      <c r="BA14" s="10">
        <f>IF(AP14="",WORKDAY(AO14,BA13),WORKDAY(AP14,BA13))</f>
        <v>45929</v>
      </c>
      <c r="BB14" s="56"/>
      <c r="BC14" s="10">
        <f>IF(AW14&gt;AZ14,WORKDAY(AW14,BC13),WORKDAY(AZ14,BC13))</f>
        <v>45978</v>
      </c>
      <c r="BD14" s="10">
        <f>IF(AY14="",IF(AX14&gt;BA14,WORKDAY(AX14,BD13),WORKDAY(BA14,BD13)),IF(AY14&gt;BB14,WORKDAY(AY14,BD13),WORKDAY(BB14,BD13)))</f>
        <v>45978</v>
      </c>
      <c r="BE14" s="56"/>
      <c r="BF14" s="10">
        <f>WORKDAY(BC14,BF13)</f>
        <v>45985</v>
      </c>
      <c r="BG14" s="10">
        <f>IF(BE14="",WORKDAY(BD14,BG13),WORKDAY(BE14,BG13))</f>
        <v>45985</v>
      </c>
      <c r="BH14" s="56"/>
      <c r="BI14" s="10">
        <f>WORKDAY(BF14,BI13)</f>
        <v>45992</v>
      </c>
      <c r="BJ14" s="10">
        <f>IF(BH14="",WORKDAY(BG14,BJ13),WORKDAY(BH14,BJ13))</f>
        <v>45992</v>
      </c>
      <c r="BK14" s="56"/>
      <c r="BL14" s="10">
        <f>WORKDAY(BI14,BL13)</f>
        <v>45999</v>
      </c>
      <c r="BM14" s="10">
        <f>IF(BK14="",WORKDAY(BJ14,BM13),WORKDAY(BK14,BM13))</f>
        <v>45999</v>
      </c>
      <c r="BN14" s="56"/>
      <c r="BO14" s="10">
        <f>WORKDAY(BL14,BO13)</f>
        <v>46006</v>
      </c>
      <c r="BP14" s="10">
        <f>IF(BN14="",WORKDAY(BM14,BP13),WORKDAY(BN14,BP13))</f>
        <v>46006</v>
      </c>
      <c r="BQ14" s="56"/>
      <c r="BR14" s="10">
        <f>WORKDAY(BO14,BR13)</f>
        <v>46013</v>
      </c>
      <c r="BS14" s="10">
        <f>IF(BQ14="",WORKDAY(BP14,BS13),WORKDAY(BQ14,BS13))</f>
        <v>46013</v>
      </c>
      <c r="BT14" s="56"/>
      <c r="BU14" s="10">
        <f>WORKDAY(BR14,BU13)</f>
        <v>46020</v>
      </c>
      <c r="BV14" s="10">
        <f>IF(BT14="",WORKDAY(BS14,BV13),WORKDAY(BT14,BV13))</f>
        <v>46020</v>
      </c>
      <c r="BW14" s="56"/>
      <c r="BX14" s="10">
        <f>WORKDAY(BU14,BX13)</f>
        <v>46027</v>
      </c>
      <c r="BY14" s="10">
        <f>IF(BW14="",WORKDAY(BV14,BY13),WORKDAY(BW14,BY13))</f>
        <v>46027</v>
      </c>
      <c r="BZ14" s="56"/>
      <c r="CA14" s="10">
        <f>WORKDAY(BX14,CA13)</f>
        <v>46034</v>
      </c>
      <c r="CB14" s="10">
        <f>IF(BZ14="",WORKDAY(BY14,CB13),WORKDAY(BZ14,CB13))</f>
        <v>46034</v>
      </c>
      <c r="CC14" s="56"/>
      <c r="CD14" s="10">
        <f>WORKDAY(BX14,CD13)</f>
        <v>46048</v>
      </c>
      <c r="CE14" s="10">
        <f>IF(BZ14="",WORKDAY(BY14,CE13),WORKDAY(BZ14,CE13))</f>
        <v>46048</v>
      </c>
      <c r="CF14" s="56"/>
      <c r="CG14" s="10">
        <f>WORKDAY(BX14,CG13)</f>
        <v>46048</v>
      </c>
      <c r="CH14" s="10">
        <f>IF(BZ14="",WORKDAY(BY14,CH13),WORKDAY(BZ14,CH13))</f>
        <v>46048</v>
      </c>
      <c r="CI14" s="56"/>
      <c r="CJ14" s="10">
        <f>WORKDAY(CD14,CJ13)</f>
        <v>46062</v>
      </c>
      <c r="CK14" s="10">
        <f>IF(CF14="",WORKDAY(CE14,CK13),WORKDAY(CF14,CK13))</f>
        <v>46062</v>
      </c>
      <c r="CL14" s="56"/>
      <c r="CM14" s="10">
        <f>WORKDAY(CJ14,CM13)</f>
        <v>46065</v>
      </c>
      <c r="CN14" s="10">
        <f>IF(CL14="",WORKDAY(CK14,CN13),WORKDAY(CL14,CN13))</f>
        <v>46065</v>
      </c>
      <c r="CO14" s="56"/>
      <c r="CP14" s="10">
        <f>WORKDAY(CM14,CP13)</f>
        <v>46072</v>
      </c>
      <c r="CQ14" s="10">
        <f>IF(CO14="",WORKDAY(CN14,CQ13),WORKDAY(CO14,CQ13))</f>
        <v>46072</v>
      </c>
      <c r="CR14" s="56"/>
      <c r="CS14" s="77" t="str">
        <f>IF(CR14="","No Action: Still in Pre-Execution","Execution schedule has been re-baselined w/ FAIR PO Ack ACD. Validate your durations before publishing")</f>
        <v>No Action: Still in Pre-Execution</v>
      </c>
      <c r="CT14" s="10">
        <f>IF(CR14="",WORKDAY(CP14,CT13),WORKDAY(CR14,CT13))</f>
        <v>46240</v>
      </c>
      <c r="CU14" s="10">
        <f>IF(CR14="",WORKDAY(CQ14,CU13),WORKDAY(CR14,CU13))</f>
        <v>46240</v>
      </c>
      <c r="CV14" s="56"/>
      <c r="CW14" s="10">
        <f>WORKDAY(AZ14,CW13)</f>
        <v>45929</v>
      </c>
      <c r="CX14" s="10">
        <f>IF(BB14="",WORKDAY(BA14,CX13),WORKDAY(BB14,CX13))</f>
        <v>45929</v>
      </c>
      <c r="CY14" s="56"/>
      <c r="CZ14" s="10">
        <f>WORKDAY(CW14,CZ13)</f>
        <v>45929</v>
      </c>
      <c r="DA14" s="10">
        <f>IF(CY14="",WORKDAY(CX14,DA13),WORKDAY(CY14,DA13))</f>
        <v>45929</v>
      </c>
      <c r="DB14" s="56"/>
      <c r="DC14" s="45"/>
      <c r="DD14" s="45"/>
      <c r="DE14" s="27"/>
      <c r="DF14" s="10">
        <f>WORKDAY(CT14,DF13)</f>
        <v>46408</v>
      </c>
      <c r="DG14" s="10">
        <f>IF(CV14="",WORKDAY(CU14,DG13),WORKDAY(CV14,DG13))</f>
        <v>46408</v>
      </c>
      <c r="DH14" s="56"/>
      <c r="DI14" s="46"/>
      <c r="DJ14" s="10">
        <f>WORKDAY(DF14,DJ13*DI13)</f>
        <v>46436</v>
      </c>
      <c r="DK14" s="10">
        <f>IF(DH14="",WORKDAY(DG14,DK13*DI13),WORKDAY(DH14,DK13*DI13))</f>
        <v>46436</v>
      </c>
      <c r="DL14" s="56"/>
      <c r="DM14" s="10">
        <f>WORKDAY(DJ14,DM13)</f>
        <v>46443</v>
      </c>
      <c r="DN14" s="10">
        <f>IF(DL14="",WORKDAY(DK14,DN13),WORKDAY(DL14,DN13))</f>
        <v>46443</v>
      </c>
      <c r="DO14" s="56"/>
      <c r="DP14" s="10">
        <f>WORKDAY(DM14,DP13)</f>
        <v>46448</v>
      </c>
      <c r="DQ14" s="10">
        <f>IF(DO14="",WORKDAY(DN14,DQ13),WORKDAY(DO14,DQ13))</f>
        <v>46448</v>
      </c>
      <c r="DR14" s="56"/>
      <c r="DS14" s="46"/>
      <c r="DT14" s="10">
        <f>WORKDAY(DP14,DT13*$DS13)</f>
        <v>46532</v>
      </c>
      <c r="DU14" s="10">
        <f>IF(DR14="",WORKDAY(DQ14,DU13*$DS13),WORKDAY(DR14,DU13*$DS13))</f>
        <v>46532</v>
      </c>
      <c r="DV14" s="56"/>
      <c r="DW14" s="46"/>
      <c r="DX14" s="46"/>
      <c r="DY14" s="46"/>
      <c r="DZ14" s="46"/>
      <c r="EA14" s="46"/>
      <c r="EB14" s="10">
        <f>WORKDAY(DT14,EB13*$EA13)</f>
        <v>46616</v>
      </c>
      <c r="EC14" s="10">
        <f>IF(DV14="",WORKDAY(DU14,EC13*$EA13),WORKDAY(DV14,EC13*$EA13))</f>
        <v>46616</v>
      </c>
      <c r="ED14" s="56"/>
      <c r="EE14" s="10">
        <f>WORKDAY(EB14,EE13)</f>
        <v>46658</v>
      </c>
      <c r="EF14" s="10">
        <f>IF(ED14="",WORKDAY(EC14,EF13),WORKDAY(ED14,EF13))</f>
        <v>46658</v>
      </c>
      <c r="EG14" s="56"/>
      <c r="EH14" s="10">
        <f>IF(CR14="",WORKDAY(BF14,EH13),WORKDAY(BH14,EH13))</f>
        <v>46153</v>
      </c>
      <c r="EI14" s="10">
        <f>IF(BH14="",WORKDAY(BG14,EI13),WORKDAY(BH14,EI13))</f>
        <v>46153</v>
      </c>
      <c r="EJ14" s="56"/>
      <c r="EK14" s="10">
        <f>WORKDAY(EE14,EK13)</f>
        <v>46661</v>
      </c>
      <c r="EL14" s="10">
        <f>IF(EG14="",WORKDAY(EF14,EL13),WORKDAY(EG14,EL13))</f>
        <v>46661</v>
      </c>
      <c r="EM14" s="56"/>
      <c r="EN14" s="10">
        <f>WORKDAY(EE14,EN13)</f>
        <v>46742</v>
      </c>
      <c r="EO14" s="10">
        <f>IF(EG14="",WORKDAY(EF14,EO13),WORKDAY(EG14,EO13))</f>
        <v>46742</v>
      </c>
      <c r="EP14" s="56"/>
      <c r="EQ14" s="10">
        <f>WORKDAY(EE14,EQ13)</f>
        <v>46742</v>
      </c>
      <c r="ER14" s="10">
        <f>IF(EG14="",WORKDAY(EF14,ER13),WORKDAY(EG14,ER13))</f>
        <v>46742</v>
      </c>
      <c r="ES14" s="56"/>
      <c r="ET14" s="10">
        <f>WORKDAY(EE14,ET13)</f>
        <v>46742</v>
      </c>
      <c r="EU14" s="10">
        <f>IF(EG14="",WORKDAY(EF14,EU13),WORKDAY(EG14,EU13))</f>
        <v>46742</v>
      </c>
      <c r="EV14" s="56"/>
      <c r="EW14" s="11">
        <f>WORKDAY(IF(EN14&gt;EQ14,(IF(EN14&gt;ET14,EN14,ET14)),IF(EQ14&gt;ET14,EQ14,ET14)),EW13)</f>
        <v>46749</v>
      </c>
      <c r="EX14" s="11">
        <f>IF(EP14="",WORKDAY(IF(EO14&gt;ER14,(IF(EO14&gt;EU14,EO14,EU14)),IF(ER14&gt;EU14,ER14,EU14)),EX13),WORKDAY(IF(EP14&gt;ES14,(IF(EP14&gt;EV14,EP14,EV14)),IF(ES14&gt;EV14,ES14,EV14)),EX13))</f>
        <v>46749</v>
      </c>
      <c r="EY14" s="56"/>
      <c r="EZ14" s="12">
        <f>WORKDAY(EW14,EZ13)</f>
        <v>46756</v>
      </c>
      <c r="FA14" s="12">
        <f>IF(EY14="",WORKDAY(EX14,FA13),WORKDAY(EY14,FA13))</f>
        <v>46756</v>
      </c>
      <c r="FB14" s="56"/>
      <c r="FC14" s="11">
        <f>WORKDAY(EZ14,FC13)</f>
        <v>46784</v>
      </c>
      <c r="FD14" s="11">
        <f>IF(FB14="",WORKDAY(FA14,FD13),WORKDAY(FB14,FD13))</f>
        <v>46784</v>
      </c>
      <c r="FE14" s="56"/>
      <c r="FF14" s="42">
        <f>WORKDAY(FC14,FF13)</f>
        <v>46791</v>
      </c>
      <c r="FG14" s="42">
        <f>IF(FE14="",WORKDAY(FD14,FG13),WORKDAY(FE14,FG13))</f>
        <v>46791</v>
      </c>
      <c r="FH14" s="59"/>
      <c r="FI14" s="12">
        <f>WORKDAY(FF14,FI13)</f>
        <v>46798</v>
      </c>
      <c r="FJ14" s="12">
        <f>IF(FH14="",WORKDAY(FG14,FJ13),WORKDAY(FH14,FJ13))</f>
        <v>46798</v>
      </c>
      <c r="FK14" s="56"/>
      <c r="FL14" s="10">
        <f>WORKDAY(FI14,FL13)</f>
        <v>46798</v>
      </c>
      <c r="FM14" s="10">
        <f>IF(FK14="",WORKDAY(FJ14,FM13),WORKDAY(FK14,FM13))</f>
        <v>46798</v>
      </c>
      <c r="FN14" s="56"/>
      <c r="FO14" s="10">
        <f>WORKDAY(FL14,FO13)</f>
        <v>46854</v>
      </c>
      <c r="FP14" s="10">
        <f>WORKDAY(FM14,FP13)</f>
        <v>46854</v>
      </c>
      <c r="FQ14" s="56"/>
      <c r="FR14" s="77" t="str">
        <f>IF(NETWORKDAYS(FJ14,FO14)&gt;=30,"On-Track",IF(AND(NETWORKDAYS(FJ14,FO14)&lt;30,FJ14&lt;=FO14),"At Risk","Missed TCD"))</f>
        <v>On-Track</v>
      </c>
      <c r="FS14" s="110"/>
      <c r="FT14" s="57">
        <f t="shared" ref="FT14" si="9">NETWORKDAYS(CP14,FI14)</f>
        <v>519</v>
      </c>
      <c r="FU14" s="57">
        <f t="shared" ref="FU14" si="10">NETWORKDAYS(CQ14,FJ14)</f>
        <v>519</v>
      </c>
      <c r="FV14" s="57">
        <f t="shared" ref="FV14" si="11">IF(BH14="",NETWORKDAYS(BG14,FJ14),IF(FK14="",NETWORKDAYS(BH14,FJ14),NETWORKDAYS(BH14,FK14)))</f>
        <v>582</v>
      </c>
      <c r="FW14" s="58" t="s">
        <v>467</v>
      </c>
    </row>
    <row r="15" spans="1:311" outlineLevel="1" x14ac:dyDescent="0.35">
      <c r="A15" s="23"/>
      <c r="B15" s="23"/>
      <c r="C15" s="24"/>
      <c r="D15" s="95"/>
      <c r="E15" s="24"/>
      <c r="F15" s="25" t="s">
        <v>463</v>
      </c>
      <c r="G15" s="26"/>
      <c r="H15" s="26"/>
      <c r="I15" s="27"/>
      <c r="J15" s="27"/>
      <c r="K15" s="27"/>
      <c r="L15" s="27"/>
      <c r="M15" s="4">
        <v>10</v>
      </c>
      <c r="N15" s="4">
        <v>10</v>
      </c>
      <c r="O15" s="27"/>
      <c r="P15" s="4">
        <v>21</v>
      </c>
      <c r="Q15" s="4">
        <v>21</v>
      </c>
      <c r="R15" s="27"/>
      <c r="S15" s="27"/>
      <c r="T15" s="27"/>
      <c r="U15" s="27"/>
      <c r="V15" s="4">
        <v>30</v>
      </c>
      <c r="W15" s="4">
        <v>30</v>
      </c>
      <c r="X15" s="27"/>
      <c r="Y15" s="4">
        <v>50</v>
      </c>
      <c r="Z15" s="4">
        <v>50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4">
        <v>5</v>
      </c>
      <c r="BP15" s="4">
        <v>5</v>
      </c>
      <c r="BQ15" s="28"/>
      <c r="BR15" s="28"/>
      <c r="BS15" s="28"/>
      <c r="BT15" s="28"/>
      <c r="BU15" s="28"/>
      <c r="BV15" s="28"/>
      <c r="BW15" s="28"/>
      <c r="BX15" s="28"/>
      <c r="BY15" s="28"/>
      <c r="BZ15" s="28"/>
      <c r="CA15" s="28"/>
      <c r="CB15" s="28"/>
      <c r="CC15" s="28"/>
      <c r="CD15" s="28"/>
      <c r="CE15" s="28"/>
      <c r="CF15" s="28"/>
      <c r="CG15" s="28"/>
      <c r="CH15" s="28"/>
      <c r="CI15" s="28"/>
      <c r="CJ15" s="4">
        <v>10</v>
      </c>
      <c r="CK15" s="4">
        <v>10</v>
      </c>
      <c r="CL15" s="27"/>
      <c r="CM15" s="4">
        <v>3</v>
      </c>
      <c r="CN15" s="4">
        <v>3</v>
      </c>
      <c r="CO15" s="27"/>
      <c r="CP15" s="4">
        <v>5</v>
      </c>
      <c r="CQ15" s="4">
        <v>5</v>
      </c>
      <c r="CR15" s="27"/>
      <c r="CS15" s="27"/>
      <c r="CT15" s="5">
        <v>120</v>
      </c>
      <c r="CU15" s="5">
        <v>120</v>
      </c>
      <c r="CV15" s="27"/>
      <c r="CW15" s="5">
        <v>10</v>
      </c>
      <c r="CX15" s="5">
        <v>10</v>
      </c>
      <c r="CY15" s="27"/>
      <c r="CZ15" s="5">
        <v>60</v>
      </c>
      <c r="DA15" s="5">
        <v>60</v>
      </c>
      <c r="DB15" s="27"/>
      <c r="DC15" s="5">
        <v>60</v>
      </c>
      <c r="DD15" s="5">
        <v>60</v>
      </c>
      <c r="DE15" s="27"/>
      <c r="DF15" s="4">
        <v>20</v>
      </c>
      <c r="DG15" s="4">
        <v>20</v>
      </c>
      <c r="DH15" s="27"/>
      <c r="DI15" s="89">
        <v>1</v>
      </c>
      <c r="DJ15" s="4">
        <v>20</v>
      </c>
      <c r="DK15" s="4">
        <v>20</v>
      </c>
      <c r="DL15" s="27"/>
      <c r="DM15" s="4">
        <v>5</v>
      </c>
      <c r="DN15" s="4">
        <v>5</v>
      </c>
      <c r="DO15" s="27"/>
      <c r="DP15" s="4">
        <v>3</v>
      </c>
      <c r="DQ15" s="4">
        <v>3</v>
      </c>
      <c r="DR15" s="27"/>
      <c r="DS15" s="89">
        <v>1</v>
      </c>
      <c r="DT15" s="4">
        <v>60</v>
      </c>
      <c r="DU15" s="4">
        <v>60</v>
      </c>
      <c r="DV15" s="27"/>
      <c r="DW15" s="89">
        <v>1</v>
      </c>
      <c r="DX15" s="4">
        <v>30</v>
      </c>
      <c r="DY15" s="4">
        <v>30</v>
      </c>
      <c r="DZ15" s="27"/>
      <c r="EA15" s="89">
        <v>1</v>
      </c>
      <c r="EB15" s="4">
        <v>60</v>
      </c>
      <c r="EC15" s="4">
        <v>60</v>
      </c>
      <c r="ED15" s="27"/>
      <c r="EE15" s="4">
        <v>30</v>
      </c>
      <c r="EF15" s="4">
        <v>30</v>
      </c>
      <c r="EG15" s="27"/>
      <c r="EH15" s="4">
        <v>120</v>
      </c>
      <c r="EI15" s="4">
        <v>120</v>
      </c>
      <c r="EJ15" s="27"/>
      <c r="EK15" s="27"/>
      <c r="EL15" s="27"/>
      <c r="EM15" s="27"/>
      <c r="EN15" s="4">
        <v>60</v>
      </c>
      <c r="EO15" s="4">
        <v>60</v>
      </c>
      <c r="EP15" s="27"/>
      <c r="EQ15" s="4">
        <v>60</v>
      </c>
      <c r="ER15" s="4">
        <v>60</v>
      </c>
      <c r="ES15" s="27"/>
      <c r="ET15" s="4">
        <v>60</v>
      </c>
      <c r="EU15" s="4">
        <v>60</v>
      </c>
      <c r="EV15" s="27"/>
      <c r="EW15" s="4">
        <v>5</v>
      </c>
      <c r="EX15" s="4">
        <v>5</v>
      </c>
      <c r="EY15" s="27"/>
      <c r="EZ15" s="4">
        <v>5</v>
      </c>
      <c r="FA15" s="4">
        <v>5</v>
      </c>
      <c r="FB15" s="27"/>
      <c r="FC15" s="28"/>
      <c r="FD15" s="28"/>
      <c r="FE15" s="28"/>
      <c r="FF15" s="28"/>
      <c r="FG15" s="28"/>
      <c r="FH15" s="28"/>
      <c r="FI15" s="4">
        <v>5</v>
      </c>
      <c r="FJ15" s="4">
        <v>5</v>
      </c>
      <c r="FK15" s="27"/>
      <c r="FL15" s="4">
        <v>0</v>
      </c>
      <c r="FM15" s="4">
        <v>0</v>
      </c>
      <c r="FN15" s="27"/>
      <c r="FO15" s="4">
        <v>40</v>
      </c>
      <c r="FP15" s="4">
        <v>40</v>
      </c>
      <c r="FQ15" s="27"/>
      <c r="FR15" s="27"/>
      <c r="FS15" s="109"/>
      <c r="FT15" s="54">
        <f t="shared" ref="FT15" si="12">NETWORKDAYS($I16,FO16)</f>
        <v>692</v>
      </c>
      <c r="FU15" s="54">
        <f t="shared" ref="FU15" si="13">NETWORKDAYS($I16,FP16)</f>
        <v>692</v>
      </c>
      <c r="FV15" s="54">
        <f t="shared" ref="FV15" si="14">IF(FQ16="",NETWORKDAYS($I16,FP16),NETWORKDAYS($I16,FQ16))</f>
        <v>692</v>
      </c>
      <c r="FW15" s="55" t="s">
        <v>464</v>
      </c>
    </row>
    <row r="16" spans="1:311" x14ac:dyDescent="0.35">
      <c r="A16" s="23" t="s">
        <v>465</v>
      </c>
      <c r="B16" s="23">
        <v>100003</v>
      </c>
      <c r="C16" s="23">
        <v>444</v>
      </c>
      <c r="D16" s="65"/>
      <c r="E16" s="23" t="str">
        <f>IF(D16="","Unknown",IF(D16&lt;=FM16+90,"Red",IF(AND(D16&gt;FM16+90,D16&lt;=FM16+180),"Yellow",IF(AND(D16&gt;FM16+180,D16&lt;=FM16+690),"Green","Covered"))))</f>
        <v>Unknown</v>
      </c>
      <c r="F16" s="25" t="s">
        <v>470</v>
      </c>
      <c r="G16" s="26"/>
      <c r="H16" s="26" t="str">
        <f>IF(CR16="","Pre-Execution","Execution")</f>
        <v>Pre-Execution</v>
      </c>
      <c r="I16" s="13">
        <v>45717</v>
      </c>
      <c r="J16" s="28"/>
      <c r="K16" s="28"/>
      <c r="L16" s="28"/>
      <c r="M16" s="42">
        <f>WORKDAY(I16,M15)</f>
        <v>45730</v>
      </c>
      <c r="N16" s="42">
        <f>WORKDAY(I16,N15)</f>
        <v>45730</v>
      </c>
      <c r="O16" s="59"/>
      <c r="P16" s="42">
        <f>WORKDAY(M16,P15)</f>
        <v>45761</v>
      </c>
      <c r="Q16" s="42">
        <f>IF(O16="",WORKDAY(N16,Q15),WORKDAY(O16,Q15))</f>
        <v>45761</v>
      </c>
      <c r="R16" s="59"/>
      <c r="S16" s="28"/>
      <c r="T16" s="28"/>
      <c r="U16" s="28"/>
      <c r="V16" s="10">
        <f>WORKDAY(P16, V15)</f>
        <v>45803</v>
      </c>
      <c r="W16" s="10">
        <f>IF(R16="",WORKDAY(Q16,W15),WORKDAY(R16,W15))</f>
        <v>45803</v>
      </c>
      <c r="X16" s="56"/>
      <c r="Y16" s="10">
        <f>WORKDAY(P16,Y15)</f>
        <v>45831</v>
      </c>
      <c r="Z16" s="10">
        <f>IF(R16="",WORKDAY(Q16,Z15),WORKDAY(R16,Z15))</f>
        <v>45831</v>
      </c>
      <c r="AA16" s="56"/>
      <c r="AB16" s="10">
        <f>WORKDAY(I16,AB15)</f>
        <v>45717</v>
      </c>
      <c r="AC16" s="10">
        <f>WORKDAY(I16,AC15)</f>
        <v>45717</v>
      </c>
      <c r="AD16" s="56"/>
      <c r="AE16" s="10">
        <f>WORKDAY(AB16,AE15)</f>
        <v>45821</v>
      </c>
      <c r="AF16" s="10">
        <f>IF(AD16="",WORKDAY(AC16,AF15),WORKDAY(AD16,AF15))</f>
        <v>45821</v>
      </c>
      <c r="AG16" s="56"/>
      <c r="AH16" s="42">
        <f>WORKDAY(IF(Y16&gt;AE16,Y16,AE16),AH15)</f>
        <v>45838</v>
      </c>
      <c r="AI16" s="42">
        <f>WORKDAY(IF(AA16="",IF(Z16&gt;AF16,Z16,AF16),IF(AA16&gt;AG16,AA16,AG16)),AI15)</f>
        <v>45838</v>
      </c>
      <c r="AJ16" s="59"/>
      <c r="AK16" s="10">
        <f>WORKDAY(AH16,AK15)</f>
        <v>45866</v>
      </c>
      <c r="AL16" s="10">
        <f>IF(AJ16="",WORKDAY(AI16,AL15),WORKDAY(AJ16,AL15))</f>
        <v>45866</v>
      </c>
      <c r="AM16" s="56"/>
      <c r="AN16" s="10">
        <f>WORKDAY(AK16,AN15)</f>
        <v>45866</v>
      </c>
      <c r="AO16" s="10">
        <f>IF(AM16="",WORKDAY(AL16,AO15),WORKDAY(AM16,AO15))</f>
        <v>45866</v>
      </c>
      <c r="AP16" s="56"/>
      <c r="AQ16" s="42">
        <f>WORKDAY(AN16,AQ15)</f>
        <v>45894</v>
      </c>
      <c r="AR16" s="42">
        <f>IF(AP16="",WORKDAY(AO16,AR15),WORKDAY(AP16,AR15))</f>
        <v>45894</v>
      </c>
      <c r="AS16" s="59"/>
      <c r="AT16" s="10">
        <f>WORKDAY(AN16,AT15)</f>
        <v>45873</v>
      </c>
      <c r="AU16" s="10">
        <f>IF(O16="",WORKDAY(AO16,AU15),WORKDAY(AP16,AU15))</f>
        <v>45873</v>
      </c>
      <c r="AV16" s="56"/>
      <c r="AW16" s="10">
        <f>IF(AQ16&gt;AT16,WORKDAY(AQ16,AW15),WORKDAY(AT16,AW15))</f>
        <v>45908</v>
      </c>
      <c r="AX16" s="10">
        <f>IF(AS16="",IF(AR16&gt;AU16,WORKDAY(AR16,AX15),WORKDAY(AU16,AX15)),IF(AS16&gt;AV16,WORKDAY(AS16,AX15),WORKDAY(AV16,AX15)))</f>
        <v>45908</v>
      </c>
      <c r="AY16" s="56"/>
      <c r="AZ16" s="10">
        <f>WORKDAY(AN16,AZ15)</f>
        <v>45908</v>
      </c>
      <c r="BA16" s="10">
        <f>IF(AP16="",WORKDAY(AO16,BA15),WORKDAY(AP16,BA15))</f>
        <v>45908</v>
      </c>
      <c r="BB16" s="56"/>
      <c r="BC16" s="10">
        <f>IF(AW16&gt;AZ16,WORKDAY(AW16,BC15),WORKDAY(AZ16,BC15))</f>
        <v>45915</v>
      </c>
      <c r="BD16" s="10">
        <f>IF(AY16="",IF(AX16&gt;BA16,WORKDAY(AX16,BD15),WORKDAY(BA16,BD15)),IF(AY16&gt;BB16,WORKDAY(AY16,BD15),WORKDAY(BB16,BD15)))</f>
        <v>45915</v>
      </c>
      <c r="BE16" s="56"/>
      <c r="BF16" s="42">
        <f>WORKDAY(BC16,BF15)</f>
        <v>45922</v>
      </c>
      <c r="BG16" s="42">
        <f>IF(BE16="",WORKDAY(BD16,BG15),WORKDAY(BE16,BG15))</f>
        <v>45922</v>
      </c>
      <c r="BH16" s="56"/>
      <c r="BI16" s="10">
        <f>WORKDAY(BF16,BI15)</f>
        <v>45929</v>
      </c>
      <c r="BJ16" s="10">
        <f>IF(BH16="",WORKDAY(BG16,BJ15),WORKDAY(BH16,BJ15))</f>
        <v>45929</v>
      </c>
      <c r="BK16" s="56"/>
      <c r="BL16" s="28"/>
      <c r="BM16" s="28"/>
      <c r="BN16" s="28"/>
      <c r="BO16" s="10">
        <f>WORKDAY(BI16,BO15)</f>
        <v>45936</v>
      </c>
      <c r="BP16" s="10">
        <f>IF(BK16="",WORKDAY(BJ16,BP15),WORKDAY(BK16,BP15))</f>
        <v>45936</v>
      </c>
      <c r="BQ16" s="56"/>
      <c r="BR16" s="28"/>
      <c r="BS16" s="28"/>
      <c r="BT16" s="28"/>
      <c r="BU16" s="28"/>
      <c r="BV16" s="28"/>
      <c r="BW16" s="28"/>
      <c r="BX16" s="28"/>
      <c r="BY16" s="28"/>
      <c r="BZ16" s="28"/>
      <c r="CA16" s="28"/>
      <c r="CB16" s="28"/>
      <c r="CC16" s="28"/>
      <c r="CD16" s="28"/>
      <c r="CE16" s="28"/>
      <c r="CF16" s="28"/>
      <c r="CG16" s="28"/>
      <c r="CH16" s="28"/>
      <c r="CI16" s="28"/>
      <c r="CJ16" s="10">
        <f>WORKDAY(BI16,CJ15)</f>
        <v>45943</v>
      </c>
      <c r="CK16" s="10">
        <f>IF(BK16="",WORKDAY(BJ16,CK15),WORKDAY(BK16,CK15))</f>
        <v>45943</v>
      </c>
      <c r="CL16" s="56"/>
      <c r="CM16" s="42">
        <f>WORKDAY(CJ16,CM15)</f>
        <v>45946</v>
      </c>
      <c r="CN16" s="42">
        <f>IF(CL16="",WORKDAY(CK16,CN15),WORKDAY(CL16,CN15))</f>
        <v>45946</v>
      </c>
      <c r="CO16" s="56"/>
      <c r="CP16" s="42">
        <f>WORKDAY(CM16,CP15)</f>
        <v>45953</v>
      </c>
      <c r="CQ16" s="42">
        <f>IF(CO16="",WORKDAY(CN16,CQ15),WORKDAY(CO16,CQ15))</f>
        <v>45953</v>
      </c>
      <c r="CR16" s="59"/>
      <c r="CS16" s="77" t="str">
        <f>IF(CR16="","No Action: Still in Pre-Execution","Execution schedule has been re-baselined w/ FAIR PO Ack ACD. Validate your durations before publishing")</f>
        <v>No Action: Still in Pre-Execution</v>
      </c>
      <c r="CT16" s="42">
        <f>IF(CR16="",WORKDAY(CP16,CT15),WORKDAY(CR16,CT15))</f>
        <v>46121</v>
      </c>
      <c r="CU16" s="42">
        <f>IF(CR16="",WORKDAY(CQ16,CU15),WORKDAY(CR16,CU15))</f>
        <v>46121</v>
      </c>
      <c r="CV16" s="56"/>
      <c r="CW16" s="10">
        <f>WORKDAY(AZ16,CW15)</f>
        <v>45922</v>
      </c>
      <c r="CX16" s="10">
        <f>IF(BB16="",WORKDAY(BA16,CX15),WORKDAY(BB16,CX15))</f>
        <v>45922</v>
      </c>
      <c r="CY16" s="56"/>
      <c r="CZ16" s="10">
        <f>WORKDAY(CW16,CZ15)</f>
        <v>46006</v>
      </c>
      <c r="DA16" s="10">
        <f>IF(CY16="",WORKDAY(CX16,DA15),WORKDAY(CY16,DA15))</f>
        <v>46006</v>
      </c>
      <c r="DB16" s="56"/>
      <c r="DC16" s="10">
        <f>IF($CU16&gt;$DA16,WORKDAY($CU16,DC15),WORKDAY($DA16,DC15))</f>
        <v>46205</v>
      </c>
      <c r="DD16" s="10">
        <f>IF(CV16="",IF($CU16&gt;$DA16,WORKDAY($CU16,DD15),WORKDAY($DA16,DD15)),IF($CV16&gt;$DB16,WORKDAY($CV16,DD15),WORKDAY($DB16,DD15)))</f>
        <v>46205</v>
      </c>
      <c r="DE16" s="56"/>
      <c r="DF16" s="10">
        <f>WORKDAY(DC16,DF15)</f>
        <v>46233</v>
      </c>
      <c r="DG16" s="10">
        <f>IF(DE16="",WORKDAY(DD16,DG15),WORKDAY(DE16,DG15))</f>
        <v>46233</v>
      </c>
      <c r="DH16" s="56"/>
      <c r="DI16" s="46"/>
      <c r="DJ16" s="10">
        <f>WORKDAY(DF16,DJ15*DI15)</f>
        <v>46261</v>
      </c>
      <c r="DK16" s="10">
        <f>IF(DH16="",WORKDAY(DG16,DK15*DI15),WORKDAY(DH16,DK15*DI15))</f>
        <v>46261</v>
      </c>
      <c r="DL16" s="56"/>
      <c r="DM16" s="10">
        <f>WORKDAY(DJ16,DM15)</f>
        <v>46268</v>
      </c>
      <c r="DN16" s="10">
        <f>IF(DL16="",WORKDAY(DK16,DN15),WORKDAY(DL16,DN15))</f>
        <v>46268</v>
      </c>
      <c r="DO16" s="56"/>
      <c r="DP16" s="10">
        <f t="shared" ref="DP16" si="15">WORKDAY(DM16,DP15)</f>
        <v>46273</v>
      </c>
      <c r="DQ16" s="10">
        <f t="shared" ref="DQ16" si="16">IF(DO16="",WORKDAY(DN16,DQ15),WORKDAY(DO16,DQ15))</f>
        <v>46273</v>
      </c>
      <c r="DR16" s="56"/>
      <c r="DS16" s="46"/>
      <c r="DT16" s="10">
        <f>WORKDAY(DP16,DT15*$DS15)</f>
        <v>46357</v>
      </c>
      <c r="DU16" s="10">
        <f>IF(DR16="",WORKDAY(DQ16,DU15*$DS15),WORKDAY(DR16,DU15*$DS15))</f>
        <v>46357</v>
      </c>
      <c r="DV16" s="56"/>
      <c r="DW16" s="46"/>
      <c r="DX16" s="10">
        <f>WORKDAY(DT16,DX15*$DW15)</f>
        <v>46399</v>
      </c>
      <c r="DY16" s="10">
        <f>IF(DV16="",WORKDAY(DU16,DY15*$DW15),WORKDAY(DV16,DY15*$DW15))</f>
        <v>46399</v>
      </c>
      <c r="DZ16" s="56"/>
      <c r="EA16" s="46"/>
      <c r="EB16" s="10">
        <f>WORKDAY(DX16,EB15*$EA15)</f>
        <v>46483</v>
      </c>
      <c r="EC16" s="10">
        <f>IF(DZ16="",WORKDAY(DY16,EC15*$EA15),WORKDAY(DZ16,EC15*$EA15))</f>
        <v>46483</v>
      </c>
      <c r="ED16" s="56"/>
      <c r="EE16" s="10">
        <f>WORKDAY(EB16,EE15)</f>
        <v>46525</v>
      </c>
      <c r="EF16" s="10">
        <f>IF(ED16="",WORKDAY(EC16,EF15),WORKDAY(ED16,EF15))</f>
        <v>46525</v>
      </c>
      <c r="EG16" s="56"/>
      <c r="EH16" s="10">
        <f>IF(CR16="",WORKDAY(BF16,EH15),WORKDAY(BH16,EH15))</f>
        <v>46090</v>
      </c>
      <c r="EI16" s="10">
        <f>IF(BH16="",WORKDAY(BG16,EI15),WORKDAY(BH16,EI15))</f>
        <v>46090</v>
      </c>
      <c r="EJ16" s="56"/>
      <c r="EK16" s="27"/>
      <c r="EL16" s="27"/>
      <c r="EM16" s="27"/>
      <c r="EN16" s="10">
        <f>WORKDAY(EE16,EN15)</f>
        <v>46609</v>
      </c>
      <c r="EO16" s="10">
        <f>IF(EG16="",WORKDAY(EF16,EO15),WORKDAY(EG16,EO15))</f>
        <v>46609</v>
      </c>
      <c r="EP16" s="56"/>
      <c r="EQ16" s="10">
        <f>WORKDAY(EE16,EQ15)</f>
        <v>46609</v>
      </c>
      <c r="ER16" s="10">
        <f>IF(EG16="",WORKDAY(EF16,ER15),WORKDAY(EG16,ER15))</f>
        <v>46609</v>
      </c>
      <c r="ES16" s="56"/>
      <c r="ET16" s="10">
        <f>WORKDAY(EE16,ET15)</f>
        <v>46609</v>
      </c>
      <c r="EU16" s="10">
        <f>IF(EG16="",WORKDAY(EF16,EU15),WORKDAY(EG16,EU15))</f>
        <v>46609</v>
      </c>
      <c r="EV16" s="56"/>
      <c r="EW16" s="11">
        <f>WORKDAY(IF(EN16&gt;EQ16,(IF(EN16&gt;ET16,EN16,ET16)),IF(EQ16&gt;ET16,EQ16,ET16)),EW15)</f>
        <v>46616</v>
      </c>
      <c r="EX16" s="11">
        <f>IF(EP16="",WORKDAY(IF(EO16&gt;ER16,(IF(EO16&gt;EU16,EO16,EU16)),IF(ER16&gt;EU16,ER16,EU16)),EX15),WORKDAY(IF(EP16&gt;ES16,(IF(EP16&gt;EV16,EP16,EV16)),IF(ES16&gt;EV16,ES16,EV16)),EX15))</f>
        <v>46616</v>
      </c>
      <c r="EY16" s="56"/>
      <c r="EZ16" s="12">
        <f>WORKDAY(EW16,EZ15)</f>
        <v>46623</v>
      </c>
      <c r="FA16" s="12">
        <f>IF(EY16="",WORKDAY(EX16,FA15),WORKDAY(EY16,FA15))</f>
        <v>46623</v>
      </c>
      <c r="FB16" s="56"/>
      <c r="FC16" s="28"/>
      <c r="FD16" s="28"/>
      <c r="FE16" s="28"/>
      <c r="FF16" s="60"/>
      <c r="FG16" s="60"/>
      <c r="FH16" s="60"/>
      <c r="FI16" s="12">
        <f>WORKDAY(EZ16,FI15)</f>
        <v>46630</v>
      </c>
      <c r="FJ16" s="12">
        <f>IF(FB16="",WORKDAY(FA16,FJ15),WORKDAY(FB16,FJ15))</f>
        <v>46630</v>
      </c>
      <c r="FK16" s="56"/>
      <c r="FL16" s="10">
        <f>WORKDAY(FI16,FL15)</f>
        <v>46630</v>
      </c>
      <c r="FM16" s="10">
        <f>IF(FK16="",WORKDAY(FJ16,FM15),WORKDAY(FK16,FM15))</f>
        <v>46630</v>
      </c>
      <c r="FN16" s="56"/>
      <c r="FO16" s="10">
        <f>WORKDAY(FL16,FO15)</f>
        <v>46686</v>
      </c>
      <c r="FP16" s="10">
        <f>WORKDAY(FM16,FP15)</f>
        <v>46686</v>
      </c>
      <c r="FQ16" s="56"/>
      <c r="FR16" s="77" t="str">
        <f>IF(NETWORKDAYS(FJ16,FO16)&gt;=30,"On-Track",IF(AND(NETWORKDAYS(FJ16,FO16)&lt;30,FJ16&lt;=FO16),"At Risk","Missed TCD"))</f>
        <v>On-Track</v>
      </c>
      <c r="FS16" s="110"/>
      <c r="FT16" s="57">
        <f t="shared" ref="FT16" si="17">NETWORKDAYS(CP16,FI16)</f>
        <v>484</v>
      </c>
      <c r="FU16" s="57">
        <f t="shared" ref="FU16" si="18">NETWORKDAYS(CQ16,FJ16)</f>
        <v>484</v>
      </c>
      <c r="FV16" s="57">
        <f t="shared" ref="FV16" si="19">IF(BH16="",NETWORKDAYS(BG16,FJ16),IF(FK16="",NETWORKDAYS(BH16,FJ16),NETWORKDAYS(BH16,FK16)))</f>
        <v>507</v>
      </c>
      <c r="FW16" s="58" t="s">
        <v>467</v>
      </c>
    </row>
    <row r="17" spans="1:179" outlineLevel="1" x14ac:dyDescent="0.35">
      <c r="A17" s="23"/>
      <c r="B17" s="23"/>
      <c r="C17" s="24"/>
      <c r="D17" s="95"/>
      <c r="E17" s="24"/>
      <c r="F17" s="25" t="s">
        <v>463</v>
      </c>
      <c r="G17" s="26"/>
      <c r="H17" s="26"/>
      <c r="I17" s="27"/>
      <c r="J17" s="27"/>
      <c r="K17" s="27"/>
      <c r="L17" s="27"/>
      <c r="M17" s="4">
        <v>10</v>
      </c>
      <c r="N17" s="4">
        <v>10</v>
      </c>
      <c r="O17" s="27"/>
      <c r="P17" s="4">
        <v>21</v>
      </c>
      <c r="Q17" s="4">
        <v>21</v>
      </c>
      <c r="R17" s="27"/>
      <c r="S17" s="27"/>
      <c r="T17" s="27"/>
      <c r="U17" s="27"/>
      <c r="V17" s="4">
        <v>30</v>
      </c>
      <c r="W17" s="4">
        <v>30</v>
      </c>
      <c r="X17" s="27"/>
      <c r="Y17" s="4">
        <v>50</v>
      </c>
      <c r="Z17" s="4">
        <v>50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61"/>
      <c r="BP17" s="61"/>
      <c r="BQ17" s="28"/>
      <c r="BR17" s="28"/>
      <c r="BS17" s="28"/>
      <c r="BT17" s="28"/>
      <c r="BU17" s="28"/>
      <c r="BV17" s="28"/>
      <c r="BW17" s="28"/>
      <c r="BX17" s="28"/>
      <c r="BY17" s="28"/>
      <c r="BZ17" s="28"/>
      <c r="CA17" s="28"/>
      <c r="CB17" s="28"/>
      <c r="CC17" s="28"/>
      <c r="CD17" s="28"/>
      <c r="CE17" s="28"/>
      <c r="CF17" s="28"/>
      <c r="CG17" s="28"/>
      <c r="CH17" s="28"/>
      <c r="CI17" s="28"/>
      <c r="CJ17" s="4">
        <v>10</v>
      </c>
      <c r="CK17" s="4">
        <v>10</v>
      </c>
      <c r="CL17" s="27"/>
      <c r="CM17" s="4">
        <v>3</v>
      </c>
      <c r="CN17" s="4">
        <v>3</v>
      </c>
      <c r="CO17" s="27"/>
      <c r="CP17" s="4">
        <v>5</v>
      </c>
      <c r="CQ17" s="4">
        <v>5</v>
      </c>
      <c r="CR17" s="27"/>
      <c r="CS17" s="27"/>
      <c r="CT17" s="5">
        <v>120</v>
      </c>
      <c r="CU17" s="5">
        <v>120</v>
      </c>
      <c r="CV17" s="27"/>
      <c r="CW17" s="5">
        <v>10</v>
      </c>
      <c r="CX17" s="5">
        <v>10</v>
      </c>
      <c r="CY17" s="27"/>
      <c r="CZ17" s="5">
        <v>60</v>
      </c>
      <c r="DA17" s="5">
        <v>60</v>
      </c>
      <c r="DB17" s="27"/>
      <c r="DC17" s="5">
        <v>60</v>
      </c>
      <c r="DD17" s="5">
        <v>60</v>
      </c>
      <c r="DE17" s="27"/>
      <c r="DF17" s="4">
        <v>20</v>
      </c>
      <c r="DG17" s="4">
        <v>20</v>
      </c>
      <c r="DH17" s="27"/>
      <c r="DI17" s="89">
        <v>1</v>
      </c>
      <c r="DJ17" s="4">
        <v>20</v>
      </c>
      <c r="DK17" s="4">
        <v>20</v>
      </c>
      <c r="DL17" s="27"/>
      <c r="DM17" s="4">
        <v>5</v>
      </c>
      <c r="DN17" s="4">
        <v>5</v>
      </c>
      <c r="DO17" s="27"/>
      <c r="DP17" s="4">
        <v>3</v>
      </c>
      <c r="DQ17" s="4">
        <v>3</v>
      </c>
      <c r="DR17" s="27"/>
      <c r="DS17" s="89">
        <v>1</v>
      </c>
      <c r="DT17" s="4">
        <v>60</v>
      </c>
      <c r="DU17" s="4">
        <v>60</v>
      </c>
      <c r="DV17" s="27"/>
      <c r="DW17" s="89">
        <v>1</v>
      </c>
      <c r="DX17" s="4">
        <v>30</v>
      </c>
      <c r="DY17" s="4">
        <v>30</v>
      </c>
      <c r="DZ17" s="27"/>
      <c r="EA17" s="89">
        <v>1</v>
      </c>
      <c r="EB17" s="4">
        <v>60</v>
      </c>
      <c r="EC17" s="4">
        <v>60</v>
      </c>
      <c r="ED17" s="27"/>
      <c r="EE17" s="4">
        <v>30</v>
      </c>
      <c r="EF17" s="4">
        <v>30</v>
      </c>
      <c r="EG17" s="27"/>
      <c r="EH17" s="4">
        <v>120</v>
      </c>
      <c r="EI17" s="4">
        <v>120</v>
      </c>
      <c r="EJ17" s="27"/>
      <c r="EK17" s="27"/>
      <c r="EL17" s="27"/>
      <c r="EM17" s="27"/>
      <c r="EN17" s="4">
        <v>60</v>
      </c>
      <c r="EO17" s="4">
        <v>60</v>
      </c>
      <c r="EP17" s="27"/>
      <c r="EQ17" s="4">
        <v>60</v>
      </c>
      <c r="ER17" s="4">
        <v>60</v>
      </c>
      <c r="ES17" s="27"/>
      <c r="ET17" s="4">
        <v>60</v>
      </c>
      <c r="EU17" s="4">
        <v>60</v>
      </c>
      <c r="EV17" s="27"/>
      <c r="EW17" s="4">
        <v>5</v>
      </c>
      <c r="EX17" s="4">
        <v>5</v>
      </c>
      <c r="EY17" s="27"/>
      <c r="EZ17" s="4">
        <v>5</v>
      </c>
      <c r="FA17" s="4">
        <v>5</v>
      </c>
      <c r="FB17" s="27"/>
      <c r="FC17" s="28"/>
      <c r="FD17" s="28"/>
      <c r="FE17" s="28"/>
      <c r="FF17" s="28"/>
      <c r="FG17" s="28"/>
      <c r="FH17" s="28"/>
      <c r="FI17" s="4">
        <v>5</v>
      </c>
      <c r="FJ17" s="4">
        <v>5</v>
      </c>
      <c r="FK17" s="27"/>
      <c r="FL17" s="4">
        <v>0</v>
      </c>
      <c r="FM17" s="4">
        <v>0</v>
      </c>
      <c r="FN17" s="27"/>
      <c r="FO17" s="4">
        <v>40</v>
      </c>
      <c r="FP17" s="4">
        <v>40</v>
      </c>
      <c r="FQ17" s="27"/>
      <c r="FR17" s="27"/>
      <c r="FS17" s="109"/>
      <c r="FT17" s="54">
        <f t="shared" ref="FT17" si="20">NETWORKDAYS($I18,FO18)</f>
        <v>692</v>
      </c>
      <c r="FU17" s="54">
        <f t="shared" ref="FU17" si="21">NETWORKDAYS($I18,FP18)</f>
        <v>692</v>
      </c>
      <c r="FV17" s="54">
        <f t="shared" ref="FV17" si="22">IF(FQ18="",NETWORKDAYS($I18,FP18),NETWORKDAYS($I18,FQ18))</f>
        <v>692</v>
      </c>
      <c r="FW17" s="55" t="s">
        <v>464</v>
      </c>
    </row>
    <row r="18" spans="1:179" ht="15" thickBot="1" x14ac:dyDescent="0.4">
      <c r="A18" s="23" t="s">
        <v>465</v>
      </c>
      <c r="B18" s="23">
        <v>100004</v>
      </c>
      <c r="C18" s="23">
        <v>555</v>
      </c>
      <c r="D18" s="65"/>
      <c r="E18" s="23" t="str">
        <f>IF(D18="","Unknown",IF(D18&lt;=FM18+90,"Red",IF(AND(D18&gt;FM18+90,D18&lt;=FM18+180),"Yellow",IF(AND(D18&gt;FM18+180,D18&lt;=FM18+690),"Green","Covered"))))</f>
        <v>Unknown</v>
      </c>
      <c r="F18" s="25" t="s">
        <v>471</v>
      </c>
      <c r="G18" s="26"/>
      <c r="H18" s="26" t="str">
        <f>IF(CR18="","Pre-Execution","Execution")</f>
        <v>Pre-Execution</v>
      </c>
      <c r="I18" s="13">
        <v>45717</v>
      </c>
      <c r="J18" s="28"/>
      <c r="K18" s="28"/>
      <c r="L18" s="28"/>
      <c r="M18" s="42">
        <f>WORKDAY(I18,M17)</f>
        <v>45730</v>
      </c>
      <c r="N18" s="42">
        <f>WORKDAY(I18,N17)</f>
        <v>45730</v>
      </c>
      <c r="O18" s="59"/>
      <c r="P18" s="42">
        <f>WORKDAY(M18,P17)</f>
        <v>45761</v>
      </c>
      <c r="Q18" s="42">
        <f>IF(O18="",WORKDAY(N18,Q17),WORKDAY(O18,Q17))</f>
        <v>45761</v>
      </c>
      <c r="R18" s="59"/>
      <c r="S18" s="28"/>
      <c r="T18" s="28"/>
      <c r="U18" s="28"/>
      <c r="V18" s="10">
        <f>WORKDAY(P18, V17)</f>
        <v>45803</v>
      </c>
      <c r="W18" s="10">
        <f>IF(R18="",WORKDAY(Q18,W17),WORKDAY(R18,W17))</f>
        <v>45803</v>
      </c>
      <c r="X18" s="56"/>
      <c r="Y18" s="10">
        <f>WORKDAY(P18,Y17)</f>
        <v>45831</v>
      </c>
      <c r="Z18" s="10">
        <f>IF(R18="",WORKDAY(Q18,Z17),WORKDAY(R18,Z17))</f>
        <v>45831</v>
      </c>
      <c r="AA18" s="56"/>
      <c r="AB18" s="10">
        <f>WORKDAY(I18,AB17)</f>
        <v>45717</v>
      </c>
      <c r="AC18" s="10">
        <f>WORKDAY(I18,AC17)</f>
        <v>45717</v>
      </c>
      <c r="AD18" s="56"/>
      <c r="AE18" s="10">
        <f>WORKDAY(AB18,AE17)</f>
        <v>45821</v>
      </c>
      <c r="AF18" s="10">
        <f>IF(AD18="",WORKDAY(AC18,AF17),WORKDAY(AD18,AF17))</f>
        <v>45821</v>
      </c>
      <c r="AG18" s="56"/>
      <c r="AH18" s="42">
        <f>WORKDAY(IF(Y18&gt;AE18,Y18,AE18),AH17)</f>
        <v>45838</v>
      </c>
      <c r="AI18" s="42">
        <f>WORKDAY(IF(AA18="",IF(Z18&gt;AF18,Z18,AF18),IF(AA18&gt;AG18,AA18,AG18)),AI17)</f>
        <v>45838</v>
      </c>
      <c r="AJ18" s="59"/>
      <c r="AK18" s="10">
        <f>WORKDAY(AH18,AK17)</f>
        <v>45866</v>
      </c>
      <c r="AL18" s="10">
        <f>IF(AJ18="",WORKDAY(AI18,AL17),WORKDAY(AJ18,AL17))</f>
        <v>45866</v>
      </c>
      <c r="AM18" s="56"/>
      <c r="AN18" s="10">
        <f>WORKDAY(AK18,AN17)</f>
        <v>45866</v>
      </c>
      <c r="AO18" s="10">
        <f>IF(AM18="",WORKDAY(AL18,AO17),WORKDAY(AM18,AO17))</f>
        <v>45866</v>
      </c>
      <c r="AP18" s="56"/>
      <c r="AQ18" s="42">
        <f>WORKDAY(AN18,AQ17)</f>
        <v>45894</v>
      </c>
      <c r="AR18" s="42">
        <f>IF(AP18="",WORKDAY(AO18,AR17),WORKDAY(AP18,AR17))</f>
        <v>45894</v>
      </c>
      <c r="AS18" s="59"/>
      <c r="AT18" s="10">
        <f>WORKDAY(AN18,AT17)</f>
        <v>45873</v>
      </c>
      <c r="AU18" s="10">
        <f>IF(O18="",WORKDAY(AO18,AU17),WORKDAY(AP18,AU17))</f>
        <v>45873</v>
      </c>
      <c r="AV18" s="56"/>
      <c r="AW18" s="10">
        <f>IF(AQ18&gt;AT18,WORKDAY(AQ18,AW17),WORKDAY(AT18,AW17))</f>
        <v>45908</v>
      </c>
      <c r="AX18" s="10">
        <f>IF(AS18="",IF(AR18&gt;AU18,WORKDAY(AR18,AX17),WORKDAY(AU18,AX17)),IF(AS18&gt;AV18,WORKDAY(AS18,AX17),WORKDAY(AV18,AX17)))</f>
        <v>45908</v>
      </c>
      <c r="AY18" s="56"/>
      <c r="AZ18" s="10">
        <f>WORKDAY(AN18,AZ17)</f>
        <v>45908</v>
      </c>
      <c r="BA18" s="10">
        <f>IF(AP18="",WORKDAY(AO18,BA17),WORKDAY(AP18,BA17))</f>
        <v>45908</v>
      </c>
      <c r="BB18" s="56"/>
      <c r="BC18" s="10">
        <f>IF(AW18&gt;AZ18,WORKDAY(AW18,BC17),WORKDAY(AZ18,BC17))</f>
        <v>45915</v>
      </c>
      <c r="BD18" s="10">
        <f>IF(AY18="",IF(AX18&gt;BA18,WORKDAY(AX18,BD17),WORKDAY(BA18,BD17)),IF(AY18&gt;BB18,WORKDAY(AY18,BD17),WORKDAY(BB18,BD17)))</f>
        <v>45915</v>
      </c>
      <c r="BE18" s="56"/>
      <c r="BF18" s="42">
        <f>WORKDAY(BC18,BF17)</f>
        <v>45922</v>
      </c>
      <c r="BG18" s="42">
        <f>IF(BE18="",WORKDAY(BD18,BG17),WORKDAY(BE18,BG17))</f>
        <v>45922</v>
      </c>
      <c r="BH18" s="56"/>
      <c r="BI18" s="10">
        <f>WORKDAY(BF18,BI17)</f>
        <v>45929</v>
      </c>
      <c r="BJ18" s="10">
        <f>IF(BH18="",WORKDAY(BG18,BJ17),WORKDAY(BH18,BJ17))</f>
        <v>45929</v>
      </c>
      <c r="BK18" s="56"/>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10">
        <f>WORKDAY(BI18,CJ17)</f>
        <v>45943</v>
      </c>
      <c r="CK18" s="10">
        <f>IF(BK18="",WORKDAY(BJ18,CK17),WORKDAY(BK18,CK17))</f>
        <v>45943</v>
      </c>
      <c r="CL18" s="56"/>
      <c r="CM18" s="42">
        <f>WORKDAY(CJ18,CM17)</f>
        <v>45946</v>
      </c>
      <c r="CN18" s="42">
        <f>IF(CL18="",WORKDAY(CK18,CN17),WORKDAY(CL18,CN17))</f>
        <v>45946</v>
      </c>
      <c r="CO18" s="56"/>
      <c r="CP18" s="42">
        <f>WORKDAY(CM18,CP17)</f>
        <v>45953</v>
      </c>
      <c r="CQ18" s="42">
        <f>IF(CO18="",WORKDAY(CN18,CQ17),WORKDAY(CO18,CQ17))</f>
        <v>45953</v>
      </c>
      <c r="CR18" s="59"/>
      <c r="CS18" s="77" t="str">
        <f>IF(CR18="","No Action: Still in Pre-Execution","Execution schedule has been re-baselined w/ FAIR PO Ack ACD. Validate your durations before publishing")</f>
        <v>No Action: Still in Pre-Execution</v>
      </c>
      <c r="CT18" s="42">
        <f>IF(CR18="",WORKDAY(CP18,CT17),WORKDAY(CR18,CT17))</f>
        <v>46121</v>
      </c>
      <c r="CU18" s="42">
        <f>IF(CR18="",WORKDAY(CQ18,CU17),WORKDAY(CR18,CU17))</f>
        <v>46121</v>
      </c>
      <c r="CV18" s="56"/>
      <c r="CW18" s="10">
        <f>WORKDAY(AZ18,CW17)</f>
        <v>45922</v>
      </c>
      <c r="CX18" s="10">
        <f>IF(BB18="",WORKDAY(BA18,CX17),WORKDAY(BB18,CX17))</f>
        <v>45922</v>
      </c>
      <c r="CY18" s="56"/>
      <c r="CZ18" s="10">
        <f>WORKDAY(CW18,CZ17)</f>
        <v>46006</v>
      </c>
      <c r="DA18" s="10">
        <f>IF(CY18="",WORKDAY(CX18,DA17),WORKDAY(CY18,DA17))</f>
        <v>46006</v>
      </c>
      <c r="DB18" s="56"/>
      <c r="DC18" s="10">
        <f>IF($CU18&gt;$DA18,WORKDAY($CU18,DC17),WORKDAY($DA18,DC17))</f>
        <v>46205</v>
      </c>
      <c r="DD18" s="10">
        <f>IF(CV18="",IF($CU18&gt;$DA18,WORKDAY($CU18,DD17),WORKDAY($DA18,DD17)),IF($CV18&gt;$DB18,WORKDAY($CV18,DD17),WORKDAY($DB18,DD17)))</f>
        <v>46205</v>
      </c>
      <c r="DE18" s="56"/>
      <c r="DF18" s="10">
        <f>WORKDAY(DC18,DF17)</f>
        <v>46233</v>
      </c>
      <c r="DG18" s="10">
        <f>IF(DE18="",WORKDAY(DD18,DG17),WORKDAY(DE18,DG17))</f>
        <v>46233</v>
      </c>
      <c r="DH18" s="56"/>
      <c r="DI18" s="46"/>
      <c r="DJ18" s="42">
        <f>WORKDAY(DF18,DJ17*DI17)</f>
        <v>46261</v>
      </c>
      <c r="DK18" s="42">
        <f>IF(DH18="",WORKDAY(DG18,DK17*DI17),WORKDAY(DH18,DK17*DI17))</f>
        <v>46261</v>
      </c>
      <c r="DL18" s="59"/>
      <c r="DM18" s="10">
        <f>WORKDAY(DJ18,DM17)</f>
        <v>46268</v>
      </c>
      <c r="DN18" s="10">
        <f>IF(DL18="",WORKDAY(DK18,DN17),WORKDAY(DL18,DN17))</f>
        <v>46268</v>
      </c>
      <c r="DO18" s="56"/>
      <c r="DP18" s="10">
        <f t="shared" ref="DP18" si="23">WORKDAY(DM18,DP17)</f>
        <v>46273</v>
      </c>
      <c r="DQ18" s="10">
        <f t="shared" ref="DQ18" si="24">IF(DO18="",WORKDAY(DN18,DQ17),WORKDAY(DO18,DQ17))</f>
        <v>46273</v>
      </c>
      <c r="DR18" s="56"/>
      <c r="DS18" s="90"/>
      <c r="DT18" s="42">
        <f>WORKDAY(DP18,DT17*$DS17)</f>
        <v>46357</v>
      </c>
      <c r="DU18" s="42">
        <f>IF(DR18="",WORKDAY(DQ18,DU17*$DS17),WORKDAY(DR18,DU17*$DS17))</f>
        <v>46357</v>
      </c>
      <c r="DV18" s="59"/>
      <c r="DW18" s="90"/>
      <c r="DX18" s="42">
        <f>WORKDAY(DT18,DX17*$DW17)</f>
        <v>46399</v>
      </c>
      <c r="DY18" s="42">
        <f>IF(DV18="",WORKDAY(DU18,DY17*$DW17),WORKDAY(DV18,DY17*$DW17))</f>
        <v>46399</v>
      </c>
      <c r="DZ18" s="59"/>
      <c r="EA18" s="90"/>
      <c r="EB18" s="10">
        <f>WORKDAY(DX18,EB17*$EA17)</f>
        <v>46483</v>
      </c>
      <c r="EC18" s="10">
        <f>IF(DZ18="",WORKDAY(DY18,EC17*$EA17),WORKDAY(DZ18,EC17*$EA17))</f>
        <v>46483</v>
      </c>
      <c r="ED18" s="56"/>
      <c r="EE18" s="10">
        <f>WORKDAY(EB18,EE17)</f>
        <v>46525</v>
      </c>
      <c r="EF18" s="10">
        <f>IF(ED18="",WORKDAY(EC18,EF17),WORKDAY(ED18,EF17))</f>
        <v>46525</v>
      </c>
      <c r="EG18" s="56"/>
      <c r="EH18" s="10">
        <f>IF(CR18="",WORKDAY(BF18,EH17),WORKDAY(BH18,EH17))</f>
        <v>46090</v>
      </c>
      <c r="EI18" s="10">
        <f>IF(BH18="",WORKDAY(BG18,EI17),WORKDAY(BH18,EI17))</f>
        <v>46090</v>
      </c>
      <c r="EJ18" s="56"/>
      <c r="EK18" s="27"/>
      <c r="EL18" s="27"/>
      <c r="EM18" s="27"/>
      <c r="EN18" s="10">
        <f>WORKDAY(EE18,EN17)</f>
        <v>46609</v>
      </c>
      <c r="EO18" s="10">
        <f>IF(EG18="",WORKDAY(EF18,EO17),WORKDAY(EG18,EO17))</f>
        <v>46609</v>
      </c>
      <c r="EP18" s="56"/>
      <c r="EQ18" s="10">
        <f>WORKDAY(EE18,EQ17)</f>
        <v>46609</v>
      </c>
      <c r="ER18" s="10">
        <f>IF(EG18="",WORKDAY(EF18,ER17),WORKDAY(EG18,ER17))</f>
        <v>46609</v>
      </c>
      <c r="ES18" s="56"/>
      <c r="ET18" s="10">
        <f>WORKDAY(EE18,ET17)</f>
        <v>46609</v>
      </c>
      <c r="EU18" s="10">
        <f>IF(EG18="",WORKDAY(EF18,EU17),WORKDAY(EG18,EU17))</f>
        <v>46609</v>
      </c>
      <c r="EV18" s="56"/>
      <c r="EW18" s="11">
        <f>WORKDAY(IF(EN18&gt;EQ18,(IF(EN18&gt;ET18,EN18,ET18)),IF(EQ18&gt;ET18,EQ18,ET18)),EW17)</f>
        <v>46616</v>
      </c>
      <c r="EX18" s="11">
        <f>IF(EP18="",WORKDAY(IF(EO18&gt;ER18,(IF(EO18&gt;EU18,EO18,EU18)),IF(ER18&gt;EU18,ER18,EU18)),EX17),WORKDAY(IF(EP18&gt;ES18,(IF(EP18&gt;EV18,EP18,EV18)),IF(ES18&gt;EV18,ES18,EV18)),EX17))</f>
        <v>46616</v>
      </c>
      <c r="EY18" s="56"/>
      <c r="EZ18" s="12">
        <f>WORKDAY(EW18,EZ17)</f>
        <v>46623</v>
      </c>
      <c r="FA18" s="12">
        <f>IF(EY18="",WORKDAY(EX18,FA17),WORKDAY(EY18,FA17))</f>
        <v>46623</v>
      </c>
      <c r="FB18" s="56"/>
      <c r="FC18" s="28"/>
      <c r="FD18" s="28"/>
      <c r="FE18" s="28"/>
      <c r="FF18" s="60"/>
      <c r="FG18" s="60"/>
      <c r="FH18" s="60"/>
      <c r="FI18" s="12">
        <f>WORKDAY(EZ18,FI17)</f>
        <v>46630</v>
      </c>
      <c r="FJ18" s="12">
        <f>IF(FB18="",WORKDAY(FA18,FJ17),WORKDAY(FB18,FJ17))</f>
        <v>46630</v>
      </c>
      <c r="FK18" s="56"/>
      <c r="FL18" s="10">
        <f>WORKDAY(FI18,FL17)</f>
        <v>46630</v>
      </c>
      <c r="FM18" s="10">
        <f>IF(FK18="",WORKDAY(FJ18,FM17),WORKDAY(FK18,FM17))</f>
        <v>46630</v>
      </c>
      <c r="FN18" s="56"/>
      <c r="FO18" s="10">
        <f>WORKDAY(FL18,FO17)</f>
        <v>46686</v>
      </c>
      <c r="FP18" s="10">
        <f>WORKDAY(FM18,FP17)</f>
        <v>46686</v>
      </c>
      <c r="FQ18" s="56"/>
      <c r="FR18" s="77" t="str">
        <f>IF(NETWORKDAYS(FJ18,FO18)&gt;=30,"On-Track",IF(AND(NETWORKDAYS(FJ18,FO18)&lt;30,FJ18&lt;=FO18),"At Risk","Missed TCD"))</f>
        <v>On-Track</v>
      </c>
      <c r="FS18" s="110"/>
      <c r="FT18" s="57">
        <f t="shared" ref="FT18:FU18" si="25">NETWORKDAYS(CP18,FI18)</f>
        <v>484</v>
      </c>
      <c r="FU18" s="57">
        <f t="shared" si="25"/>
        <v>484</v>
      </c>
      <c r="FV18" s="57">
        <f t="shared" ref="FV18" si="26">IF(BH18="",NETWORKDAYS(BG18,FJ18),IF(FK18="",NETWORKDAYS(BH18,FJ18),NETWORKDAYS(BH18,FK18)))</f>
        <v>507</v>
      </c>
      <c r="FW18" s="58" t="s">
        <v>467</v>
      </c>
    </row>
    <row r="19" spans="1:179" ht="15" thickBot="1" x14ac:dyDescent="0.4">
      <c r="A19" t="s">
        <v>472</v>
      </c>
      <c r="D19" s="9"/>
      <c r="I19" s="76" t="s">
        <v>473</v>
      </c>
      <c r="J19" s="30"/>
      <c r="M19" s="199" t="s">
        <v>474</v>
      </c>
      <c r="N19" s="200"/>
      <c r="O19" s="200"/>
      <c r="P19" s="199" t="s">
        <v>474</v>
      </c>
      <c r="Q19" s="200"/>
      <c r="R19" s="201"/>
      <c r="Y19" s="6"/>
      <c r="AH19" s="193" t="s">
        <v>475</v>
      </c>
      <c r="AI19" s="194"/>
      <c r="AJ19" s="195"/>
      <c r="AQ19" s="193" t="s">
        <v>475</v>
      </c>
      <c r="AR19" s="194"/>
      <c r="AS19" s="195"/>
      <c r="BA19" s="6"/>
      <c r="BB19" s="6"/>
      <c r="BC19" s="193" t="s">
        <v>475</v>
      </c>
      <c r="BD19" s="194"/>
      <c r="BE19" s="195"/>
      <c r="BF19" s="43"/>
      <c r="BG19" s="44"/>
      <c r="BH19" s="44"/>
      <c r="CM19" s="204" t="s">
        <v>473</v>
      </c>
      <c r="CN19" s="205"/>
      <c r="CO19" s="205"/>
      <c r="CP19" s="204" t="s">
        <v>473</v>
      </c>
      <c r="CQ19" s="205"/>
      <c r="CR19" s="205"/>
      <c r="CS19" s="206"/>
      <c r="CT19" s="193" t="s">
        <v>475</v>
      </c>
      <c r="CU19" s="194"/>
      <c r="CV19" s="195"/>
      <c r="DC19" s="202"/>
      <c r="DD19" s="202"/>
      <c r="DE19" s="202"/>
      <c r="DF19" s="193" t="s">
        <v>475</v>
      </c>
      <c r="DG19" s="194"/>
      <c r="DH19" s="195"/>
      <c r="DI19" s="196" t="s">
        <v>28</v>
      </c>
      <c r="DJ19" s="197"/>
      <c r="DK19" s="197"/>
      <c r="DL19" s="198"/>
      <c r="DS19" s="196" t="s">
        <v>28</v>
      </c>
      <c r="DT19" s="197"/>
      <c r="DU19" s="197"/>
      <c r="DV19" s="198"/>
      <c r="DW19" s="196" t="s">
        <v>28</v>
      </c>
      <c r="DX19" s="197"/>
      <c r="DY19" s="197"/>
      <c r="DZ19" s="198"/>
      <c r="EA19" s="196" t="s">
        <v>28</v>
      </c>
      <c r="EB19" s="197"/>
      <c r="EC19" s="197"/>
      <c r="ED19" s="198"/>
      <c r="EE19" s="187" t="s">
        <v>474</v>
      </c>
      <c r="EF19" s="188"/>
      <c r="EG19" s="188"/>
      <c r="EH19" s="187" t="s">
        <v>474</v>
      </c>
      <c r="EI19" s="188"/>
      <c r="EJ19" s="189"/>
      <c r="EZ19" s="187" t="s">
        <v>474</v>
      </c>
      <c r="FA19" s="188"/>
      <c r="FB19" s="189"/>
      <c r="FI19" s="190" t="s">
        <v>475</v>
      </c>
      <c r="FJ19" s="191"/>
      <c r="FK19" s="192"/>
      <c r="FL19" s="190" t="s">
        <v>475</v>
      </c>
      <c r="FM19" s="191"/>
      <c r="FN19" s="192"/>
      <c r="FO19" s="187" t="s">
        <v>474</v>
      </c>
      <c r="FP19" s="188"/>
      <c r="FQ19" s="189"/>
      <c r="FR19" s="79"/>
      <c r="FS19" s="111"/>
    </row>
    <row r="20" spans="1:179" x14ac:dyDescent="0.35">
      <c r="D20" s="9"/>
      <c r="Y20" s="6"/>
      <c r="BA20" s="6"/>
      <c r="BB20" s="6"/>
    </row>
    <row r="21" spans="1:179" x14ac:dyDescent="0.35">
      <c r="D21" s="9"/>
      <c r="F21" s="97"/>
    </row>
    <row r="22" spans="1:179" x14ac:dyDescent="0.35">
      <c r="D22" s="9"/>
      <c r="F22" s="97"/>
      <c r="Y22" s="6"/>
      <c r="BA22" s="6"/>
      <c r="BB22" s="6"/>
    </row>
    <row r="23" spans="1:179" ht="14.5" customHeight="1" x14ac:dyDescent="0.35">
      <c r="A23" s="203" t="s">
        <v>476</v>
      </c>
      <c r="B23" s="203"/>
      <c r="C23" s="203"/>
      <c r="D23" s="203"/>
      <c r="E23" s="203"/>
      <c r="Y23" s="6"/>
      <c r="BA23" s="6"/>
      <c r="BB23" s="6"/>
    </row>
    <row r="24" spans="1:179" ht="14.5" customHeight="1" x14ac:dyDescent="0.35">
      <c r="A24" s="203"/>
      <c r="B24" s="203"/>
      <c r="C24" s="203"/>
      <c r="D24" s="203"/>
      <c r="E24" s="203"/>
    </row>
    <row r="25" spans="1:179" x14ac:dyDescent="0.35">
      <c r="D25" s="9"/>
    </row>
    <row r="26" spans="1:179" ht="43.5" x14ac:dyDescent="0.35">
      <c r="A26" s="99" t="s">
        <v>466</v>
      </c>
      <c r="B26" s="100" t="s">
        <v>468</v>
      </c>
      <c r="C26" s="100" t="s">
        <v>469</v>
      </c>
      <c r="D26" s="100" t="s">
        <v>470</v>
      </c>
      <c r="E26" s="101" t="s">
        <v>471</v>
      </c>
    </row>
    <row r="27" spans="1:179" x14ac:dyDescent="0.35">
      <c r="A27" s="113"/>
      <c r="B27" s="102"/>
      <c r="C27" s="102"/>
      <c r="D27" s="103"/>
      <c r="E27" s="102"/>
    </row>
    <row r="28" spans="1:179" x14ac:dyDescent="0.35">
      <c r="A28" s="114"/>
      <c r="B28" s="102"/>
      <c r="C28" s="102"/>
      <c r="D28" s="103"/>
      <c r="E28" s="102"/>
    </row>
    <row r="29" spans="1:179" x14ac:dyDescent="0.35">
      <c r="A29" s="113"/>
      <c r="B29" s="102"/>
      <c r="C29" s="102"/>
      <c r="D29" s="103"/>
      <c r="E29" s="102"/>
    </row>
    <row r="30" spans="1:179" x14ac:dyDescent="0.35">
      <c r="A30" s="114"/>
      <c r="B30" s="102"/>
      <c r="C30" s="102"/>
      <c r="D30" s="103"/>
      <c r="E30" s="102"/>
    </row>
    <row r="31" spans="1:179" x14ac:dyDescent="0.35">
      <c r="A31" s="113"/>
      <c r="B31" s="102"/>
      <c r="C31" s="102"/>
      <c r="D31" s="103"/>
      <c r="E31" s="102"/>
    </row>
    <row r="32" spans="1:179" x14ac:dyDescent="0.35">
      <c r="A32" s="114"/>
      <c r="B32" s="102"/>
      <c r="C32" s="102"/>
      <c r="D32" s="103"/>
      <c r="E32" s="102"/>
    </row>
    <row r="33" spans="1:5" x14ac:dyDescent="0.35">
      <c r="A33" s="113"/>
      <c r="B33" s="102"/>
      <c r="C33" s="102"/>
      <c r="D33" s="103"/>
      <c r="E33" s="102"/>
    </row>
    <row r="34" spans="1:5" x14ac:dyDescent="0.35">
      <c r="A34" s="114"/>
      <c r="B34" s="102"/>
      <c r="C34" s="102"/>
      <c r="D34" s="103"/>
      <c r="E34" s="102"/>
    </row>
    <row r="35" spans="1:5" x14ac:dyDescent="0.35">
      <c r="A35" s="115"/>
      <c r="B35" s="102"/>
      <c r="C35" s="102"/>
      <c r="D35" s="103"/>
      <c r="E35" s="102"/>
    </row>
    <row r="36" spans="1:5" x14ac:dyDescent="0.35">
      <c r="A36" s="116"/>
      <c r="B36" s="102"/>
      <c r="C36" s="102"/>
      <c r="D36" s="103"/>
      <c r="E36" s="102"/>
    </row>
    <row r="37" spans="1:5" x14ac:dyDescent="0.35">
      <c r="A37" s="102"/>
      <c r="B37" s="102"/>
      <c r="C37" s="102"/>
      <c r="D37" s="103"/>
      <c r="E37" s="102"/>
    </row>
    <row r="38" spans="1:5" x14ac:dyDescent="0.35">
      <c r="A38" s="102"/>
      <c r="B38" s="102"/>
      <c r="C38" s="102"/>
      <c r="D38" s="103"/>
      <c r="E38" s="102"/>
    </row>
    <row r="39" spans="1:5" x14ac:dyDescent="0.35">
      <c r="A39" s="102"/>
      <c r="B39" s="102"/>
      <c r="C39" s="102"/>
      <c r="D39" s="103"/>
      <c r="E39" s="102"/>
    </row>
    <row r="40" spans="1:5" x14ac:dyDescent="0.35">
      <c r="A40" s="102"/>
      <c r="B40" s="102"/>
      <c r="C40" s="102"/>
      <c r="D40" s="103"/>
      <c r="E40" s="102"/>
    </row>
    <row r="41" spans="1:5" x14ac:dyDescent="0.35">
      <c r="A41" s="102"/>
      <c r="B41" s="102"/>
      <c r="C41" s="102"/>
      <c r="D41" s="103"/>
      <c r="E41" s="102"/>
    </row>
    <row r="42" spans="1:5" x14ac:dyDescent="0.35">
      <c r="A42" s="102"/>
      <c r="B42" s="102"/>
      <c r="C42" s="102"/>
      <c r="D42" s="103"/>
      <c r="E42" s="102"/>
    </row>
    <row r="43" spans="1:5" x14ac:dyDescent="0.35">
      <c r="A43" s="102"/>
      <c r="B43" s="102"/>
      <c r="C43" s="102"/>
      <c r="D43" s="103"/>
      <c r="E43" s="102"/>
    </row>
    <row r="44" spans="1:5" x14ac:dyDescent="0.35">
      <c r="A44" s="102"/>
      <c r="B44" s="102"/>
      <c r="C44" s="102"/>
      <c r="D44" s="103"/>
      <c r="E44" s="102"/>
    </row>
    <row r="45" spans="1:5" x14ac:dyDescent="0.35">
      <c r="A45" s="102"/>
      <c r="B45" s="102"/>
      <c r="C45" s="102"/>
      <c r="D45" s="103"/>
      <c r="E45" s="102"/>
    </row>
    <row r="46" spans="1:5" x14ac:dyDescent="0.35">
      <c r="A46" s="102"/>
      <c r="B46" s="102"/>
      <c r="C46" s="102"/>
      <c r="D46" s="103"/>
      <c r="E46" s="102"/>
    </row>
    <row r="47" spans="1:5" x14ac:dyDescent="0.35">
      <c r="A47" s="102"/>
      <c r="B47" s="102"/>
      <c r="C47" s="102"/>
      <c r="D47" s="103"/>
      <c r="E47" s="102"/>
    </row>
    <row r="48" spans="1:5" x14ac:dyDescent="0.35">
      <c r="A48" s="102"/>
      <c r="B48" s="102"/>
      <c r="C48" s="102"/>
      <c r="D48" s="103"/>
      <c r="E48" s="102"/>
    </row>
    <row r="49" spans="1:5" x14ac:dyDescent="0.35">
      <c r="A49" s="102"/>
      <c r="B49" s="102"/>
      <c r="C49" s="102"/>
      <c r="D49" s="103"/>
      <c r="E49" s="102"/>
    </row>
    <row r="50" spans="1:5" x14ac:dyDescent="0.35">
      <c r="A50" s="102"/>
      <c r="B50" s="102"/>
      <c r="C50" s="102"/>
      <c r="D50" s="103"/>
      <c r="E50" s="102"/>
    </row>
    <row r="51" spans="1:5" x14ac:dyDescent="0.35">
      <c r="A51" s="102"/>
      <c r="B51" s="102"/>
      <c r="C51" s="102"/>
      <c r="D51" s="103"/>
      <c r="E51" s="102"/>
    </row>
    <row r="52" spans="1:5" x14ac:dyDescent="0.35">
      <c r="A52" s="102"/>
      <c r="B52" s="102"/>
      <c r="C52" s="102"/>
      <c r="D52" s="103"/>
      <c r="E52" s="102"/>
    </row>
    <row r="53" spans="1:5" x14ac:dyDescent="0.35">
      <c r="A53" s="102"/>
      <c r="B53" s="102"/>
      <c r="C53" s="102"/>
      <c r="D53" s="103"/>
      <c r="E53" s="102"/>
    </row>
    <row r="54" spans="1:5" x14ac:dyDescent="0.35">
      <c r="A54" s="102"/>
      <c r="B54" s="102"/>
      <c r="C54" s="102"/>
      <c r="D54" s="103"/>
      <c r="E54" s="102"/>
    </row>
    <row r="55" spans="1:5" x14ac:dyDescent="0.35">
      <c r="A55" s="102"/>
      <c r="B55" s="102"/>
      <c r="C55" s="102"/>
      <c r="D55" s="103"/>
      <c r="E55" s="102"/>
    </row>
    <row r="56" spans="1:5" x14ac:dyDescent="0.35">
      <c r="A56" s="102"/>
      <c r="B56" s="102"/>
      <c r="C56" s="102"/>
      <c r="D56" s="103"/>
      <c r="E56" s="102"/>
    </row>
    <row r="57" spans="1:5" x14ac:dyDescent="0.35">
      <c r="A57" s="102"/>
      <c r="B57" s="102"/>
      <c r="C57" s="102"/>
      <c r="D57" s="103"/>
      <c r="E57" s="102"/>
    </row>
    <row r="58" spans="1:5" x14ac:dyDescent="0.35">
      <c r="A58" s="102"/>
      <c r="B58" s="102"/>
      <c r="C58" s="102"/>
      <c r="D58" s="103"/>
      <c r="E58" s="102"/>
    </row>
    <row r="59" spans="1:5" x14ac:dyDescent="0.35">
      <c r="A59" s="102"/>
      <c r="B59" s="102"/>
      <c r="C59" s="102"/>
      <c r="D59" s="103"/>
      <c r="E59" s="102"/>
    </row>
    <row r="60" spans="1:5" x14ac:dyDescent="0.35">
      <c r="A60" s="102"/>
      <c r="B60" s="102"/>
      <c r="C60" s="102"/>
      <c r="D60" s="103"/>
      <c r="E60" s="102"/>
    </row>
    <row r="61" spans="1:5" x14ac:dyDescent="0.35">
      <c r="A61" s="102"/>
      <c r="B61" s="102"/>
      <c r="C61" s="102"/>
      <c r="D61" s="103"/>
      <c r="E61" s="102"/>
    </row>
    <row r="62" spans="1:5" x14ac:dyDescent="0.35">
      <c r="A62" s="102"/>
      <c r="B62" s="102"/>
      <c r="C62" s="102"/>
      <c r="D62" s="103"/>
      <c r="E62" s="102"/>
    </row>
    <row r="63" spans="1:5" x14ac:dyDescent="0.35">
      <c r="A63" s="102"/>
      <c r="B63" s="102"/>
      <c r="C63" s="102"/>
      <c r="D63" s="103"/>
      <c r="E63" s="102"/>
    </row>
    <row r="64" spans="1:5" x14ac:dyDescent="0.35">
      <c r="A64" s="102"/>
      <c r="B64" s="102"/>
      <c r="C64" s="102"/>
      <c r="D64" s="103"/>
      <c r="E64" s="102"/>
    </row>
    <row r="65" spans="1:5" x14ac:dyDescent="0.35">
      <c r="A65" s="102"/>
      <c r="B65" s="102"/>
      <c r="C65" s="102"/>
      <c r="D65" s="103"/>
      <c r="E65" s="102"/>
    </row>
    <row r="66" spans="1:5" x14ac:dyDescent="0.35">
      <c r="A66" s="102"/>
      <c r="B66" s="102"/>
      <c r="C66" s="102"/>
      <c r="D66" s="103"/>
      <c r="E66" s="102"/>
    </row>
    <row r="67" spans="1:5" x14ac:dyDescent="0.35">
      <c r="A67" s="102"/>
      <c r="B67" s="102"/>
      <c r="C67" s="102"/>
      <c r="D67" s="103"/>
      <c r="E67" s="102"/>
    </row>
    <row r="68" spans="1:5" x14ac:dyDescent="0.35">
      <c r="A68" s="102"/>
      <c r="B68" s="102"/>
      <c r="C68" s="102"/>
      <c r="D68" s="103"/>
      <c r="E68" s="102"/>
    </row>
    <row r="69" spans="1:5" x14ac:dyDescent="0.35">
      <c r="A69" s="102"/>
      <c r="B69" s="102"/>
      <c r="C69" s="102"/>
      <c r="D69" s="103"/>
      <c r="E69" s="102"/>
    </row>
    <row r="70" spans="1:5" x14ac:dyDescent="0.35">
      <c r="A70" s="102"/>
      <c r="B70" s="102"/>
      <c r="C70" s="102"/>
      <c r="D70" s="103"/>
      <c r="E70" s="102"/>
    </row>
    <row r="71" spans="1:5" x14ac:dyDescent="0.35">
      <c r="A71" s="102"/>
      <c r="B71" s="102"/>
      <c r="C71" s="102"/>
      <c r="D71" s="103"/>
      <c r="E71" s="102"/>
    </row>
    <row r="72" spans="1:5" x14ac:dyDescent="0.35">
      <c r="A72" s="102"/>
      <c r="B72" s="102"/>
      <c r="C72" s="102"/>
      <c r="D72" s="103"/>
      <c r="E72" s="102"/>
    </row>
    <row r="73" spans="1:5" x14ac:dyDescent="0.35">
      <c r="A73" s="102"/>
      <c r="B73" s="102"/>
      <c r="C73" s="102"/>
      <c r="D73" s="103"/>
      <c r="E73" s="102"/>
    </row>
    <row r="74" spans="1:5" x14ac:dyDescent="0.35">
      <c r="A74" s="102"/>
      <c r="B74" s="102"/>
      <c r="C74" s="102"/>
      <c r="D74" s="103"/>
      <c r="E74" s="102"/>
    </row>
    <row r="75" spans="1:5" x14ac:dyDescent="0.35">
      <c r="A75" s="102"/>
      <c r="B75" s="102"/>
      <c r="C75" s="102"/>
      <c r="D75" s="103"/>
      <c r="E75" s="102"/>
    </row>
    <row r="76" spans="1:5" x14ac:dyDescent="0.35">
      <c r="A76" s="102"/>
      <c r="B76" s="102"/>
      <c r="C76" s="102"/>
      <c r="D76" s="103"/>
      <c r="E76" s="102"/>
    </row>
    <row r="77" spans="1:5" x14ac:dyDescent="0.35">
      <c r="A77" s="102"/>
      <c r="B77" s="102"/>
      <c r="C77" s="102"/>
      <c r="D77" s="103"/>
      <c r="E77" s="102"/>
    </row>
    <row r="78" spans="1:5" x14ac:dyDescent="0.35">
      <c r="A78" s="102"/>
      <c r="B78" s="102"/>
      <c r="C78" s="102"/>
      <c r="D78" s="103"/>
      <c r="E78" s="102"/>
    </row>
    <row r="79" spans="1:5" x14ac:dyDescent="0.35">
      <c r="A79" s="102"/>
      <c r="B79" s="102"/>
      <c r="C79" s="102"/>
      <c r="D79" s="103"/>
      <c r="E79" s="102"/>
    </row>
    <row r="80" spans="1:5" x14ac:dyDescent="0.35">
      <c r="A80" s="102"/>
      <c r="B80" s="102"/>
      <c r="C80" s="102"/>
      <c r="D80" s="103"/>
      <c r="E80" s="102"/>
    </row>
    <row r="81" spans="1:5" x14ac:dyDescent="0.35">
      <c r="A81" s="102"/>
      <c r="B81" s="102"/>
      <c r="C81" s="102"/>
      <c r="D81" s="103"/>
      <c r="E81" s="102"/>
    </row>
    <row r="82" spans="1:5" x14ac:dyDescent="0.35">
      <c r="A82" s="102"/>
      <c r="B82" s="102"/>
      <c r="C82" s="102"/>
      <c r="D82" s="103"/>
      <c r="E82" s="102"/>
    </row>
    <row r="83" spans="1:5" x14ac:dyDescent="0.35">
      <c r="A83" s="102"/>
      <c r="B83" s="102"/>
      <c r="C83" s="102"/>
      <c r="D83" s="103"/>
      <c r="E83" s="102"/>
    </row>
    <row r="84" spans="1:5" x14ac:dyDescent="0.35">
      <c r="A84" s="102"/>
      <c r="B84" s="102"/>
      <c r="C84" s="102"/>
      <c r="D84" s="103"/>
      <c r="E84" s="102"/>
    </row>
    <row r="85" spans="1:5" x14ac:dyDescent="0.35">
      <c r="A85" s="102"/>
      <c r="B85" s="102"/>
      <c r="C85" s="102"/>
      <c r="D85" s="103"/>
      <c r="E85" s="102"/>
    </row>
    <row r="86" spans="1:5" x14ac:dyDescent="0.35">
      <c r="A86" s="102"/>
      <c r="B86" s="102"/>
      <c r="C86" s="102"/>
      <c r="D86" s="103"/>
      <c r="E86" s="102"/>
    </row>
    <row r="87" spans="1:5" x14ac:dyDescent="0.35">
      <c r="A87" s="102"/>
      <c r="B87" s="102"/>
      <c r="C87" s="102"/>
      <c r="D87" s="103"/>
      <c r="E87" s="102"/>
    </row>
    <row r="88" spans="1:5" x14ac:dyDescent="0.35">
      <c r="A88" s="102"/>
      <c r="B88" s="102"/>
      <c r="C88" s="102"/>
      <c r="D88" s="103"/>
      <c r="E88" s="102"/>
    </row>
    <row r="89" spans="1:5" x14ac:dyDescent="0.35">
      <c r="A89" s="102"/>
      <c r="B89" s="102"/>
      <c r="C89" s="102"/>
      <c r="D89" s="103"/>
      <c r="E89" s="102"/>
    </row>
    <row r="90" spans="1:5" x14ac:dyDescent="0.35">
      <c r="A90" s="102"/>
      <c r="B90" s="102"/>
      <c r="C90" s="102"/>
      <c r="D90" s="103"/>
      <c r="E90" s="102"/>
    </row>
    <row r="91" spans="1:5" x14ac:dyDescent="0.35">
      <c r="A91" s="102"/>
      <c r="B91" s="102"/>
      <c r="C91" s="102"/>
      <c r="D91" s="103"/>
      <c r="E91" s="102"/>
    </row>
    <row r="92" spans="1:5" x14ac:dyDescent="0.35">
      <c r="A92" s="102"/>
      <c r="B92" s="102"/>
      <c r="C92" s="102"/>
      <c r="D92" s="103"/>
      <c r="E92" s="102"/>
    </row>
    <row r="93" spans="1:5" x14ac:dyDescent="0.35">
      <c r="A93" s="102"/>
      <c r="B93" s="102"/>
      <c r="C93" s="102"/>
      <c r="D93" s="103"/>
      <c r="E93" s="102"/>
    </row>
    <row r="94" spans="1:5" x14ac:dyDescent="0.35">
      <c r="A94" s="102"/>
      <c r="B94" s="102"/>
      <c r="C94" s="102"/>
      <c r="D94" s="103"/>
      <c r="E94" s="102"/>
    </row>
    <row r="95" spans="1:5" x14ac:dyDescent="0.35">
      <c r="A95" s="102"/>
      <c r="B95" s="102"/>
      <c r="C95" s="102"/>
      <c r="D95" s="103"/>
      <c r="E95" s="102"/>
    </row>
    <row r="96" spans="1:5" x14ac:dyDescent="0.35">
      <c r="A96" s="102"/>
      <c r="B96" s="102"/>
      <c r="C96" s="102"/>
      <c r="D96" s="103"/>
      <c r="E96" s="102"/>
    </row>
    <row r="97" spans="1:5" x14ac:dyDescent="0.35">
      <c r="A97" s="102"/>
      <c r="B97" s="102"/>
      <c r="C97" s="102"/>
      <c r="D97" s="103"/>
      <c r="E97" s="102"/>
    </row>
    <row r="98" spans="1:5" x14ac:dyDescent="0.35">
      <c r="A98" s="102"/>
      <c r="B98" s="102"/>
      <c r="C98" s="102"/>
      <c r="D98" s="103"/>
      <c r="E98" s="102"/>
    </row>
    <row r="99" spans="1:5" x14ac:dyDescent="0.35">
      <c r="A99" s="102"/>
      <c r="B99" s="102"/>
      <c r="C99" s="102"/>
      <c r="D99" s="103"/>
      <c r="E99" s="102"/>
    </row>
    <row r="100" spans="1:5" x14ac:dyDescent="0.35">
      <c r="A100" s="102"/>
      <c r="B100" s="102"/>
      <c r="C100" s="102"/>
      <c r="D100" s="103"/>
      <c r="E100" s="102"/>
    </row>
    <row r="101" spans="1:5" x14ac:dyDescent="0.35">
      <c r="A101" s="102"/>
      <c r="B101" s="102"/>
      <c r="C101" s="102"/>
      <c r="D101" s="103"/>
      <c r="E101" s="102"/>
    </row>
    <row r="102" spans="1:5" x14ac:dyDescent="0.35">
      <c r="A102" s="102"/>
      <c r="B102" s="102"/>
      <c r="C102" s="102"/>
      <c r="D102" s="103"/>
      <c r="E102" s="102"/>
    </row>
    <row r="103" spans="1:5" x14ac:dyDescent="0.35">
      <c r="A103" s="102"/>
      <c r="B103" s="102"/>
      <c r="C103" s="102"/>
      <c r="D103" s="103"/>
      <c r="E103" s="102"/>
    </row>
    <row r="104" spans="1:5" x14ac:dyDescent="0.35">
      <c r="A104" s="102"/>
      <c r="B104" s="102"/>
      <c r="C104" s="102"/>
      <c r="D104" s="103"/>
      <c r="E104" s="102"/>
    </row>
    <row r="105" spans="1:5" x14ac:dyDescent="0.35">
      <c r="A105" s="102"/>
      <c r="B105" s="102"/>
      <c r="C105" s="102"/>
      <c r="D105" s="103"/>
      <c r="E105" s="102"/>
    </row>
    <row r="106" spans="1:5" x14ac:dyDescent="0.35">
      <c r="A106" s="102"/>
      <c r="B106" s="102"/>
      <c r="C106" s="102"/>
      <c r="D106" s="103"/>
      <c r="E106" s="102"/>
    </row>
    <row r="107" spans="1:5" x14ac:dyDescent="0.35">
      <c r="A107" s="102"/>
      <c r="B107" s="102"/>
      <c r="C107" s="102"/>
      <c r="D107" s="103"/>
      <c r="E107" s="102"/>
    </row>
    <row r="108" spans="1:5" x14ac:dyDescent="0.35">
      <c r="A108" s="102"/>
      <c r="B108" s="102"/>
      <c r="C108" s="102"/>
      <c r="D108" s="103"/>
      <c r="E108" s="102"/>
    </row>
    <row r="109" spans="1:5" x14ac:dyDescent="0.35">
      <c r="A109" s="102"/>
      <c r="B109" s="102"/>
      <c r="C109" s="102"/>
      <c r="D109" s="103"/>
      <c r="E109" s="102"/>
    </row>
    <row r="110" spans="1:5" x14ac:dyDescent="0.35">
      <c r="A110" s="102"/>
      <c r="B110" s="102"/>
      <c r="C110" s="102"/>
      <c r="D110" s="103"/>
      <c r="E110" s="102"/>
    </row>
    <row r="111" spans="1:5" x14ac:dyDescent="0.35">
      <c r="A111" s="102"/>
      <c r="B111" s="102"/>
      <c r="C111" s="102"/>
      <c r="D111" s="103"/>
      <c r="E111" s="102"/>
    </row>
    <row r="112" spans="1:5" x14ac:dyDescent="0.35">
      <c r="A112" s="102"/>
      <c r="B112" s="102"/>
      <c r="C112" s="102"/>
      <c r="D112" s="103"/>
      <c r="E112" s="102"/>
    </row>
    <row r="113" spans="1:5" x14ac:dyDescent="0.35">
      <c r="A113" s="102"/>
      <c r="B113" s="102"/>
      <c r="C113" s="102"/>
      <c r="D113" s="103"/>
      <c r="E113" s="102"/>
    </row>
    <row r="114" spans="1:5" x14ac:dyDescent="0.35">
      <c r="A114" s="102"/>
      <c r="B114" s="102"/>
      <c r="C114" s="102"/>
      <c r="D114" s="103"/>
      <c r="E114" s="102"/>
    </row>
    <row r="115" spans="1:5" x14ac:dyDescent="0.35">
      <c r="A115" s="102"/>
      <c r="B115" s="102"/>
      <c r="C115" s="102"/>
      <c r="D115" s="103"/>
      <c r="E115" s="102"/>
    </row>
    <row r="116" spans="1:5" x14ac:dyDescent="0.35">
      <c r="A116" s="102"/>
      <c r="B116" s="102"/>
      <c r="C116" s="102"/>
      <c r="D116" s="103"/>
      <c r="E116" s="102"/>
    </row>
    <row r="117" spans="1:5" x14ac:dyDescent="0.35">
      <c r="A117" s="102"/>
      <c r="B117" s="102"/>
      <c r="C117" s="102"/>
      <c r="D117" s="103"/>
      <c r="E117" s="102"/>
    </row>
    <row r="118" spans="1:5" x14ac:dyDescent="0.35">
      <c r="A118" s="102"/>
      <c r="B118" s="102"/>
      <c r="C118" s="102"/>
      <c r="D118" s="103"/>
      <c r="E118" s="102"/>
    </row>
    <row r="119" spans="1:5" x14ac:dyDescent="0.35">
      <c r="A119" s="102"/>
      <c r="B119" s="102"/>
      <c r="C119" s="102"/>
      <c r="D119" s="103"/>
      <c r="E119" s="102"/>
    </row>
    <row r="120" spans="1:5" x14ac:dyDescent="0.35">
      <c r="A120" s="102"/>
      <c r="B120" s="102"/>
      <c r="C120" s="102"/>
      <c r="D120" s="103"/>
      <c r="E120" s="102"/>
    </row>
    <row r="121" spans="1:5" x14ac:dyDescent="0.35">
      <c r="A121" s="102"/>
      <c r="B121" s="102"/>
      <c r="C121" s="102"/>
      <c r="D121" s="103"/>
      <c r="E121" s="102"/>
    </row>
    <row r="122" spans="1:5" x14ac:dyDescent="0.35">
      <c r="A122" s="102"/>
      <c r="B122" s="102"/>
      <c r="C122" s="102"/>
      <c r="D122" s="103"/>
      <c r="E122" s="102"/>
    </row>
    <row r="123" spans="1:5" x14ac:dyDescent="0.35">
      <c r="A123" s="102"/>
      <c r="B123" s="102"/>
      <c r="C123" s="102"/>
      <c r="D123" s="103"/>
      <c r="E123" s="102"/>
    </row>
    <row r="124" spans="1:5" x14ac:dyDescent="0.35">
      <c r="A124" s="102"/>
      <c r="B124" s="102"/>
      <c r="C124" s="102"/>
      <c r="D124" s="103"/>
      <c r="E124" s="102"/>
    </row>
    <row r="125" spans="1:5" x14ac:dyDescent="0.35">
      <c r="A125" s="102"/>
      <c r="B125" s="102"/>
      <c r="C125" s="102"/>
      <c r="D125" s="103"/>
      <c r="E125" s="102"/>
    </row>
    <row r="126" spans="1:5" x14ac:dyDescent="0.35">
      <c r="A126" s="102"/>
      <c r="B126" s="102"/>
      <c r="C126" s="102"/>
      <c r="D126" s="103"/>
      <c r="E126" s="102"/>
    </row>
  </sheetData>
  <protectedRanges>
    <protectedRange sqref="A27:A36" name="Range1" securityDescriptor="O:WDG:WDD:(A;;CC;;;S-1-5-21-3588447096-1463914-869570945-3636980)"/>
  </protectedRanges>
  <autoFilter ref="A8:FW19" xr:uid="{7988B55A-02E0-4163-AAFE-D6E093B4BA9A}"/>
  <mergeCells count="91">
    <mergeCell ref="A23:E24"/>
    <mergeCell ref="FL7:FN7"/>
    <mergeCell ref="CP19:CS19"/>
    <mergeCell ref="CP7:CS7"/>
    <mergeCell ref="EZ4:FR4"/>
    <mergeCell ref="CM4:EY4"/>
    <mergeCell ref="DF7:DH7"/>
    <mergeCell ref="EE7:EG7"/>
    <mergeCell ref="EH7:EJ7"/>
    <mergeCell ref="EQ7:ES7"/>
    <mergeCell ref="DS7:DV7"/>
    <mergeCell ref="DW7:DZ7"/>
    <mergeCell ref="EN7:EP7"/>
    <mergeCell ref="EK7:EM7"/>
    <mergeCell ref="CM19:CO19"/>
    <mergeCell ref="CT19:CV19"/>
    <mergeCell ref="DC19:DE19"/>
    <mergeCell ref="BF4:CL4"/>
    <mergeCell ref="J4:BE4"/>
    <mergeCell ref="I5:BH6"/>
    <mergeCell ref="AZ7:BB7"/>
    <mergeCell ref="BC7:BE7"/>
    <mergeCell ref="BF7:BH7"/>
    <mergeCell ref="BI7:BK7"/>
    <mergeCell ref="BL7:BN7"/>
    <mergeCell ref="BO7:BQ7"/>
    <mergeCell ref="BU7:BW7"/>
    <mergeCell ref="V7:X7"/>
    <mergeCell ref="Y7:AA7"/>
    <mergeCell ref="AE7:AG7"/>
    <mergeCell ref="AH7:AJ7"/>
    <mergeCell ref="BR7:BT7"/>
    <mergeCell ref="H1:H2"/>
    <mergeCell ref="G1:G2"/>
    <mergeCell ref="I1:CU2"/>
    <mergeCell ref="J3:AA3"/>
    <mergeCell ref="AE3:AG3"/>
    <mergeCell ref="AH3:AP3"/>
    <mergeCell ref="AQ3:BA3"/>
    <mergeCell ref="BC3:BH3"/>
    <mergeCell ref="AK7:AM7"/>
    <mergeCell ref="AN7:AP7"/>
    <mergeCell ref="AQ7:AS7"/>
    <mergeCell ref="AT7:AV7"/>
    <mergeCell ref="AW7:AY7"/>
    <mergeCell ref="AB7:AD7"/>
    <mergeCell ref="A7:G7"/>
    <mergeCell ref="J7:L7"/>
    <mergeCell ref="M7:O7"/>
    <mergeCell ref="P7:R7"/>
    <mergeCell ref="S7:U7"/>
    <mergeCell ref="CA7:CC7"/>
    <mergeCell ref="CD7:CF7"/>
    <mergeCell ref="CG7:CI7"/>
    <mergeCell ref="CJ7:CL7"/>
    <mergeCell ref="FT5:FW7"/>
    <mergeCell ref="BI5:FK6"/>
    <mergeCell ref="EW7:EY7"/>
    <mergeCell ref="EZ7:FB7"/>
    <mergeCell ref="BX7:BZ7"/>
    <mergeCell ref="FL5:FR6"/>
    <mergeCell ref="FC7:FE7"/>
    <mergeCell ref="FF7:FH7"/>
    <mergeCell ref="FI7:FK7"/>
    <mergeCell ref="FO7:FQ7"/>
    <mergeCell ref="ET7:EV7"/>
    <mergeCell ref="DP7:DR7"/>
    <mergeCell ref="M19:O19"/>
    <mergeCell ref="P19:R19"/>
    <mergeCell ref="AH19:AJ19"/>
    <mergeCell ref="AQ19:AS19"/>
    <mergeCell ref="BC19:BE19"/>
    <mergeCell ref="CM7:CO7"/>
    <mergeCell ref="CT7:CV7"/>
    <mergeCell ref="CW7:CY7"/>
    <mergeCell ref="CZ7:DB7"/>
    <mergeCell ref="DC7:DE7"/>
    <mergeCell ref="DI7:DL7"/>
    <mergeCell ref="DS19:DV19"/>
    <mergeCell ref="DW19:DZ19"/>
    <mergeCell ref="DM7:DO7"/>
    <mergeCell ref="EA7:ED7"/>
    <mergeCell ref="FO19:FQ19"/>
    <mergeCell ref="FL19:FN19"/>
    <mergeCell ref="DF19:DH19"/>
    <mergeCell ref="DI19:DL19"/>
    <mergeCell ref="EE19:EG19"/>
    <mergeCell ref="EH19:EJ19"/>
    <mergeCell ref="EZ19:FB19"/>
    <mergeCell ref="FI19:FK19"/>
    <mergeCell ref="EA19:ED19"/>
  </mergeCells>
  <conditionalFormatting sqref="L10 O10 U10 X10 AA10 AG10 AJ10 AM10 AP10 AS10 AV10 AY10 BB10 BE10 BH10 BK10 BN10 BQ10 BT10 BW10 BZ10 CC10 CF10 CI10 CL10 CO10 CV10 CY10 DB10 DE10 DH10 DO10 DZ10:EA10 ED10 EJ10 EM10 EP10 ES10 EV10 EY10 FB10 FE10 FH10 FQ10 FK10 L12 O12 R12 U12 X12 AA12 AG12 AJ12 AM12 AP12 AS12 AV12 AY12 BB12 BE12 BH12 BK12 BN12 BQ12 BT12 BW12 BZ12 CC12 CF12 CI12 CL12 CO12 CV12 CY12 DB12 DE12 DH12 DL12 DO12 DZ12 ED12 EG12 EJ12 EM12 EP12 ES12 EV12 EY12 FB12 FE12 FH12 FQ12 FK12 L14 O14 R14 U14 X14 AA14 AG14 AJ14 AM14 AP14 AS14 AV14 AY14 BB14 BE14 BH14 BK14 BN14 BQ14 BT14 BW14 BZ14 CC14 CF14 CI14 CL14 CO14 CV14 CY14 DB14 DE14 DH14 DL14 DO14 DZ14 ED14 EG14 EJ14 EM14 EP14 ES14 EV14 EY14 FB14 FE14 FH14 FQ14 FK14 L16 O16 R16 U16 X16 AA16 AG16 AJ16 AM16 AP16 AS16 AV16 AY16 BB16 BE16 BH16 BK16 BN16 BQ16 BT16 BW16 BZ16 CC16 CF16 CI16 CL16 CO16 CV16 CY16 DB16 DE16 DH16 DL16 DO16 DZ16 ED16 EG16 EJ16 EM16 EP16 ES16 EV16 EY16 FB16 FE16 FH16 FQ16 FK16 L18 O18 R18 U18 X18 AA18 AG18 AJ18 AM18 AP18 AS18 AV18 AY18 BB18 BE18 BH18 BK18 BN18 BQ18 BT18 BW18 BZ18 CC18 CF18 CI18 CL18 CO18 CV18 CY18 DB18 DE18 DH18 DL18 DO18 DZ18 ED18 EG18 EJ18 EM18 EP18 ES18 EV18 EY18 FB18 FE18 FH18 FQ18 FK18 R10 EG10 DR10:DR18 CR18 CR16 CR14 CR12 DV10:DV18 I10:I18 AD10 AD12 AD14 AD16 AD18 CR10 FN10 FN12 FN14 FN16 FN18 DL10">
    <cfRule type="notContainsBlanks" dxfId="30" priority="34">
      <formula>LEN(TRIM(I10))&gt;0</formula>
    </cfRule>
  </conditionalFormatting>
  <conditionalFormatting sqref="E1:E22 E1048550:E1048576 E25">
    <cfRule type="cellIs" dxfId="29" priority="27" operator="equal">
      <formula>"Red"</formula>
    </cfRule>
    <cfRule type="cellIs" dxfId="28" priority="28" operator="equal">
      <formula>"Unknown"</formula>
    </cfRule>
    <cfRule type="cellIs" dxfId="27" priority="29" operator="equal">
      <formula>"Covered"</formula>
    </cfRule>
    <cfRule type="cellIs" dxfId="26" priority="30" operator="equal">
      <formula>"Green"</formula>
    </cfRule>
    <cfRule type="cellIs" dxfId="25" priority="31" operator="equal">
      <formula>"Yellow"</formula>
    </cfRule>
  </conditionalFormatting>
  <conditionalFormatting sqref="FR10:FS10 FR12:FS12 FR14:FS14 FR16:FS16 FR18:FS18">
    <cfRule type="cellIs" dxfId="24" priority="24" operator="equal">
      <formula>"Missed TCD"</formula>
    </cfRule>
    <cfRule type="cellIs" dxfId="23" priority="25" operator="equal">
      <formula>"On-Track"</formula>
    </cfRule>
    <cfRule type="cellIs" dxfId="22" priority="26" operator="equal">
      <formula>"At Risk"</formula>
    </cfRule>
  </conditionalFormatting>
  <conditionalFormatting sqref="CS10 CS12 CS14 CS16 CS18">
    <cfRule type="cellIs" dxfId="21" priority="22" operator="equal">
      <formula>"Execution schedule has been re-baselined w/ FAIR PO Ack ACD. Validate your durations before publishing"</formula>
    </cfRule>
  </conditionalFormatting>
  <conditionalFormatting sqref="E127:E1048549">
    <cfRule type="cellIs" dxfId="20" priority="17" operator="equal">
      <formula>"Red"</formula>
    </cfRule>
    <cfRule type="cellIs" dxfId="19" priority="18" operator="equal">
      <formula>"Unknown"</formula>
    </cfRule>
    <cfRule type="cellIs" dxfId="18" priority="19" operator="equal">
      <formula>"Covered"</formula>
    </cfRule>
    <cfRule type="cellIs" dxfId="17" priority="20" operator="equal">
      <formula>"Green"</formula>
    </cfRule>
    <cfRule type="cellIs" dxfId="16" priority="21" operator="equal">
      <formula>"Yellow"</formula>
    </cfRule>
  </conditionalFormatting>
  <conditionalFormatting sqref="E34:E126">
    <cfRule type="cellIs" dxfId="15" priority="12" operator="equal">
      <formula>"Red"</formula>
    </cfRule>
    <cfRule type="cellIs" dxfId="14" priority="13" operator="equal">
      <formula>"Unknown"</formula>
    </cfRule>
    <cfRule type="cellIs" dxfId="13" priority="14" operator="equal">
      <formula>"Covered"</formula>
    </cfRule>
    <cfRule type="cellIs" dxfId="12" priority="15" operator="equal">
      <formula>"Green"</formula>
    </cfRule>
    <cfRule type="cellIs" dxfId="11" priority="16" operator="equal">
      <formula>"Yellow"</formula>
    </cfRule>
  </conditionalFormatting>
  <conditionalFormatting sqref="A37:E126 B34:E36">
    <cfRule type="notContainsBlanks" dxfId="10" priority="11">
      <formula>LEN(TRIM(A34))&gt;0</formula>
    </cfRule>
  </conditionalFormatting>
  <conditionalFormatting sqref="E27:E33">
    <cfRule type="cellIs" dxfId="9" priority="6" operator="equal">
      <formula>"Red"</formula>
    </cfRule>
    <cfRule type="cellIs" dxfId="8" priority="7" operator="equal">
      <formula>"Unknown"</formula>
    </cfRule>
    <cfRule type="cellIs" dxfId="7" priority="8" operator="equal">
      <formula>"Covered"</formula>
    </cfRule>
    <cfRule type="cellIs" dxfId="6" priority="9" operator="equal">
      <formula>"Green"</formula>
    </cfRule>
    <cfRule type="cellIs" dxfId="5" priority="10" operator="equal">
      <formula>"Yellow"</formula>
    </cfRule>
  </conditionalFormatting>
  <conditionalFormatting sqref="B27:E33">
    <cfRule type="notContainsBlanks" dxfId="4" priority="5">
      <formula>LEN(TRIM(B27))&gt;0</formula>
    </cfRule>
  </conditionalFormatting>
  <conditionalFormatting sqref="A27:A36">
    <cfRule type="duplicateValues" dxfId="3" priority="1"/>
  </conditionalFormatting>
  <conditionalFormatting sqref="A27:A36">
    <cfRule type="duplicateValues" dxfId="2" priority="2"/>
  </conditionalFormatting>
  <conditionalFormatting sqref="A27:A36">
    <cfRule type="duplicateValues" dxfId="1" priority="3"/>
  </conditionalFormatting>
  <conditionalFormatting sqref="A27:A36">
    <cfRule type="duplicateValues" dxfId="0" priority="4"/>
  </conditionalFormatting>
  <dataValidations count="4">
    <dataValidation type="whole" operator="greaterThan" allowBlank="1" showInputMessage="1" showErrorMessage="1" sqref="EZ7:FB7 BC7:BE7 BA1:BE6 ET7 BI5 FL5 DC7:DE7 EZ4 CU8:CV18 EN7 EQ7 EW7 DW19 DG1 BJ7:BK18 DX1 DQ1 DT2:DU2 DT1 DT8:ED18 EB1 D9:D22 DI2:DK2 DI1:DJ1 DI7 DI19 CS8 DS7 DW7 EA7 EB2:EC2 EA19 BJ1:DF2 DX2:DY2 DZ1:EA2 DV1:DW2 DM1:DP2 CM4 BG1:BI3 AC1:AD6 ED1:FQ2 CQ8:CR18 DI8:DL18 FI7:FL1048576 FM8:FN1048576 I1:AB1048576 AE1:AZ1048576 BF1:BF1048576 BG5:BH1048576 D25 DI20:DL1048576 AC8:AD1048576 DF7:DH1048576 CQ20:CS1048576 BL7:CP1048576 DQ8:DS1048576 CT7:CT1048576 DT20:ED1048576 CU20:CV1048576 BJ20:BK1048576 EE7:EM1048576 BI7:BI1048576 FD8:FH1048576 DA8:DE1048576 DM7:DP1048576 EN8:FB1048576 BA8:BE1048576 CW7:CZ1048576 FC7:FC1048576 FO7:FQ1048576" xr:uid="{10D7D3BF-365B-45AC-8ACA-2C4D0B60A26B}">
      <formula1>-9999</formula1>
    </dataValidation>
    <dataValidation operator="greaterThan" allowBlank="1" showInputMessage="1" showErrorMessage="1" sqref="FR1:FS2 CS9:CS18 FR7:FS1048576" xr:uid="{68A6F984-C3E7-4C35-BD04-8C3B83FCE0A4}"/>
    <dataValidation type="list" allowBlank="1" showInputMessage="1" showErrorMessage="1" sqref="H6:H1048576" xr:uid="{5EDB24A8-8F5D-47DC-BB32-C53FC71867BE}">
      <formula1>"Pre-Execution,Execution"</formula1>
    </dataValidation>
    <dataValidation type="list" allowBlank="1" showInputMessage="1" showErrorMessage="1" sqref="E9:E22" xr:uid="{33AEA5D2-7AEA-4B80-BA58-5A9B676CC5DB}">
      <formula1>"Covered,Green,Yellow,Red,Unknown"</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22136-C518-4089-A549-24027D094DBC}">
  <sheetPr codeName="Sheet3" filterMode="1">
    <tabColor rgb="FFC00000"/>
  </sheetPr>
  <dimension ref="A1:KY28"/>
  <sheetViews>
    <sheetView showGridLines="0" tabSelected="1" zoomScale="70" zoomScaleNormal="70" workbookViewId="0">
      <pane xSplit="7" ySplit="8" topLeftCell="FS10" activePane="bottomRight" state="frozen"/>
      <selection pane="topRight" activeCell="H1" sqref="H1"/>
      <selection pane="bottomLeft" activeCell="A9" sqref="A9"/>
      <selection pane="bottomRight" activeCell="FY10" sqref="FY10"/>
    </sheetView>
  </sheetViews>
  <sheetFormatPr defaultRowHeight="14.5" outlineLevelRow="1" outlineLevelCol="1" x14ac:dyDescent="0.35"/>
  <cols>
    <col min="1" max="1" width="24.26953125" customWidth="1"/>
    <col min="2" max="2" width="8.81640625" bestFit="1" customWidth="1"/>
    <col min="3" max="3" width="16.81640625" bestFit="1" customWidth="1"/>
    <col min="4" max="4" width="12.1796875" style="9" customWidth="1"/>
    <col min="5" max="5" width="11.7265625" customWidth="1"/>
    <col min="6" max="6" width="23" customWidth="1"/>
    <col min="7" max="7" width="21" bestFit="1" customWidth="1"/>
    <col min="8" max="8" width="14.26953125" customWidth="1"/>
    <col min="9" max="9" width="17.81640625" bestFit="1" customWidth="1"/>
    <col min="10" max="10" width="11.7265625" customWidth="1" outlineLevel="1"/>
    <col min="11" max="11" width="13.7265625" customWidth="1" outlineLevel="1"/>
    <col min="12" max="12" width="13.7265625" customWidth="1"/>
    <col min="13" max="13" width="13.7265625" customWidth="1" outlineLevel="1"/>
    <col min="14" max="14" width="13.26953125" customWidth="1" outlineLevel="1"/>
    <col min="15" max="15" width="13.26953125" customWidth="1"/>
    <col min="16" max="16" width="13" customWidth="1" outlineLevel="1"/>
    <col min="17" max="17" width="12.26953125" customWidth="1" outlineLevel="1"/>
    <col min="18" max="18" width="12.26953125" customWidth="1"/>
    <col min="19" max="20" width="10.7265625" customWidth="1" outlineLevel="1"/>
    <col min="21" max="21" width="10.7265625" customWidth="1"/>
    <col min="22" max="22" width="13" customWidth="1" outlineLevel="1"/>
    <col min="23" max="23" width="14.81640625" customWidth="1" outlineLevel="1"/>
    <col min="24" max="24" width="14.81640625" customWidth="1"/>
    <col min="25" max="25" width="10.7265625" customWidth="1" outlineLevel="1"/>
    <col min="26" max="26" width="13.453125" customWidth="1" outlineLevel="1"/>
    <col min="27" max="27" width="13.453125" customWidth="1"/>
    <col min="28" max="29" width="13.453125" customWidth="1" outlineLevel="1"/>
    <col min="30" max="30" width="13.453125" customWidth="1"/>
    <col min="31" max="32" width="13.453125" customWidth="1" outlineLevel="1"/>
    <col min="33" max="33" width="13.453125" customWidth="1"/>
    <col min="34" max="35" width="10.7265625" customWidth="1" outlineLevel="1"/>
    <col min="36" max="36" width="17.1796875" bestFit="1" customWidth="1"/>
    <col min="37" max="38" width="10.7265625" customWidth="1" outlineLevel="1"/>
    <col min="39" max="39" width="10.7265625" customWidth="1"/>
    <col min="40" max="41" width="10.7265625" customWidth="1" outlineLevel="1"/>
    <col min="42" max="42" width="10.7265625" customWidth="1"/>
    <col min="43" max="43" width="17.453125" bestFit="1" customWidth="1" outlineLevel="1"/>
    <col min="44" max="44" width="10.7265625" customWidth="1" outlineLevel="1"/>
    <col min="45" max="45" width="19.26953125" bestFit="1" customWidth="1"/>
    <col min="46" max="47" width="10.7265625" customWidth="1" outlineLevel="1"/>
    <col min="48" max="48" width="10.7265625" customWidth="1"/>
    <col min="49" max="50" width="10.7265625" customWidth="1" outlineLevel="1"/>
    <col min="51" max="51" width="10.7265625" customWidth="1"/>
    <col min="52" max="53" width="10.7265625" customWidth="1" outlineLevel="1"/>
    <col min="54" max="54" width="10.7265625" customWidth="1"/>
    <col min="55" max="56" width="10.7265625" customWidth="1" outlineLevel="1"/>
    <col min="57" max="57" width="10.7265625" customWidth="1"/>
    <col min="58" max="58" width="16.81640625" bestFit="1" customWidth="1" outlineLevel="1"/>
    <col min="59" max="59" width="10.7265625" customWidth="1" outlineLevel="1"/>
    <col min="60" max="60" width="11.26953125" customWidth="1"/>
    <col min="61" max="61" width="16.7265625" bestFit="1" customWidth="1" outlineLevel="1"/>
    <col min="62" max="62" width="10.7265625" customWidth="1" outlineLevel="1"/>
    <col min="63" max="63" width="17.453125" bestFit="1" customWidth="1"/>
    <col min="64" max="65" width="10.7265625" customWidth="1" outlineLevel="1"/>
    <col min="66" max="66" width="10.7265625" customWidth="1"/>
    <col min="67" max="68" width="10.7265625" customWidth="1" outlineLevel="1"/>
    <col min="69" max="69" width="10.7265625" customWidth="1"/>
    <col min="70" max="71" width="10.7265625" customWidth="1" outlineLevel="1"/>
    <col min="72" max="72" width="10.7265625" customWidth="1"/>
    <col min="73" max="74" width="10.7265625" customWidth="1" outlineLevel="1"/>
    <col min="75" max="75" width="10.7265625" customWidth="1"/>
    <col min="76" max="76" width="13.26953125" customWidth="1" outlineLevel="1"/>
    <col min="77" max="77" width="13.54296875" customWidth="1" outlineLevel="1"/>
    <col min="78" max="78" width="13.54296875" customWidth="1"/>
    <col min="79" max="80" width="10.7265625" customWidth="1" outlineLevel="1"/>
    <col min="81" max="81" width="10.7265625" customWidth="1"/>
    <col min="82" max="82" width="12.7265625" customWidth="1" outlineLevel="1"/>
    <col min="83" max="83" width="13.26953125" customWidth="1" outlineLevel="1"/>
    <col min="84" max="84" width="13.26953125" customWidth="1"/>
    <col min="85" max="86" width="10.7265625" customWidth="1" outlineLevel="1"/>
    <col min="87" max="87" width="10.7265625" customWidth="1"/>
    <col min="88" max="88" width="13.26953125" customWidth="1" outlineLevel="1"/>
    <col min="89" max="89" width="14" customWidth="1" outlineLevel="1"/>
    <col min="90" max="90" width="14" customWidth="1"/>
    <col min="91" max="92" width="10.7265625" customWidth="1" outlineLevel="1"/>
    <col min="93" max="93" width="10.7265625" customWidth="1"/>
    <col min="94" max="94" width="13" customWidth="1" outlineLevel="1"/>
    <col min="95" max="95" width="12.26953125" customWidth="1" outlineLevel="1"/>
    <col min="96" max="96" width="12.26953125" customWidth="1"/>
    <col min="97" max="97" width="84" customWidth="1"/>
    <col min="98" max="99" width="10.7265625" customWidth="1" outlineLevel="1"/>
    <col min="100" max="100" width="17.1796875" bestFit="1" customWidth="1"/>
    <col min="101" max="101" width="12.1796875" customWidth="1" outlineLevel="1"/>
    <col min="102" max="102" width="10.7265625" customWidth="1" outlineLevel="1"/>
    <col min="103" max="103" width="10.7265625" customWidth="1"/>
    <col min="104" max="105" width="10.7265625" customWidth="1" outlineLevel="1"/>
    <col min="106" max="106" width="10.7265625" customWidth="1"/>
    <col min="107" max="107" width="13.453125" customWidth="1" outlineLevel="1"/>
    <col min="108" max="108" width="12.54296875" customWidth="1" outlineLevel="1"/>
    <col min="109" max="109" width="12.54296875" customWidth="1"/>
    <col min="110" max="110" width="17.26953125" bestFit="1" customWidth="1" outlineLevel="1"/>
    <col min="111" max="111" width="10.7265625" customWidth="1" outlineLevel="1"/>
    <col min="112" max="112" width="10.7265625" customWidth="1"/>
    <col min="113" max="115" width="11.7265625" customWidth="1" outlineLevel="1"/>
    <col min="116" max="116" width="12.26953125" customWidth="1"/>
    <col min="117" max="117" width="12.7265625" customWidth="1" outlineLevel="1"/>
    <col min="118" max="118" width="12.26953125" customWidth="1" outlineLevel="1"/>
    <col min="119" max="119" width="12.26953125" customWidth="1"/>
    <col min="120" max="120" width="12.26953125" customWidth="1" outlineLevel="1"/>
    <col min="121" max="121" width="10.81640625" customWidth="1" outlineLevel="1"/>
    <col min="122" max="122" width="10.81640625" customWidth="1"/>
    <col min="123" max="123" width="13" customWidth="1" outlineLevel="1"/>
    <col min="124" max="124" width="12.1796875" customWidth="1" outlineLevel="1"/>
    <col min="125" max="125" width="12.54296875" customWidth="1" outlineLevel="1"/>
    <col min="126" max="126" width="13.7265625" customWidth="1"/>
    <col min="127" max="127" width="13.7265625" customWidth="1" outlineLevel="1"/>
    <col min="128" max="129" width="12.7265625" customWidth="1" outlineLevel="1"/>
    <col min="130" max="130" width="13.81640625" customWidth="1"/>
    <col min="131" max="131" width="13.81640625" customWidth="1" outlineLevel="1"/>
    <col min="132" max="132" width="13.453125" customWidth="1" outlineLevel="1"/>
    <col min="133" max="133" width="14" customWidth="1" outlineLevel="1"/>
    <col min="134" max="134" width="14" customWidth="1"/>
    <col min="135" max="135" width="17.7265625" bestFit="1" customWidth="1" outlineLevel="1"/>
    <col min="136" max="136" width="10.7265625" customWidth="1" outlineLevel="1"/>
    <col min="137" max="137" width="10.7265625" customWidth="1"/>
    <col min="138" max="139" width="10.7265625" customWidth="1" outlineLevel="1"/>
    <col min="140" max="140" width="10.7265625" customWidth="1"/>
    <col min="141" max="142" width="10.7265625" customWidth="1" outlineLevel="1"/>
    <col min="143" max="143" width="10.7265625" customWidth="1"/>
    <col min="144" max="145" width="10.7265625" customWidth="1" outlineLevel="1"/>
    <col min="146" max="146" width="10.7265625" customWidth="1"/>
    <col min="147" max="148" width="10.7265625" customWidth="1" outlineLevel="1"/>
    <col min="149" max="149" width="10.7265625" customWidth="1"/>
    <col min="150" max="151" width="10.7265625" customWidth="1" outlineLevel="1"/>
    <col min="152" max="152" width="10.7265625" customWidth="1"/>
    <col min="153" max="154" width="10.7265625" customWidth="1" outlineLevel="1"/>
    <col min="155" max="155" width="10.7265625" customWidth="1"/>
    <col min="156" max="156" width="17.26953125" bestFit="1" customWidth="1" outlineLevel="1"/>
    <col min="157" max="157" width="10.7265625" customWidth="1" outlineLevel="1"/>
    <col min="158" max="158" width="10.7265625" customWidth="1"/>
    <col min="159" max="159" width="13.26953125" customWidth="1" outlineLevel="1"/>
    <col min="160" max="160" width="12.81640625" customWidth="1" outlineLevel="1"/>
    <col min="161" max="161" width="12.81640625" customWidth="1"/>
    <col min="162" max="163" width="12.81640625" customWidth="1" outlineLevel="1"/>
    <col min="164" max="164" width="12.81640625" customWidth="1"/>
    <col min="165" max="165" width="17.453125" bestFit="1" customWidth="1" outlineLevel="1"/>
    <col min="166" max="166" width="17.7265625" bestFit="1" customWidth="1" outlineLevel="1"/>
    <col min="167" max="167" width="11.453125" customWidth="1"/>
    <col min="168" max="168" width="13.7265625" customWidth="1" outlineLevel="1"/>
    <col min="169" max="169" width="13.81640625" customWidth="1" outlineLevel="1"/>
    <col min="170" max="170" width="13.81640625" customWidth="1"/>
    <col min="171" max="171" width="12.26953125" customWidth="1" outlineLevel="1"/>
    <col min="172" max="172" width="13.7265625" customWidth="1" outlineLevel="1"/>
    <col min="173" max="173" width="13.453125" customWidth="1"/>
    <col min="174" max="174" width="17.81640625" customWidth="1"/>
    <col min="175" max="175" width="17.81640625" style="112" customWidth="1"/>
    <col min="176" max="178" width="13.81640625" customWidth="1"/>
    <col min="179" max="179" width="14.26953125" customWidth="1"/>
  </cols>
  <sheetData>
    <row r="1" spans="1:311" ht="15.75" customHeight="1" x14ac:dyDescent="0.35">
      <c r="A1" s="80" t="s">
        <v>201</v>
      </c>
      <c r="B1" s="13"/>
      <c r="C1" s="17" t="s">
        <v>202</v>
      </c>
      <c r="D1" s="94"/>
      <c r="E1" s="17"/>
      <c r="F1" s="18"/>
      <c r="G1" s="117"/>
      <c r="H1" s="117" t="s">
        <v>203</v>
      </c>
      <c r="I1" s="118" t="s">
        <v>204</v>
      </c>
      <c r="J1" s="118"/>
      <c r="K1" s="119"/>
      <c r="L1" s="119"/>
      <c r="M1" s="119"/>
      <c r="N1" s="119"/>
      <c r="O1" s="119"/>
      <c r="P1" s="119"/>
      <c r="Q1" s="119"/>
      <c r="R1" s="119"/>
      <c r="S1" s="119"/>
      <c r="T1" s="119"/>
      <c r="U1" s="119"/>
      <c r="V1" s="119"/>
      <c r="W1" s="119"/>
      <c r="X1" s="119"/>
      <c r="Y1" s="119"/>
      <c r="Z1" s="119"/>
      <c r="AA1" s="119"/>
      <c r="AB1" s="119"/>
      <c r="AC1" s="119"/>
      <c r="AD1" s="119"/>
      <c r="AE1" s="119"/>
      <c r="AF1" s="119"/>
      <c r="AG1" s="119"/>
      <c r="AH1" s="119"/>
      <c r="AI1" s="119"/>
      <c r="AJ1" s="119"/>
      <c r="AK1" s="119"/>
      <c r="AL1" s="119"/>
      <c r="AM1" s="119"/>
      <c r="AN1" s="119"/>
      <c r="AO1" s="119"/>
      <c r="AP1" s="119"/>
      <c r="AQ1" s="119"/>
      <c r="AR1" s="119"/>
      <c r="AS1" s="119"/>
      <c r="AT1" s="119"/>
      <c r="AU1" s="119"/>
      <c r="AV1" s="119"/>
      <c r="AW1" s="119"/>
      <c r="AX1" s="119"/>
      <c r="AY1" s="119"/>
      <c r="AZ1" s="119"/>
      <c r="BA1" s="119"/>
      <c r="BB1" s="119"/>
      <c r="BC1" s="119"/>
      <c r="BD1" s="119"/>
      <c r="BE1" s="119"/>
      <c r="BF1" s="119"/>
      <c r="BG1" s="119"/>
      <c r="BH1" s="119"/>
      <c r="BI1" s="119"/>
      <c r="BJ1" s="119"/>
      <c r="BK1" s="119"/>
      <c r="BL1" s="119"/>
      <c r="BM1" s="119"/>
      <c r="BN1" s="119"/>
      <c r="BO1" s="119"/>
      <c r="BP1" s="119"/>
      <c r="BQ1" s="119"/>
      <c r="BR1" s="119"/>
      <c r="BS1" s="119"/>
      <c r="BT1" s="119"/>
      <c r="BU1" s="119"/>
      <c r="BV1" s="119"/>
      <c r="BW1" s="119"/>
      <c r="BX1" s="119"/>
      <c r="BY1" s="119"/>
      <c r="BZ1" s="119"/>
      <c r="CA1" s="119"/>
      <c r="CB1" s="119"/>
      <c r="CC1" s="119"/>
      <c r="CD1" s="119"/>
      <c r="CE1" s="119"/>
      <c r="CF1" s="119"/>
      <c r="CG1" s="119"/>
      <c r="CH1" s="119"/>
      <c r="CI1" s="119"/>
      <c r="CJ1" s="119"/>
      <c r="CK1" s="119"/>
      <c r="CL1" s="119"/>
      <c r="CM1" s="119"/>
      <c r="CN1" s="119"/>
      <c r="CO1" s="119"/>
      <c r="CP1" s="119"/>
      <c r="CQ1" s="119"/>
      <c r="CR1" s="119"/>
      <c r="CS1" s="119"/>
      <c r="CT1" s="119"/>
      <c r="CU1" s="119"/>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35">
      <c r="A2" s="18"/>
      <c r="B2" s="4"/>
      <c r="C2" s="17" t="s">
        <v>205</v>
      </c>
      <c r="D2" s="94"/>
      <c r="E2" s="17"/>
      <c r="F2" s="18"/>
      <c r="G2" s="117"/>
      <c r="H2" s="117"/>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c r="BN2" s="119"/>
      <c r="BO2" s="119"/>
      <c r="BP2" s="119"/>
      <c r="BQ2" s="119"/>
      <c r="BR2" s="119"/>
      <c r="BS2" s="119"/>
      <c r="BT2" s="119"/>
      <c r="BU2" s="119"/>
      <c r="BV2" s="119"/>
      <c r="BW2" s="119"/>
      <c r="BX2" s="119"/>
      <c r="BY2" s="119"/>
      <c r="BZ2" s="119"/>
      <c r="CA2" s="119"/>
      <c r="CB2" s="119"/>
      <c r="CC2" s="119"/>
      <c r="CD2" s="119"/>
      <c r="CE2" s="119"/>
      <c r="CF2" s="119"/>
      <c r="CG2" s="119"/>
      <c r="CH2" s="119"/>
      <c r="CI2" s="119"/>
      <c r="CJ2" s="119"/>
      <c r="CK2" s="119"/>
      <c r="CL2" s="119"/>
      <c r="CM2" s="119"/>
      <c r="CN2" s="119"/>
      <c r="CO2" s="119"/>
      <c r="CP2" s="119"/>
      <c r="CQ2" s="119"/>
      <c r="CR2" s="119"/>
      <c r="CS2" s="119"/>
      <c r="CT2" s="119"/>
      <c r="CU2" s="119"/>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6" x14ac:dyDescent="0.35">
      <c r="A3" s="18"/>
      <c r="B3" s="10"/>
      <c r="C3" s="17" t="s">
        <v>206</v>
      </c>
      <c r="D3" s="94"/>
      <c r="E3" s="17"/>
      <c r="F3" s="19"/>
      <c r="G3" s="20"/>
      <c r="H3" s="20" t="s">
        <v>207</v>
      </c>
      <c r="I3" s="38" t="s">
        <v>208</v>
      </c>
      <c r="J3" s="120" t="s">
        <v>209</v>
      </c>
      <c r="K3" s="120"/>
      <c r="L3" s="120"/>
      <c r="M3" s="120"/>
      <c r="N3" s="120"/>
      <c r="O3" s="120"/>
      <c r="P3" s="120"/>
      <c r="Q3" s="120"/>
      <c r="R3" s="120"/>
      <c r="S3" s="120"/>
      <c r="T3" s="120"/>
      <c r="U3" s="120"/>
      <c r="V3" s="120"/>
      <c r="W3" s="120"/>
      <c r="X3" s="120"/>
      <c r="Y3" s="120"/>
      <c r="Z3" s="120"/>
      <c r="AA3" s="120"/>
      <c r="AB3" s="96"/>
      <c r="AC3" s="96"/>
      <c r="AD3" s="96"/>
      <c r="AE3" s="121" t="s">
        <v>210</v>
      </c>
      <c r="AF3" s="121"/>
      <c r="AG3" s="121"/>
      <c r="AH3" s="122" t="s">
        <v>211</v>
      </c>
      <c r="AI3" s="122"/>
      <c r="AJ3" s="122"/>
      <c r="AK3" s="122"/>
      <c r="AL3" s="122"/>
      <c r="AM3" s="122"/>
      <c r="AN3" s="122"/>
      <c r="AO3" s="122"/>
      <c r="AP3" s="122"/>
      <c r="AQ3" s="123" t="s">
        <v>212</v>
      </c>
      <c r="AR3" s="123"/>
      <c r="AS3" s="123"/>
      <c r="AT3" s="123"/>
      <c r="AU3" s="123"/>
      <c r="AV3" s="123"/>
      <c r="AW3" s="123"/>
      <c r="AX3" s="123"/>
      <c r="AY3" s="123"/>
      <c r="AZ3" s="123"/>
      <c r="BA3" s="123"/>
      <c r="BB3" s="50"/>
      <c r="BC3" s="124" t="s">
        <v>213</v>
      </c>
      <c r="BD3" s="124"/>
      <c r="BE3" s="124"/>
      <c r="BF3" s="124"/>
      <c r="BG3" s="124"/>
      <c r="BH3" s="124"/>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35">
      <c r="A4" s="21"/>
      <c r="B4" s="27"/>
      <c r="C4" s="17" t="s">
        <v>215</v>
      </c>
      <c r="D4" s="94"/>
      <c r="E4" s="17"/>
      <c r="F4" s="19"/>
      <c r="G4" s="20"/>
      <c r="H4" s="20" t="s">
        <v>216</v>
      </c>
      <c r="I4" s="32" t="s">
        <v>217</v>
      </c>
      <c r="J4" s="125" t="s">
        <v>218</v>
      </c>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6" t="s">
        <v>219</v>
      </c>
      <c r="BG4" s="126"/>
      <c r="BH4" s="126"/>
      <c r="BI4" s="126"/>
      <c r="BJ4" s="126"/>
      <c r="BK4" s="126"/>
      <c r="BL4" s="126"/>
      <c r="BM4" s="126"/>
      <c r="BN4" s="126"/>
      <c r="BO4" s="126"/>
      <c r="BP4" s="126"/>
      <c r="BQ4" s="126"/>
      <c r="BR4" s="126"/>
      <c r="BS4" s="126"/>
      <c r="BT4" s="126"/>
      <c r="BU4" s="126"/>
      <c r="BV4" s="126"/>
      <c r="BW4" s="126"/>
      <c r="BX4" s="126"/>
      <c r="BY4" s="126"/>
      <c r="BZ4" s="126"/>
      <c r="CA4" s="126"/>
      <c r="CB4" s="126"/>
      <c r="CC4" s="126"/>
      <c r="CD4" s="126"/>
      <c r="CE4" s="126"/>
      <c r="CF4" s="126"/>
      <c r="CG4" s="126"/>
      <c r="CH4" s="126"/>
      <c r="CI4" s="126"/>
      <c r="CJ4" s="126"/>
      <c r="CK4" s="126"/>
      <c r="CL4" s="126"/>
      <c r="CM4" s="127" t="s">
        <v>220</v>
      </c>
      <c r="CN4" s="127"/>
      <c r="CO4" s="127"/>
      <c r="CP4" s="127"/>
      <c r="CQ4" s="127"/>
      <c r="CR4" s="127"/>
      <c r="CS4" s="127"/>
      <c r="CT4" s="127"/>
      <c r="CU4" s="127"/>
      <c r="CV4" s="127"/>
      <c r="CW4" s="127"/>
      <c r="CX4" s="127"/>
      <c r="CY4" s="127"/>
      <c r="CZ4" s="127"/>
      <c r="DA4" s="127"/>
      <c r="DB4" s="127"/>
      <c r="DC4" s="127"/>
      <c r="DD4" s="127"/>
      <c r="DE4" s="127"/>
      <c r="DF4" s="127"/>
      <c r="DG4" s="127"/>
      <c r="DH4" s="127"/>
      <c r="DI4" s="127"/>
      <c r="DJ4" s="127"/>
      <c r="DK4" s="127"/>
      <c r="DL4" s="127"/>
      <c r="DM4" s="127"/>
      <c r="DN4" s="127"/>
      <c r="DO4" s="127"/>
      <c r="DP4" s="127"/>
      <c r="DQ4" s="127"/>
      <c r="DR4" s="127"/>
      <c r="DS4" s="127"/>
      <c r="DT4" s="127"/>
      <c r="DU4" s="127"/>
      <c r="DV4" s="127"/>
      <c r="DW4" s="127"/>
      <c r="DX4" s="127"/>
      <c r="DY4" s="127"/>
      <c r="DZ4" s="127"/>
      <c r="EA4" s="127"/>
      <c r="EB4" s="127"/>
      <c r="EC4" s="127"/>
      <c r="ED4" s="127"/>
      <c r="EE4" s="127"/>
      <c r="EF4" s="127"/>
      <c r="EG4" s="127"/>
      <c r="EH4" s="127"/>
      <c r="EI4" s="127"/>
      <c r="EJ4" s="127"/>
      <c r="EK4" s="127"/>
      <c r="EL4" s="127"/>
      <c r="EM4" s="127"/>
      <c r="EN4" s="127"/>
      <c r="EO4" s="127"/>
      <c r="EP4" s="127"/>
      <c r="EQ4" s="127"/>
      <c r="ER4" s="127"/>
      <c r="ES4" s="127"/>
      <c r="ET4" s="127"/>
      <c r="EU4" s="127"/>
      <c r="EV4" s="127"/>
      <c r="EW4" s="127"/>
      <c r="EX4" s="127"/>
      <c r="EY4" s="127"/>
      <c r="EZ4" s="128" t="s">
        <v>221</v>
      </c>
      <c r="FA4" s="128"/>
      <c r="FB4" s="128"/>
      <c r="FC4" s="128"/>
      <c r="FD4" s="128"/>
      <c r="FE4" s="128"/>
      <c r="FF4" s="128"/>
      <c r="FG4" s="128"/>
      <c r="FH4" s="128"/>
      <c r="FI4" s="128"/>
      <c r="FJ4" s="128"/>
      <c r="FK4" s="128"/>
      <c r="FL4" s="128"/>
      <c r="FM4" s="128"/>
      <c r="FN4" s="128"/>
      <c r="FO4" s="128"/>
      <c r="FP4" s="128"/>
      <c r="FQ4" s="128"/>
      <c r="FR4" s="128"/>
      <c r="FS4" s="106"/>
      <c r="FT4" s="2"/>
      <c r="FU4" s="2"/>
      <c r="FV4" s="2"/>
      <c r="FW4" s="41"/>
      <c r="FX4" s="36"/>
      <c r="FY4" s="36"/>
      <c r="FZ4" s="36"/>
      <c r="GA4" s="36"/>
      <c r="GB4" s="36"/>
      <c r="GC4" s="36"/>
      <c r="GD4" s="36"/>
    </row>
    <row r="5" spans="1:311" x14ac:dyDescent="0.35">
      <c r="A5" s="21"/>
      <c r="B5" s="51"/>
      <c r="C5" s="17" t="s">
        <v>222</v>
      </c>
      <c r="D5" s="94"/>
      <c r="E5" s="17"/>
      <c r="F5" s="20"/>
      <c r="G5" s="20"/>
      <c r="H5" s="20" t="s">
        <v>223</v>
      </c>
      <c r="I5" s="129" t="s">
        <v>224</v>
      </c>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3" t="s">
        <v>225</v>
      </c>
      <c r="BJ5" s="134"/>
      <c r="BK5" s="134"/>
      <c r="BL5" s="134"/>
      <c r="BM5" s="134"/>
      <c r="BN5" s="134"/>
      <c r="BO5" s="134"/>
      <c r="BP5" s="134"/>
      <c r="BQ5" s="134"/>
      <c r="BR5" s="134"/>
      <c r="BS5" s="134"/>
      <c r="BT5" s="134"/>
      <c r="BU5" s="134"/>
      <c r="BV5" s="134"/>
      <c r="BW5" s="134"/>
      <c r="BX5" s="134"/>
      <c r="BY5" s="134"/>
      <c r="BZ5" s="134"/>
      <c r="CA5" s="134"/>
      <c r="CB5" s="134"/>
      <c r="CC5" s="134"/>
      <c r="CD5" s="134"/>
      <c r="CE5" s="134"/>
      <c r="CF5" s="134"/>
      <c r="CG5" s="134"/>
      <c r="CH5" s="134"/>
      <c r="CI5" s="134"/>
      <c r="CJ5" s="134"/>
      <c r="CK5" s="134"/>
      <c r="CL5" s="134"/>
      <c r="CM5" s="134"/>
      <c r="CN5" s="134"/>
      <c r="CO5" s="134"/>
      <c r="CP5" s="134"/>
      <c r="CQ5" s="134"/>
      <c r="CR5" s="134"/>
      <c r="CS5" s="134"/>
      <c r="CT5" s="134"/>
      <c r="CU5" s="134"/>
      <c r="CV5" s="134"/>
      <c r="CW5" s="134"/>
      <c r="CX5" s="134"/>
      <c r="CY5" s="134"/>
      <c r="CZ5" s="134"/>
      <c r="DA5" s="134"/>
      <c r="DB5" s="134"/>
      <c r="DC5" s="134"/>
      <c r="DD5" s="134"/>
      <c r="DE5" s="134"/>
      <c r="DF5" s="134"/>
      <c r="DG5" s="134"/>
      <c r="DH5" s="134"/>
      <c r="DI5" s="134"/>
      <c r="DJ5" s="134"/>
      <c r="DK5" s="134"/>
      <c r="DL5" s="134"/>
      <c r="DM5" s="134"/>
      <c r="DN5" s="134"/>
      <c r="DO5" s="134"/>
      <c r="DP5" s="134"/>
      <c r="DQ5" s="134"/>
      <c r="DR5" s="134"/>
      <c r="DS5" s="134"/>
      <c r="DT5" s="134"/>
      <c r="DU5" s="134"/>
      <c r="DV5" s="134"/>
      <c r="DW5" s="134"/>
      <c r="DX5" s="134"/>
      <c r="DY5" s="134"/>
      <c r="DZ5" s="134"/>
      <c r="EA5" s="134"/>
      <c r="EB5" s="134"/>
      <c r="EC5" s="134"/>
      <c r="ED5" s="134"/>
      <c r="EE5" s="134"/>
      <c r="EF5" s="134"/>
      <c r="EG5" s="134"/>
      <c r="EH5" s="134"/>
      <c r="EI5" s="134"/>
      <c r="EJ5" s="134"/>
      <c r="EK5" s="134"/>
      <c r="EL5" s="134"/>
      <c r="EM5" s="134"/>
      <c r="EN5" s="134"/>
      <c r="EO5" s="134"/>
      <c r="EP5" s="134"/>
      <c r="EQ5" s="134"/>
      <c r="ER5" s="134"/>
      <c r="ES5" s="134"/>
      <c r="ET5" s="134"/>
      <c r="EU5" s="134"/>
      <c r="EV5" s="134"/>
      <c r="EW5" s="134"/>
      <c r="EX5" s="134"/>
      <c r="EY5" s="134"/>
      <c r="EZ5" s="134"/>
      <c r="FA5" s="134"/>
      <c r="FB5" s="134"/>
      <c r="FC5" s="134"/>
      <c r="FD5" s="134"/>
      <c r="FE5" s="134"/>
      <c r="FF5" s="134"/>
      <c r="FG5" s="134"/>
      <c r="FH5" s="134"/>
      <c r="FI5" s="134"/>
      <c r="FJ5" s="134"/>
      <c r="FK5" s="135"/>
      <c r="FL5" s="139" t="s">
        <v>226</v>
      </c>
      <c r="FM5" s="140"/>
      <c r="FN5" s="140"/>
      <c r="FO5" s="140"/>
      <c r="FP5" s="140"/>
      <c r="FQ5" s="140"/>
      <c r="FR5" s="141"/>
      <c r="FS5" s="107"/>
      <c r="FT5" s="145" t="s">
        <v>477</v>
      </c>
      <c r="FU5" s="145"/>
      <c r="FV5" s="145"/>
      <c r="FW5" s="145"/>
      <c r="FX5" s="36"/>
      <c r="FY5" s="36"/>
      <c r="FZ5" s="36"/>
      <c r="GA5" s="36"/>
      <c r="GB5" s="36"/>
      <c r="GC5" s="36"/>
      <c r="GD5" s="36"/>
    </row>
    <row r="6" spans="1:311" x14ac:dyDescent="0.35">
      <c r="A6" s="22"/>
      <c r="B6" s="92"/>
      <c r="C6" s="17" t="s">
        <v>228</v>
      </c>
      <c r="D6" s="94"/>
      <c r="E6" s="17"/>
      <c r="F6" s="20"/>
      <c r="G6" s="20"/>
      <c r="H6" s="20"/>
      <c r="I6" s="131"/>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2"/>
      <c r="AJ6" s="132"/>
      <c r="AK6" s="132"/>
      <c r="AL6" s="132"/>
      <c r="AM6" s="132"/>
      <c r="AN6" s="132"/>
      <c r="AO6" s="132"/>
      <c r="AP6" s="132"/>
      <c r="AQ6" s="132"/>
      <c r="AR6" s="132"/>
      <c r="AS6" s="132"/>
      <c r="AT6" s="132"/>
      <c r="AU6" s="132"/>
      <c r="AV6" s="132"/>
      <c r="AW6" s="132"/>
      <c r="AX6" s="132"/>
      <c r="AY6" s="132"/>
      <c r="AZ6" s="132"/>
      <c r="BA6" s="132"/>
      <c r="BB6" s="132"/>
      <c r="BC6" s="132"/>
      <c r="BD6" s="132"/>
      <c r="BE6" s="132"/>
      <c r="BF6" s="132"/>
      <c r="BG6" s="132"/>
      <c r="BH6" s="132"/>
      <c r="BI6" s="136"/>
      <c r="BJ6" s="137"/>
      <c r="BK6" s="137"/>
      <c r="BL6" s="137"/>
      <c r="BM6" s="137"/>
      <c r="BN6" s="137"/>
      <c r="BO6" s="137"/>
      <c r="BP6" s="137"/>
      <c r="BQ6" s="137"/>
      <c r="BR6" s="137"/>
      <c r="BS6" s="137"/>
      <c r="BT6" s="137"/>
      <c r="BU6" s="137"/>
      <c r="BV6" s="137"/>
      <c r="BW6" s="137"/>
      <c r="BX6" s="137"/>
      <c r="BY6" s="137"/>
      <c r="BZ6" s="137"/>
      <c r="CA6" s="137"/>
      <c r="CB6" s="137"/>
      <c r="CC6" s="137"/>
      <c r="CD6" s="137"/>
      <c r="CE6" s="137"/>
      <c r="CF6" s="137"/>
      <c r="CG6" s="137"/>
      <c r="CH6" s="137"/>
      <c r="CI6" s="137"/>
      <c r="CJ6" s="137"/>
      <c r="CK6" s="137"/>
      <c r="CL6" s="137"/>
      <c r="CM6" s="137"/>
      <c r="CN6" s="137"/>
      <c r="CO6" s="137"/>
      <c r="CP6" s="137"/>
      <c r="CQ6" s="137"/>
      <c r="CR6" s="137"/>
      <c r="CS6" s="137"/>
      <c r="CT6" s="137"/>
      <c r="CU6" s="137"/>
      <c r="CV6" s="137"/>
      <c r="CW6" s="137"/>
      <c r="CX6" s="137"/>
      <c r="CY6" s="137"/>
      <c r="CZ6" s="137"/>
      <c r="DA6" s="137"/>
      <c r="DB6" s="137"/>
      <c r="DC6" s="137"/>
      <c r="DD6" s="137"/>
      <c r="DE6" s="137"/>
      <c r="DF6" s="137"/>
      <c r="DG6" s="137"/>
      <c r="DH6" s="137"/>
      <c r="DI6" s="137"/>
      <c r="DJ6" s="137"/>
      <c r="DK6" s="137"/>
      <c r="DL6" s="137"/>
      <c r="DM6" s="137"/>
      <c r="DN6" s="137"/>
      <c r="DO6" s="137"/>
      <c r="DP6" s="137"/>
      <c r="DQ6" s="137"/>
      <c r="DR6" s="137"/>
      <c r="DS6" s="137"/>
      <c r="DT6" s="137"/>
      <c r="DU6" s="137"/>
      <c r="DV6" s="137"/>
      <c r="DW6" s="137"/>
      <c r="DX6" s="137"/>
      <c r="DY6" s="137"/>
      <c r="DZ6" s="137"/>
      <c r="EA6" s="137"/>
      <c r="EB6" s="137"/>
      <c r="EC6" s="137"/>
      <c r="ED6" s="137"/>
      <c r="EE6" s="137"/>
      <c r="EF6" s="137"/>
      <c r="EG6" s="137"/>
      <c r="EH6" s="137"/>
      <c r="EI6" s="137"/>
      <c r="EJ6" s="137"/>
      <c r="EK6" s="137"/>
      <c r="EL6" s="137"/>
      <c r="EM6" s="137"/>
      <c r="EN6" s="137"/>
      <c r="EO6" s="137"/>
      <c r="EP6" s="137"/>
      <c r="EQ6" s="137"/>
      <c r="ER6" s="137"/>
      <c r="ES6" s="137"/>
      <c r="ET6" s="137"/>
      <c r="EU6" s="137"/>
      <c r="EV6" s="137"/>
      <c r="EW6" s="137"/>
      <c r="EX6" s="137"/>
      <c r="EY6" s="137"/>
      <c r="EZ6" s="137"/>
      <c r="FA6" s="137"/>
      <c r="FB6" s="137"/>
      <c r="FC6" s="137"/>
      <c r="FD6" s="137"/>
      <c r="FE6" s="137"/>
      <c r="FF6" s="137"/>
      <c r="FG6" s="137"/>
      <c r="FH6" s="137"/>
      <c r="FI6" s="137"/>
      <c r="FJ6" s="137"/>
      <c r="FK6" s="138"/>
      <c r="FL6" s="142"/>
      <c r="FM6" s="143"/>
      <c r="FN6" s="143"/>
      <c r="FO6" s="143"/>
      <c r="FP6" s="143"/>
      <c r="FQ6" s="143"/>
      <c r="FR6" s="144"/>
      <c r="FS6" s="108"/>
      <c r="FT6" s="145"/>
      <c r="FU6" s="145"/>
      <c r="FV6" s="145"/>
      <c r="FW6" s="145"/>
      <c r="FX6" s="36"/>
      <c r="FY6" s="36"/>
      <c r="FZ6" s="36"/>
      <c r="GA6" s="36"/>
      <c r="GB6" s="36"/>
      <c r="GC6" s="36"/>
      <c r="GD6" s="36"/>
    </row>
    <row r="7" spans="1:311" s="23" customFormat="1" ht="38.25" customHeight="1" x14ac:dyDescent="0.35">
      <c r="A7" s="146" t="s">
        <v>229</v>
      </c>
      <c r="B7" s="146"/>
      <c r="C7" s="146"/>
      <c r="D7" s="146"/>
      <c r="E7" s="146"/>
      <c r="F7" s="146"/>
      <c r="G7" s="146"/>
      <c r="H7" s="52"/>
      <c r="I7" s="37" t="s">
        <v>230</v>
      </c>
      <c r="J7" s="147" t="s">
        <v>231</v>
      </c>
      <c r="K7" s="147"/>
      <c r="L7" s="147"/>
      <c r="M7" s="148" t="s">
        <v>232</v>
      </c>
      <c r="N7" s="148"/>
      <c r="O7" s="148"/>
      <c r="P7" s="148" t="s">
        <v>233</v>
      </c>
      <c r="Q7" s="148"/>
      <c r="R7" s="149"/>
      <c r="S7" s="147" t="s">
        <v>234</v>
      </c>
      <c r="T7" s="147"/>
      <c r="U7" s="147"/>
      <c r="V7" s="147" t="s">
        <v>235</v>
      </c>
      <c r="W7" s="147" t="s">
        <v>235</v>
      </c>
      <c r="X7" s="147"/>
      <c r="Y7" s="147" t="s">
        <v>236</v>
      </c>
      <c r="Z7" s="147" t="s">
        <v>236</v>
      </c>
      <c r="AA7" s="150"/>
      <c r="AB7" s="147" t="s">
        <v>237</v>
      </c>
      <c r="AC7" s="147"/>
      <c r="AD7" s="147"/>
      <c r="AE7" s="147" t="s">
        <v>238</v>
      </c>
      <c r="AF7" s="147" t="s">
        <v>239</v>
      </c>
      <c r="AG7" s="147"/>
      <c r="AH7" s="151" t="s">
        <v>240</v>
      </c>
      <c r="AI7" s="151" t="s">
        <v>241</v>
      </c>
      <c r="AJ7" s="152"/>
      <c r="AK7" s="147" t="s">
        <v>242</v>
      </c>
      <c r="AL7" s="147" t="s">
        <v>243</v>
      </c>
      <c r="AM7" s="147"/>
      <c r="AN7" s="147" t="s">
        <v>244</v>
      </c>
      <c r="AO7" s="147" t="s">
        <v>244</v>
      </c>
      <c r="AP7" s="147"/>
      <c r="AQ7" s="151" t="s">
        <v>245</v>
      </c>
      <c r="AR7" s="151" t="s">
        <v>245</v>
      </c>
      <c r="AS7" s="152"/>
      <c r="AT7" s="147" t="s">
        <v>246</v>
      </c>
      <c r="AU7" s="147" t="s">
        <v>246</v>
      </c>
      <c r="AV7" s="147"/>
      <c r="AW7" s="147" t="s">
        <v>247</v>
      </c>
      <c r="AX7" s="147" t="s">
        <v>247</v>
      </c>
      <c r="AY7" s="147"/>
      <c r="AZ7" s="153" t="s">
        <v>248</v>
      </c>
      <c r="BA7" s="153"/>
      <c r="BB7" s="153"/>
      <c r="BC7" s="151" t="s">
        <v>249</v>
      </c>
      <c r="BD7" s="151"/>
      <c r="BE7" s="152"/>
      <c r="BF7" s="147" t="s">
        <v>250</v>
      </c>
      <c r="BG7" s="147" t="s">
        <v>250</v>
      </c>
      <c r="BH7" s="147"/>
      <c r="BI7" s="147" t="s">
        <v>251</v>
      </c>
      <c r="BJ7" s="147" t="s">
        <v>251</v>
      </c>
      <c r="BK7" s="147"/>
      <c r="BL7" s="147" t="s">
        <v>252</v>
      </c>
      <c r="BM7" s="147" t="s">
        <v>252</v>
      </c>
      <c r="BN7" s="147"/>
      <c r="BO7" s="147" t="s">
        <v>253</v>
      </c>
      <c r="BP7" s="147" t="s">
        <v>253</v>
      </c>
      <c r="BQ7" s="147"/>
      <c r="BR7" s="147" t="s">
        <v>254</v>
      </c>
      <c r="BS7" s="147" t="s">
        <v>254</v>
      </c>
      <c r="BT7" s="147"/>
      <c r="BU7" s="147" t="s">
        <v>255</v>
      </c>
      <c r="BV7" s="147" t="s">
        <v>255</v>
      </c>
      <c r="BW7" s="147"/>
      <c r="BX7" s="147" t="s">
        <v>256</v>
      </c>
      <c r="BY7" s="147" t="s">
        <v>256</v>
      </c>
      <c r="BZ7" s="147"/>
      <c r="CA7" s="147" t="s">
        <v>257</v>
      </c>
      <c r="CB7" s="147" t="s">
        <v>257</v>
      </c>
      <c r="CC7" s="147"/>
      <c r="CD7" s="147" t="s">
        <v>258</v>
      </c>
      <c r="CE7" s="147" t="s">
        <v>258</v>
      </c>
      <c r="CF7" s="147"/>
      <c r="CG7" s="147" t="s">
        <v>259</v>
      </c>
      <c r="CH7" s="147" t="s">
        <v>259</v>
      </c>
      <c r="CI7" s="147"/>
      <c r="CJ7" s="147" t="s">
        <v>260</v>
      </c>
      <c r="CK7" s="147" t="s">
        <v>260</v>
      </c>
      <c r="CL7" s="147"/>
      <c r="CM7" s="154" t="s">
        <v>261</v>
      </c>
      <c r="CN7" s="154"/>
      <c r="CO7" s="155"/>
      <c r="CP7" s="155" t="s">
        <v>262</v>
      </c>
      <c r="CQ7" s="156"/>
      <c r="CR7" s="156"/>
      <c r="CS7" s="157"/>
      <c r="CT7" s="151" t="s">
        <v>263</v>
      </c>
      <c r="CU7" s="151"/>
      <c r="CV7" s="152"/>
      <c r="CW7" s="158" t="s">
        <v>264</v>
      </c>
      <c r="CX7" s="158"/>
      <c r="CY7" s="158"/>
      <c r="CZ7" s="147" t="s">
        <v>265</v>
      </c>
      <c r="DA7" s="147"/>
      <c r="DB7" s="147"/>
      <c r="DC7" s="159" t="s">
        <v>266</v>
      </c>
      <c r="DD7" s="159"/>
      <c r="DE7" s="159"/>
      <c r="DF7" s="160" t="s">
        <v>267</v>
      </c>
      <c r="DG7" s="160"/>
      <c r="DH7" s="160"/>
      <c r="DI7" s="161" t="s">
        <v>268</v>
      </c>
      <c r="DJ7" s="162"/>
      <c r="DK7" s="162"/>
      <c r="DL7" s="163"/>
      <c r="DM7" s="158" t="s">
        <v>269</v>
      </c>
      <c r="DN7" s="158"/>
      <c r="DO7" s="158"/>
      <c r="DP7" s="147" t="s">
        <v>270</v>
      </c>
      <c r="DQ7" s="147"/>
      <c r="DR7" s="147"/>
      <c r="DS7" s="164" t="s">
        <v>271</v>
      </c>
      <c r="DT7" s="165"/>
      <c r="DU7" s="165"/>
      <c r="DV7" s="166"/>
      <c r="DW7" s="164" t="s">
        <v>272</v>
      </c>
      <c r="DX7" s="165"/>
      <c r="DY7" s="165"/>
      <c r="DZ7" s="166"/>
      <c r="EA7" s="164" t="s">
        <v>273</v>
      </c>
      <c r="EB7" s="165"/>
      <c r="EC7" s="165"/>
      <c r="ED7" s="166"/>
      <c r="EE7" s="148" t="s">
        <v>274</v>
      </c>
      <c r="EF7" s="148"/>
      <c r="EG7" s="148"/>
      <c r="EH7" s="148" t="s">
        <v>275</v>
      </c>
      <c r="EI7" s="148"/>
      <c r="EJ7" s="149"/>
      <c r="EK7" s="158" t="s">
        <v>276</v>
      </c>
      <c r="EL7" s="158"/>
      <c r="EM7" s="158"/>
      <c r="EN7" s="147" t="s">
        <v>277</v>
      </c>
      <c r="EO7" s="147"/>
      <c r="EP7" s="147"/>
      <c r="EQ7" s="147" t="s">
        <v>278</v>
      </c>
      <c r="ER7" s="147"/>
      <c r="ES7" s="147"/>
      <c r="ET7" s="147" t="s">
        <v>279</v>
      </c>
      <c r="EU7" s="147"/>
      <c r="EV7" s="147"/>
      <c r="EW7" s="147" t="s">
        <v>280</v>
      </c>
      <c r="EX7" s="147"/>
      <c r="EY7" s="147"/>
      <c r="EZ7" s="169" t="s">
        <v>281</v>
      </c>
      <c r="FA7" s="169" t="s">
        <v>281</v>
      </c>
      <c r="FB7" s="169"/>
      <c r="FC7" s="147" t="s">
        <v>282</v>
      </c>
      <c r="FD7" s="147"/>
      <c r="FE7" s="147"/>
      <c r="FF7" s="150" t="s">
        <v>283</v>
      </c>
      <c r="FG7" s="170"/>
      <c r="FH7" s="170"/>
      <c r="FI7" s="167" t="s">
        <v>284</v>
      </c>
      <c r="FJ7" s="167"/>
      <c r="FK7" s="167"/>
      <c r="FL7" s="151" t="s">
        <v>285</v>
      </c>
      <c r="FM7" s="151"/>
      <c r="FN7" s="151"/>
      <c r="FO7" s="168" t="s">
        <v>286</v>
      </c>
      <c r="FP7" s="168"/>
      <c r="FQ7" s="168"/>
      <c r="FR7" s="75" t="s">
        <v>287</v>
      </c>
      <c r="FS7" s="75" t="s">
        <v>288</v>
      </c>
      <c r="FT7" s="145"/>
      <c r="FU7" s="145"/>
      <c r="FV7" s="145"/>
      <c r="FW7" s="145"/>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3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hidden="1" outlineLevel="1" x14ac:dyDescent="0.35">
      <c r="A9" s="23"/>
      <c r="B9" s="23">
        <v>107134</v>
      </c>
      <c r="C9" s="24" t="s">
        <v>478</v>
      </c>
      <c r="D9" s="95"/>
      <c r="E9" s="24"/>
      <c r="F9" s="25" t="s">
        <v>463</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396</v>
      </c>
      <c r="FU9" s="54">
        <f>NETWORKDAYS($I10,FP10)</f>
        <v>396</v>
      </c>
      <c r="FV9" s="54">
        <f>IF(FQ10="",NETWORKDAYS($I10,FP10),NETWORKDAYS($I10,FQ10))</f>
        <v>396</v>
      </c>
      <c r="FW9" s="55" t="s">
        <v>464</v>
      </c>
    </row>
    <row r="10" spans="1:311" collapsed="1" x14ac:dyDescent="0.35">
      <c r="A10" s="23" t="s">
        <v>4</v>
      </c>
      <c r="B10" s="23">
        <v>107134</v>
      </c>
      <c r="C10" s="24" t="s">
        <v>478</v>
      </c>
      <c r="D10" s="65"/>
      <c r="E10" s="23" t="str">
        <f>IF(D10="","Unknown",IF(D10&lt;=FM10+90,"Red",IF(AND(D10&gt;FM10+90,D10&lt;=FM10+180),"Yellow",IF(AND(D10&gt;FM10+180,D10&lt;=FM10+690),"Green","Covered"))))</f>
        <v>Unknown</v>
      </c>
      <c r="F10" s="25" t="s">
        <v>466</v>
      </c>
      <c r="G10" s="26"/>
      <c r="H10" s="26" t="str">
        <f>IF(CR10="","Pre-Execution","Execution")</f>
        <v>Execution</v>
      </c>
      <c r="I10" s="13">
        <v>45814</v>
      </c>
      <c r="J10" s="28"/>
      <c r="K10" s="28"/>
      <c r="L10" s="28"/>
      <c r="M10" s="10">
        <v>45853</v>
      </c>
      <c r="N10" s="10">
        <f>WORKDAY(I10,N9)</f>
        <v>45853</v>
      </c>
      <c r="O10" s="56">
        <f>M10</f>
        <v>45853</v>
      </c>
      <c r="P10" s="10">
        <v>45853</v>
      </c>
      <c r="Q10" s="10">
        <f>IF(O10="",WORKDAY(N10,Q9),WORKDAY(O10,Q9))</f>
        <v>45853</v>
      </c>
      <c r="R10" s="56">
        <f>P10</f>
        <v>45853</v>
      </c>
      <c r="S10" s="28"/>
      <c r="T10" s="28"/>
      <c r="U10" s="28"/>
      <c r="V10" s="10">
        <v>45895</v>
      </c>
      <c r="W10" s="10">
        <f>IF(R10="",WORKDAY(Q10,W9),WORKDAY(R10,W9))</f>
        <v>45895</v>
      </c>
      <c r="X10" s="56"/>
      <c r="Y10" s="10">
        <v>45951</v>
      </c>
      <c r="Z10" s="10">
        <f>IF(R10="",WORKDAY(Q10,Z9),WORKDAY(R10,Z9))</f>
        <v>45951</v>
      </c>
      <c r="AA10" s="56"/>
      <c r="AB10" s="10">
        <v>45814</v>
      </c>
      <c r="AC10" s="10">
        <f>WORKDAY(I10,AC9)</f>
        <v>45814</v>
      </c>
      <c r="AD10" s="56"/>
      <c r="AE10" s="10">
        <v>45919</v>
      </c>
      <c r="AF10" s="10">
        <f>IF(AD10="",WORKDAY(AC10,AF9),WORKDAY(AD10,AF9))</f>
        <v>45919</v>
      </c>
      <c r="AG10" s="56"/>
      <c r="AH10" s="10">
        <v>45958</v>
      </c>
      <c r="AI10" s="10">
        <f>WORKDAY(IF(AA10="",IF(Z10&gt;AF10,Z10,AF10),IF(AA10&gt;AG10,AA10,AG10)),AI9)</f>
        <v>45958</v>
      </c>
      <c r="AJ10" s="56">
        <f>AH10</f>
        <v>45958</v>
      </c>
      <c r="AK10" s="10">
        <v>45986</v>
      </c>
      <c r="AL10" s="10">
        <f>IF(AJ10="",WORKDAY(AI10,AL9),WORKDAY(AJ10,AL9))</f>
        <v>45986</v>
      </c>
      <c r="AM10" s="56"/>
      <c r="AN10" s="10">
        <v>45986</v>
      </c>
      <c r="AO10" s="10">
        <f>IF(AM10="",WORKDAY(AL10,AO9),WORKDAY(AM10,AO9))</f>
        <v>45986</v>
      </c>
      <c r="AP10" s="56"/>
      <c r="AQ10" s="10">
        <v>46014</v>
      </c>
      <c r="AR10" s="10">
        <f>IF(AP10="",WORKDAY(AO10,AR9),WORKDAY(AP10,AR9))</f>
        <v>46014</v>
      </c>
      <c r="AS10" s="10">
        <f>AQ10</f>
        <v>46014</v>
      </c>
      <c r="AT10" s="10">
        <v>45993</v>
      </c>
      <c r="AU10" s="10">
        <v>45993</v>
      </c>
      <c r="AV10" s="56"/>
      <c r="AW10" s="10">
        <v>46028</v>
      </c>
      <c r="AX10" s="10">
        <f>IF(AS10="",IF(AR10&gt;AU10,WORKDAY(AR10,AX9),WORKDAY(AU10,AX9)),IF(AS10&gt;AV10,WORKDAY(AS10,AX9),WORKDAY(AV10,AX9)))</f>
        <v>46028</v>
      </c>
      <c r="AY10" s="56"/>
      <c r="AZ10" s="10">
        <v>46028</v>
      </c>
      <c r="BA10" s="10">
        <f>IF(AP10="",WORKDAY(AO10,BA9),WORKDAY(AP10,BA9))</f>
        <v>46028</v>
      </c>
      <c r="BB10" s="56"/>
      <c r="BC10" s="10">
        <v>46035</v>
      </c>
      <c r="BD10" s="10">
        <f>IF(AY10="",IF(AX10&gt;BA10,WORKDAY(AX10,BD9),WORKDAY(BA10,BD9)),IF(AY10&gt;BB10,WORKDAY(AY10,BD9),WORKDAY(BB10,BD9)))</f>
        <v>46035</v>
      </c>
      <c r="BE10" s="10">
        <f>IF(AZ10="",IF(AY10&gt;BB10,WORKDAY(AY10,BE9),WORKDAY(BB10,BE9)),IF(AZ10&gt;BC10,WORKDAY(AZ10,BE9),WORKDAY(BC10,BE9)))</f>
        <v>46035</v>
      </c>
      <c r="BF10" s="10">
        <v>46042</v>
      </c>
      <c r="BG10" s="10">
        <v>46042</v>
      </c>
      <c r="BH10" s="56">
        <f>BF10</f>
        <v>46042</v>
      </c>
      <c r="BI10" s="10">
        <v>46049</v>
      </c>
      <c r="BJ10" s="10">
        <f>IF(BH10="",WORKDAY(BG10,BJ9),WORKDAY(BH10,BJ9))</f>
        <v>46049</v>
      </c>
      <c r="BK10" s="56">
        <f>BI10</f>
        <v>46049</v>
      </c>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v>46052</v>
      </c>
      <c r="CN10" s="10">
        <f>IF(BK10="",WORKDAY(BJ10,CN9),WORKDAY(BK10,CN9))</f>
        <v>46052</v>
      </c>
      <c r="CO10" s="56">
        <f>CM10</f>
        <v>46052</v>
      </c>
      <c r="CP10" s="10">
        <v>46059</v>
      </c>
      <c r="CQ10" s="10">
        <f>IF(CO10="",WORKDAY(CN10,CQ9),WORKDAY(CO10,CQ9))</f>
        <v>46059</v>
      </c>
      <c r="CR10" s="56">
        <f>CP10</f>
        <v>46059</v>
      </c>
      <c r="CS10" s="77" t="s">
        <v>479</v>
      </c>
      <c r="CT10" s="10">
        <v>46227</v>
      </c>
      <c r="CU10" s="10">
        <f>IF(CR10="",WORKDAY(CQ10,CU9),WORKDAY(CR10,CU9))</f>
        <v>46227</v>
      </c>
      <c r="CV10" s="56">
        <f>CT10</f>
        <v>46227</v>
      </c>
      <c r="CW10" s="10">
        <v>46042</v>
      </c>
      <c r="CX10" s="10">
        <f>IF(BB10="",WORKDAY(BA10,CX9),WORKDAY(BB10,CX9))</f>
        <v>46042</v>
      </c>
      <c r="CY10" s="56">
        <f>CW10</f>
        <v>46042</v>
      </c>
      <c r="CZ10" s="10">
        <v>46042</v>
      </c>
      <c r="DA10" s="10">
        <f>IF(CY10="",WORKDAY(CX10,DA9),WORKDAY(CY10,DA9))</f>
        <v>46042</v>
      </c>
      <c r="DB10" s="56">
        <f>CZ10</f>
        <v>46042</v>
      </c>
      <c r="DC10" s="45"/>
      <c r="DD10" s="45"/>
      <c r="DE10" s="45"/>
      <c r="DF10" s="10">
        <v>46255</v>
      </c>
      <c r="DG10" s="10">
        <f>IF($CV10="",IF($CU10&gt;$DA10,WORKDAY($CU10,DG9),WORKDAY($DA10,DG9)),IF($CV10&gt;$DB10,WORKDAY($CV10,DG9),WORKDAY($DB10,DG9)))</f>
        <v>46255</v>
      </c>
      <c r="DH10" s="56"/>
      <c r="DI10" s="46"/>
      <c r="DJ10" s="10">
        <v>46283</v>
      </c>
      <c r="DK10" s="10">
        <f>IF(DH10="",WORKDAY(DG10,DK9*$DI9),WORKDAY(DH10,DK9*$DI9))</f>
        <v>46283</v>
      </c>
      <c r="DL10" s="56"/>
      <c r="DM10" s="46"/>
      <c r="DN10" s="46"/>
      <c r="DO10" s="46"/>
      <c r="DP10" s="46"/>
      <c r="DQ10" s="46"/>
      <c r="DR10" s="46"/>
      <c r="DS10" s="46"/>
      <c r="DT10" s="46"/>
      <c r="DU10" s="46"/>
      <c r="DV10" s="46"/>
      <c r="DW10" s="46"/>
      <c r="DX10" s="46"/>
      <c r="DY10" s="46"/>
      <c r="DZ10" s="46"/>
      <c r="EA10" s="46"/>
      <c r="EB10" s="46"/>
      <c r="EC10" s="46"/>
      <c r="ED10" s="46"/>
      <c r="EE10" s="10">
        <v>46283</v>
      </c>
      <c r="EF10" s="10">
        <f>IF(DL10="",WORKDAY(DK10,EF9),WORKDAY(DL10,EF9))</f>
        <v>46283</v>
      </c>
      <c r="EG10" s="56"/>
      <c r="EH10" s="10">
        <v>46084</v>
      </c>
      <c r="EI10" s="10">
        <f>IF(BH10="",WORKDAY(BG10,EI9),WORKDAY(BH10,EI9))</f>
        <v>46084</v>
      </c>
      <c r="EJ10" s="56"/>
      <c r="EK10" s="27"/>
      <c r="EL10" s="27"/>
      <c r="EM10" s="27"/>
      <c r="EN10" s="27"/>
      <c r="EO10" s="28"/>
      <c r="EP10" s="28"/>
      <c r="EQ10" s="28"/>
      <c r="ER10" s="28"/>
      <c r="ES10" s="28"/>
      <c r="ET10" s="28"/>
      <c r="EU10" s="28"/>
      <c r="EV10" s="28"/>
      <c r="EW10" s="28"/>
      <c r="EX10" s="28"/>
      <c r="EY10" s="28"/>
      <c r="EZ10" s="10">
        <v>46290</v>
      </c>
      <c r="FA10" s="10">
        <f>IF(EG10="",WORKDAY(EF10,FA9),WORKDAY(EG10,FA9))</f>
        <v>46290</v>
      </c>
      <c r="FB10" s="56"/>
      <c r="FC10" s="28"/>
      <c r="FD10" s="28"/>
      <c r="FE10" s="28"/>
      <c r="FF10" s="28"/>
      <c r="FG10" s="28"/>
      <c r="FH10" s="28"/>
      <c r="FI10" s="10">
        <v>46311</v>
      </c>
      <c r="FJ10" s="10">
        <f>IF(FB10="",WORKDAY(FA10,FJ9),WORKDAY(FB10,FJ9))</f>
        <v>46311</v>
      </c>
      <c r="FK10" s="56"/>
      <c r="FL10" s="10">
        <v>46311</v>
      </c>
      <c r="FM10" s="10">
        <f>IF(FK10="",WORKDAY(FJ10,FM9),WORKDAY(FK10,FM9))</f>
        <v>46311</v>
      </c>
      <c r="FN10" s="56"/>
      <c r="FO10" s="10">
        <v>46367</v>
      </c>
      <c r="FP10" s="10">
        <f>WORKDAY(FM10,FP9)</f>
        <v>46367</v>
      </c>
      <c r="FQ10" s="10"/>
      <c r="FR10" s="77" t="str">
        <f>IF(NETWORKDAYS(FJ10,FO10)&gt;=30,"On-Track",IF(AND(NETWORKDAYS(FJ10,FO10)&lt;30,FJ10&lt;=FO10),"At Risk","Missed TCD"))</f>
        <v>On-Track</v>
      </c>
      <c r="FS10" s="110" t="s">
        <v>480</v>
      </c>
      <c r="FT10" s="57">
        <f>NETWORKDAYS(CP10,FI10)</f>
        <v>181</v>
      </c>
      <c r="FU10" s="57">
        <f>NETWORKDAYS(CQ10,FJ10)</f>
        <v>181</v>
      </c>
      <c r="FV10" s="57">
        <f>IF(BH10="",NETWORKDAYS(BG10,FJ10),IF(FK10="",NETWORKDAYS(BH10,FJ10),NETWORKDAYS(BH10,FK10)))</f>
        <v>194</v>
      </c>
      <c r="FW10" s="58" t="s">
        <v>467</v>
      </c>
    </row>
    <row r="11" spans="1:311" hidden="1" outlineLevel="1" x14ac:dyDescent="0.35">
      <c r="A11" s="23"/>
      <c r="B11" s="23">
        <v>107135</v>
      </c>
      <c r="C11" s="24" t="s">
        <v>481</v>
      </c>
      <c r="D11" s="95"/>
      <c r="E11" s="24"/>
      <c r="F11" s="25" t="s">
        <v>463</v>
      </c>
      <c r="G11" s="26"/>
      <c r="H11" s="26"/>
      <c r="I11" s="27"/>
      <c r="J11" s="27"/>
      <c r="K11" s="27"/>
      <c r="L11" s="27"/>
      <c r="M11" s="4">
        <v>27</v>
      </c>
      <c r="N11" s="4">
        <v>27</v>
      </c>
      <c r="O11" s="27"/>
      <c r="P11" s="4">
        <v>0</v>
      </c>
      <c r="Q11" s="4">
        <v>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4">
        <v>3</v>
      </c>
      <c r="CN11" s="4">
        <v>3</v>
      </c>
      <c r="CO11" s="27"/>
      <c r="CP11" s="4">
        <v>5</v>
      </c>
      <c r="CQ11" s="4">
        <v>5</v>
      </c>
      <c r="CR11" s="27"/>
      <c r="CS11" s="27"/>
      <c r="CT11" s="5">
        <v>120</v>
      </c>
      <c r="CU11" s="5">
        <v>120</v>
      </c>
      <c r="CV11" s="27"/>
      <c r="CW11" s="5">
        <v>10</v>
      </c>
      <c r="CX11" s="5">
        <v>10</v>
      </c>
      <c r="CY11" s="27"/>
      <c r="CZ11" s="5">
        <v>0</v>
      </c>
      <c r="DA11" s="5">
        <v>0</v>
      </c>
      <c r="DB11" s="27"/>
      <c r="DC11" s="31"/>
      <c r="DD11" s="31"/>
      <c r="DE11" s="31"/>
      <c r="DF11" s="4">
        <v>20</v>
      </c>
      <c r="DG11" s="4">
        <v>20</v>
      </c>
      <c r="DH11" s="27"/>
      <c r="DI11" s="89">
        <v>1</v>
      </c>
      <c r="DJ11" s="4">
        <v>20</v>
      </c>
      <c r="DK11" s="4">
        <v>20</v>
      </c>
      <c r="DL11" s="27"/>
      <c r="DM11" s="27"/>
      <c r="DN11" s="27"/>
      <c r="DO11" s="27"/>
      <c r="DP11" s="27"/>
      <c r="DQ11" s="27"/>
      <c r="DR11" s="27"/>
      <c r="DS11" s="27"/>
      <c r="DT11" s="27"/>
      <c r="DU11" s="27"/>
      <c r="DV11" s="27"/>
      <c r="DW11" s="27"/>
      <c r="DX11" s="27"/>
      <c r="DY11" s="27"/>
      <c r="DZ11" s="27"/>
      <c r="EA11" s="27"/>
      <c r="EB11" s="27"/>
      <c r="EC11" s="27"/>
      <c r="ED11" s="27"/>
      <c r="EE11" s="4">
        <v>0</v>
      </c>
      <c r="EF11" s="4">
        <v>0</v>
      </c>
      <c r="EG11" s="27"/>
      <c r="EH11" s="4">
        <v>30</v>
      </c>
      <c r="EI11" s="4">
        <v>30</v>
      </c>
      <c r="EJ11" s="27"/>
      <c r="EK11" s="27"/>
      <c r="EL11" s="27"/>
      <c r="EM11" s="27"/>
      <c r="EN11" s="27"/>
      <c r="EO11" s="27"/>
      <c r="EP11" s="27"/>
      <c r="EQ11" s="27"/>
      <c r="ER11" s="27"/>
      <c r="ES11" s="27"/>
      <c r="ET11" s="27"/>
      <c r="EU11" s="27"/>
      <c r="EV11" s="27"/>
      <c r="EW11" s="27"/>
      <c r="EX11" s="27"/>
      <c r="EY11" s="27"/>
      <c r="EZ11" s="4">
        <v>5</v>
      </c>
      <c r="FA11" s="4">
        <v>5</v>
      </c>
      <c r="FB11" s="27"/>
      <c r="FC11" s="27"/>
      <c r="FD11" s="27"/>
      <c r="FE11" s="27"/>
      <c r="FF11" s="27"/>
      <c r="FG11" s="27"/>
      <c r="FH11" s="27"/>
      <c r="FI11" s="4">
        <v>15</v>
      </c>
      <c r="FJ11" s="4">
        <v>15</v>
      </c>
      <c r="FK11" s="27"/>
      <c r="FL11" s="4">
        <v>0</v>
      </c>
      <c r="FM11" s="4">
        <v>0</v>
      </c>
      <c r="FN11" s="27"/>
      <c r="FO11" s="4">
        <v>40</v>
      </c>
      <c r="FP11" s="4">
        <v>40</v>
      </c>
      <c r="FQ11" s="27"/>
      <c r="FR11" s="27"/>
      <c r="FS11" s="109"/>
      <c r="FT11" s="54">
        <f>NETWORKDAYS($I12,FO12)</f>
        <v>396</v>
      </c>
      <c r="FU11" s="54">
        <f>NETWORKDAYS($I12,FP12)</f>
        <v>396</v>
      </c>
      <c r="FV11" s="54">
        <f>IF(FQ12="",NETWORKDAYS($I12,FP12),NETWORKDAYS($I12,FQ12))</f>
        <v>396</v>
      </c>
      <c r="FW11" s="55" t="s">
        <v>464</v>
      </c>
    </row>
    <row r="12" spans="1:311" collapsed="1" x14ac:dyDescent="0.35">
      <c r="A12" s="23" t="s">
        <v>4</v>
      </c>
      <c r="B12" s="23">
        <v>107135</v>
      </c>
      <c r="C12" s="24" t="s">
        <v>481</v>
      </c>
      <c r="D12" s="65"/>
      <c r="E12" s="23" t="str">
        <f>IF(D12="","Unknown",IF(D12&lt;=FM12+90,"Red",IF(AND(D12&gt;FM12+90,D12&lt;=FM12+180),"Yellow",IF(AND(D12&gt;FM12+180,D12&lt;=FM12+690),"Green","Covered"))))</f>
        <v>Unknown</v>
      </c>
      <c r="F12" s="25" t="s">
        <v>466</v>
      </c>
      <c r="G12" s="26"/>
      <c r="H12" s="26" t="str">
        <f>IF(CR12="","Pre-Execution","Execution")</f>
        <v>Execution</v>
      </c>
      <c r="I12" s="13">
        <v>45814</v>
      </c>
      <c r="J12" s="28"/>
      <c r="K12" s="28"/>
      <c r="L12" s="28"/>
      <c r="M12" s="10">
        <v>45853</v>
      </c>
      <c r="N12" s="10">
        <f>WORKDAY(I12,N11)</f>
        <v>45853</v>
      </c>
      <c r="O12" s="56">
        <f>M12</f>
        <v>45853</v>
      </c>
      <c r="P12" s="10">
        <v>45853</v>
      </c>
      <c r="Q12" s="10">
        <f>IF(O12="",WORKDAY(N12,Q11),WORKDAY(O12,Q11))</f>
        <v>45853</v>
      </c>
      <c r="R12" s="56">
        <f>P12</f>
        <v>45853</v>
      </c>
      <c r="S12" s="28"/>
      <c r="T12" s="28"/>
      <c r="U12" s="28"/>
      <c r="V12" s="10">
        <v>45895</v>
      </c>
      <c r="W12" s="10">
        <f>IF(R12="",WORKDAY(Q12,W11),WORKDAY(R12,W11))</f>
        <v>45895</v>
      </c>
      <c r="X12" s="56"/>
      <c r="Y12" s="10">
        <v>45951</v>
      </c>
      <c r="Z12" s="10">
        <f>IF(R12="",WORKDAY(Q12,Z11),WORKDAY(R12,Z11))</f>
        <v>45951</v>
      </c>
      <c r="AA12" s="56"/>
      <c r="AB12" s="10">
        <v>45814</v>
      </c>
      <c r="AC12" s="10">
        <f>WORKDAY(I12,AC11)</f>
        <v>45814</v>
      </c>
      <c r="AD12" s="56"/>
      <c r="AE12" s="10">
        <v>45919</v>
      </c>
      <c r="AF12" s="10">
        <f>IF(AD12="",WORKDAY(AC12,AF11),WORKDAY(AD12,AF11))</f>
        <v>45919</v>
      </c>
      <c r="AG12" s="56"/>
      <c r="AH12" s="10">
        <v>45958</v>
      </c>
      <c r="AI12" s="10">
        <f>WORKDAY(IF(AA12="",IF(Z12&gt;AF12,Z12,AF12),IF(AA12&gt;AG12,AA12,AG12)),AI11)</f>
        <v>45958</v>
      </c>
      <c r="AJ12" s="56">
        <f>AH12</f>
        <v>45958</v>
      </c>
      <c r="AK12" s="10">
        <v>45986</v>
      </c>
      <c r="AL12" s="10">
        <f>IF(AJ12="",WORKDAY(AI12,AL11),WORKDAY(AJ12,AL11))</f>
        <v>45986</v>
      </c>
      <c r="AM12" s="56"/>
      <c r="AN12" s="10">
        <v>45986</v>
      </c>
      <c r="AO12" s="10">
        <f>IF(AM12="",WORKDAY(AL12,AO11),WORKDAY(AM12,AO11))</f>
        <v>45986</v>
      </c>
      <c r="AP12" s="56"/>
      <c r="AQ12" s="10">
        <v>46014</v>
      </c>
      <c r="AR12" s="10">
        <f>IF(AP12="",WORKDAY(AO12,AR11),WORKDAY(AP12,AR11))</f>
        <v>46014</v>
      </c>
      <c r="AS12" s="10">
        <f>AQ12</f>
        <v>46014</v>
      </c>
      <c r="AT12" s="10">
        <v>45993</v>
      </c>
      <c r="AU12" s="10">
        <v>45993</v>
      </c>
      <c r="AV12" s="56"/>
      <c r="AW12" s="10">
        <v>46028</v>
      </c>
      <c r="AX12" s="10">
        <f>IF(AS12="",IF(AR12&gt;AU12,WORKDAY(AR12,AX11),WORKDAY(AU12,AX11)),IF(AS12&gt;AV12,WORKDAY(AS12,AX11),WORKDAY(AV12,AX11)))</f>
        <v>46028</v>
      </c>
      <c r="AY12" s="56"/>
      <c r="AZ12" s="10">
        <v>46028</v>
      </c>
      <c r="BA12" s="10">
        <f>IF(AP12="",WORKDAY(AO12,BA11),WORKDAY(AP12,BA11))</f>
        <v>46028</v>
      </c>
      <c r="BB12" s="56"/>
      <c r="BC12" s="10">
        <v>46035</v>
      </c>
      <c r="BD12" s="10">
        <f>IF(AY12="",IF(AX12&gt;BA12,WORKDAY(AX12,BD11),WORKDAY(BA12,BD11)),IF(AY12&gt;BB12,WORKDAY(AY12,BD11),WORKDAY(BB12,BD11)))</f>
        <v>46035</v>
      </c>
      <c r="BE12" s="10">
        <f>IF(AZ12="",IF(AY12&gt;BB12,WORKDAY(AY12,BE11),WORKDAY(BB12,BE11)),IF(AZ12&gt;BC12,WORKDAY(AZ12,BE11),WORKDAY(BC12,BE11)))</f>
        <v>46035</v>
      </c>
      <c r="BF12" s="10">
        <v>46042</v>
      </c>
      <c r="BG12" s="10">
        <v>46042</v>
      </c>
      <c r="BH12" s="56">
        <f>BF12</f>
        <v>46042</v>
      </c>
      <c r="BI12" s="10">
        <v>46049</v>
      </c>
      <c r="BJ12" s="10">
        <f>IF(BH12="",WORKDAY(BG12,BJ11),WORKDAY(BH12,BJ11))</f>
        <v>46049</v>
      </c>
      <c r="BK12" s="56">
        <f>BI12</f>
        <v>46049</v>
      </c>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28"/>
      <c r="CK12" s="28"/>
      <c r="CL12" s="28"/>
      <c r="CM12" s="10">
        <v>46052</v>
      </c>
      <c r="CN12" s="10">
        <f>IF(BK12="",WORKDAY(BJ12,CN11),WORKDAY(BK12,CN11))</f>
        <v>46052</v>
      </c>
      <c r="CO12" s="56">
        <f>CM12</f>
        <v>46052</v>
      </c>
      <c r="CP12" s="10">
        <v>46059</v>
      </c>
      <c r="CQ12" s="10">
        <f>IF(CO12="",WORKDAY(CN12,CQ11),WORKDAY(CO12,CQ11))</f>
        <v>46059</v>
      </c>
      <c r="CR12" s="56">
        <f>CP12</f>
        <v>46059</v>
      </c>
      <c r="CS12" s="77" t="s">
        <v>479</v>
      </c>
      <c r="CT12" s="10">
        <v>46227</v>
      </c>
      <c r="CU12" s="10">
        <f>IF(CR12="",WORKDAY(CQ12,CU11),WORKDAY(CR12,CU11))</f>
        <v>46227</v>
      </c>
      <c r="CV12" s="56">
        <f>CT12</f>
        <v>46227</v>
      </c>
      <c r="CW12" s="10">
        <v>46042</v>
      </c>
      <c r="CX12" s="10">
        <f>IF(BB12="",WORKDAY(BA12,CX11),WORKDAY(BB12,CX11))</f>
        <v>46042</v>
      </c>
      <c r="CY12" s="56">
        <f>CW12</f>
        <v>46042</v>
      </c>
      <c r="CZ12" s="10">
        <v>46042</v>
      </c>
      <c r="DA12" s="10">
        <f>IF(CY12="",WORKDAY(CX12,DA11),WORKDAY(CY12,DA11))</f>
        <v>46042</v>
      </c>
      <c r="DB12" s="56">
        <f>CZ12</f>
        <v>46042</v>
      </c>
      <c r="DC12" s="45"/>
      <c r="DD12" s="45"/>
      <c r="DE12" s="45"/>
      <c r="DF12" s="10">
        <v>46255</v>
      </c>
      <c r="DG12" s="10">
        <f>IF($CV12="",IF($CU12&gt;$DA12,WORKDAY($CU12,DG11),WORKDAY($DA12,DG11)),IF($CV12&gt;$DB12,WORKDAY($CV12,DG11),WORKDAY($DB12,DG11)))</f>
        <v>46255</v>
      </c>
      <c r="DH12" s="56"/>
      <c r="DI12" s="46"/>
      <c r="DJ12" s="10">
        <v>46283</v>
      </c>
      <c r="DK12" s="10">
        <f>IF(DH12="",WORKDAY(DG12,DK11*$DI11),WORKDAY(DH12,DK11*$DI11))</f>
        <v>46283</v>
      </c>
      <c r="DL12" s="56"/>
      <c r="DM12" s="46"/>
      <c r="DN12" s="46"/>
      <c r="DO12" s="46"/>
      <c r="DP12" s="46"/>
      <c r="DQ12" s="46"/>
      <c r="DR12" s="46"/>
      <c r="DS12" s="46"/>
      <c r="DT12" s="46"/>
      <c r="DU12" s="46"/>
      <c r="DV12" s="46"/>
      <c r="DW12" s="46"/>
      <c r="DX12" s="46"/>
      <c r="DY12" s="46"/>
      <c r="DZ12" s="46"/>
      <c r="EA12" s="46"/>
      <c r="EB12" s="46"/>
      <c r="EC12" s="46"/>
      <c r="ED12" s="46"/>
      <c r="EE12" s="10">
        <v>46283</v>
      </c>
      <c r="EF12" s="10">
        <f>IF(DL12="",WORKDAY(DK12,EF11),WORKDAY(DL12,EF11))</f>
        <v>46283</v>
      </c>
      <c r="EG12" s="56"/>
      <c r="EH12" s="10">
        <v>46084</v>
      </c>
      <c r="EI12" s="10">
        <f>IF(BH12="",WORKDAY(BG12,EI11),WORKDAY(BH12,EI11))</f>
        <v>46084</v>
      </c>
      <c r="EJ12" s="56"/>
      <c r="EK12" s="27"/>
      <c r="EL12" s="27"/>
      <c r="EM12" s="27"/>
      <c r="EN12" s="27"/>
      <c r="EO12" s="28"/>
      <c r="EP12" s="28"/>
      <c r="EQ12" s="28"/>
      <c r="ER12" s="28"/>
      <c r="ES12" s="28"/>
      <c r="ET12" s="28"/>
      <c r="EU12" s="28"/>
      <c r="EV12" s="28"/>
      <c r="EW12" s="28"/>
      <c r="EX12" s="28"/>
      <c r="EY12" s="28"/>
      <c r="EZ12" s="10">
        <v>46290</v>
      </c>
      <c r="FA12" s="10">
        <f>IF(EG12="",WORKDAY(EF12,FA11),WORKDAY(EG12,FA11))</f>
        <v>46290</v>
      </c>
      <c r="FB12" s="56"/>
      <c r="FC12" s="28"/>
      <c r="FD12" s="28"/>
      <c r="FE12" s="28"/>
      <c r="FF12" s="28"/>
      <c r="FG12" s="28"/>
      <c r="FH12" s="28"/>
      <c r="FI12" s="10">
        <v>46311</v>
      </c>
      <c r="FJ12" s="10">
        <f>IF(FB12="",WORKDAY(FA12,FJ11),WORKDAY(FB12,FJ11))</f>
        <v>46311</v>
      </c>
      <c r="FK12" s="56"/>
      <c r="FL12" s="10">
        <v>46311</v>
      </c>
      <c r="FM12" s="10">
        <f>IF(FK12="",WORKDAY(FJ12,FM11),WORKDAY(FK12,FM11))</f>
        <v>46311</v>
      </c>
      <c r="FN12" s="56"/>
      <c r="FO12" s="10">
        <v>46367</v>
      </c>
      <c r="FP12" s="10">
        <f>WORKDAY(FM12,FP11)</f>
        <v>46367</v>
      </c>
      <c r="FQ12" s="10"/>
      <c r="FR12" s="77" t="str">
        <f>IF(NETWORKDAYS(FJ12,FO12)&gt;=30,"On-Track",IF(AND(NETWORKDAYS(FJ12,FO12)&lt;30,FJ12&lt;=FO12),"At Risk","Missed TCD"))</f>
        <v>On-Track</v>
      </c>
      <c r="FS12" s="110" t="s">
        <v>480</v>
      </c>
      <c r="FT12" s="57">
        <f>NETWORKDAYS(CP12,FI12)</f>
        <v>181</v>
      </c>
      <c r="FU12" s="57">
        <f>NETWORKDAYS(CQ12,FJ12)</f>
        <v>181</v>
      </c>
      <c r="FV12" s="57">
        <f>IF(BH12="",NETWORKDAYS(BG12,FJ12),IF(FK12="",NETWORKDAYS(BH12,FJ12),NETWORKDAYS(BH12,FK12)))</f>
        <v>194</v>
      </c>
      <c r="FW12" s="58" t="s">
        <v>467</v>
      </c>
    </row>
    <row r="13" spans="1:311" hidden="1" outlineLevel="1" x14ac:dyDescent="0.35">
      <c r="A13" s="23"/>
      <c r="B13" s="23">
        <v>107136</v>
      </c>
      <c r="C13" s="24" t="s">
        <v>482</v>
      </c>
      <c r="D13" s="95"/>
      <c r="E13" s="24"/>
      <c r="F13" s="25" t="s">
        <v>463</v>
      </c>
      <c r="G13" s="26"/>
      <c r="H13" s="26"/>
      <c r="I13" s="27"/>
      <c r="J13" s="27"/>
      <c r="K13" s="27"/>
      <c r="L13" s="27"/>
      <c r="M13" s="4">
        <v>27</v>
      </c>
      <c r="N13" s="4">
        <v>27</v>
      </c>
      <c r="O13" s="27"/>
      <c r="P13" s="4">
        <v>0</v>
      </c>
      <c r="Q13" s="4">
        <v>0</v>
      </c>
      <c r="R13" s="27"/>
      <c r="S13" s="27"/>
      <c r="T13" s="27"/>
      <c r="U13" s="27"/>
      <c r="V13" s="4">
        <v>30</v>
      </c>
      <c r="W13" s="4">
        <v>30</v>
      </c>
      <c r="X13" s="27"/>
      <c r="Y13" s="4">
        <v>70</v>
      </c>
      <c r="Z13" s="4">
        <v>70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30</v>
      </c>
      <c r="BA13" s="4">
        <v>30</v>
      </c>
      <c r="BB13" s="27"/>
      <c r="BC13" s="4">
        <v>5</v>
      </c>
      <c r="BD13" s="4">
        <v>5</v>
      </c>
      <c r="BE13" s="27"/>
      <c r="BF13" s="4">
        <v>5</v>
      </c>
      <c r="BG13" s="4">
        <v>5</v>
      </c>
      <c r="BH13" s="27"/>
      <c r="BI13" s="4">
        <v>5</v>
      </c>
      <c r="BJ13" s="4">
        <v>5</v>
      </c>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4">
        <v>3</v>
      </c>
      <c r="CN13" s="4">
        <v>3</v>
      </c>
      <c r="CO13" s="27"/>
      <c r="CP13" s="4">
        <v>5</v>
      </c>
      <c r="CQ13" s="4">
        <v>5</v>
      </c>
      <c r="CR13" s="27"/>
      <c r="CS13" s="27"/>
      <c r="CT13" s="5">
        <v>120</v>
      </c>
      <c r="CU13" s="5">
        <v>120</v>
      </c>
      <c r="CV13" s="27"/>
      <c r="CW13" s="5">
        <v>10</v>
      </c>
      <c r="CX13" s="5">
        <v>10</v>
      </c>
      <c r="CY13" s="27"/>
      <c r="CZ13" s="5">
        <v>0</v>
      </c>
      <c r="DA13" s="5">
        <v>0</v>
      </c>
      <c r="DB13" s="27"/>
      <c r="DC13" s="31"/>
      <c r="DD13" s="31"/>
      <c r="DE13" s="31"/>
      <c r="DF13" s="4">
        <v>20</v>
      </c>
      <c r="DG13" s="4">
        <v>20</v>
      </c>
      <c r="DH13" s="27"/>
      <c r="DI13" s="89">
        <v>1</v>
      </c>
      <c r="DJ13" s="4">
        <v>20</v>
      </c>
      <c r="DK13" s="4">
        <v>20</v>
      </c>
      <c r="DL13" s="27"/>
      <c r="DM13" s="27"/>
      <c r="DN13" s="27"/>
      <c r="DO13" s="27"/>
      <c r="DP13" s="27"/>
      <c r="DQ13" s="27"/>
      <c r="DR13" s="27"/>
      <c r="DS13" s="27"/>
      <c r="DT13" s="27"/>
      <c r="DU13" s="27"/>
      <c r="DV13" s="27"/>
      <c r="DW13" s="27"/>
      <c r="DX13" s="27"/>
      <c r="DY13" s="27"/>
      <c r="DZ13" s="27"/>
      <c r="EA13" s="27"/>
      <c r="EB13" s="27"/>
      <c r="EC13" s="27"/>
      <c r="ED13" s="27"/>
      <c r="EE13" s="4">
        <v>0</v>
      </c>
      <c r="EF13" s="4">
        <v>0</v>
      </c>
      <c r="EG13" s="27"/>
      <c r="EH13" s="4">
        <v>30</v>
      </c>
      <c r="EI13" s="4">
        <v>30</v>
      </c>
      <c r="EJ13" s="27"/>
      <c r="EK13" s="27"/>
      <c r="EL13" s="27"/>
      <c r="EM13" s="27"/>
      <c r="EN13" s="27"/>
      <c r="EO13" s="27"/>
      <c r="EP13" s="27"/>
      <c r="EQ13" s="27"/>
      <c r="ER13" s="27"/>
      <c r="ES13" s="27"/>
      <c r="ET13" s="27"/>
      <c r="EU13" s="27"/>
      <c r="EV13" s="27"/>
      <c r="EW13" s="27"/>
      <c r="EX13" s="27"/>
      <c r="EY13" s="27"/>
      <c r="EZ13" s="4">
        <v>5</v>
      </c>
      <c r="FA13" s="4">
        <v>5</v>
      </c>
      <c r="FB13" s="27"/>
      <c r="FC13" s="27"/>
      <c r="FD13" s="27"/>
      <c r="FE13" s="27"/>
      <c r="FF13" s="27"/>
      <c r="FG13" s="27"/>
      <c r="FH13" s="27"/>
      <c r="FI13" s="4">
        <v>15</v>
      </c>
      <c r="FJ13" s="4">
        <v>15</v>
      </c>
      <c r="FK13" s="27"/>
      <c r="FL13" s="4">
        <v>0</v>
      </c>
      <c r="FM13" s="4">
        <v>0</v>
      </c>
      <c r="FN13" s="27"/>
      <c r="FO13" s="4">
        <v>40</v>
      </c>
      <c r="FP13" s="4">
        <v>40</v>
      </c>
      <c r="FQ13" s="27"/>
      <c r="FR13" s="27"/>
      <c r="FS13" s="109"/>
      <c r="FT13" s="54">
        <f>NETWORKDAYS($I14,FO14)</f>
        <v>396</v>
      </c>
      <c r="FU13" s="54">
        <f>NETWORKDAYS($I14,FP14)</f>
        <v>396</v>
      </c>
      <c r="FV13" s="54">
        <f>IF(FQ14="",NETWORKDAYS($I14,FP14),NETWORKDAYS($I14,FQ14))</f>
        <v>396</v>
      </c>
      <c r="FW13" s="55" t="s">
        <v>464</v>
      </c>
    </row>
    <row r="14" spans="1:311" collapsed="1" x14ac:dyDescent="0.35">
      <c r="A14" s="23" t="s">
        <v>4</v>
      </c>
      <c r="B14" s="23">
        <v>107136</v>
      </c>
      <c r="C14" s="24" t="s">
        <v>482</v>
      </c>
      <c r="D14" s="65"/>
      <c r="E14" s="23" t="str">
        <f>IF(D14="","Unknown",IF(D14&lt;=FM14+90,"Red",IF(AND(D14&gt;FM14+90,D14&lt;=FM14+180),"Yellow",IF(AND(D14&gt;FM14+180,D14&lt;=FM14+690),"Green","Covered"))))</f>
        <v>Unknown</v>
      </c>
      <c r="F14" s="25" t="s">
        <v>466</v>
      </c>
      <c r="G14" s="26"/>
      <c r="H14" s="26" t="str">
        <f>IF(CR14="","Pre-Execution","Execution")</f>
        <v>Execution</v>
      </c>
      <c r="I14" s="13">
        <v>45814</v>
      </c>
      <c r="J14" s="28"/>
      <c r="K14" s="28"/>
      <c r="L14" s="28"/>
      <c r="M14" s="10">
        <v>45853</v>
      </c>
      <c r="N14" s="10">
        <f>WORKDAY(I14,N13)</f>
        <v>45853</v>
      </c>
      <c r="O14" s="56">
        <f>M14</f>
        <v>45853</v>
      </c>
      <c r="P14" s="10">
        <v>45853</v>
      </c>
      <c r="Q14" s="10">
        <f>IF(O14="",WORKDAY(N14,Q13),WORKDAY(O14,Q13))</f>
        <v>45853</v>
      </c>
      <c r="R14" s="56">
        <f>P14</f>
        <v>45853</v>
      </c>
      <c r="S14" s="28"/>
      <c r="T14" s="28"/>
      <c r="U14" s="28"/>
      <c r="V14" s="10">
        <v>45895</v>
      </c>
      <c r="W14" s="10">
        <f>IF(R14="",WORKDAY(Q14,W13),WORKDAY(R14,W13))</f>
        <v>45895</v>
      </c>
      <c r="X14" s="56"/>
      <c r="Y14" s="10">
        <v>45951</v>
      </c>
      <c r="Z14" s="10">
        <f>IF(R14="",WORKDAY(Q14,Z13),WORKDAY(R14,Z13))</f>
        <v>45951</v>
      </c>
      <c r="AA14" s="56"/>
      <c r="AB14" s="10">
        <v>45814</v>
      </c>
      <c r="AC14" s="10">
        <f>WORKDAY(I14,AC13)</f>
        <v>45814</v>
      </c>
      <c r="AD14" s="56"/>
      <c r="AE14" s="10">
        <v>45919</v>
      </c>
      <c r="AF14" s="10">
        <f>IF(AD14="",WORKDAY(AC14,AF13),WORKDAY(AD14,AF13))</f>
        <v>45919</v>
      </c>
      <c r="AG14" s="56"/>
      <c r="AH14" s="10">
        <v>45958</v>
      </c>
      <c r="AI14" s="10">
        <f>WORKDAY(IF(AA14="",IF(Z14&gt;AF14,Z14,AF14),IF(AA14&gt;AG14,AA14,AG14)),AI13)</f>
        <v>45958</v>
      </c>
      <c r="AJ14" s="56">
        <f>AH14</f>
        <v>45958</v>
      </c>
      <c r="AK14" s="10">
        <v>45986</v>
      </c>
      <c r="AL14" s="10">
        <f>IF(AJ14="",WORKDAY(AI14,AL13),WORKDAY(AJ14,AL13))</f>
        <v>45986</v>
      </c>
      <c r="AM14" s="56"/>
      <c r="AN14" s="10">
        <v>45986</v>
      </c>
      <c r="AO14" s="10">
        <f>IF(AM14="",WORKDAY(AL14,AO13),WORKDAY(AM14,AO13))</f>
        <v>45986</v>
      </c>
      <c r="AP14" s="56"/>
      <c r="AQ14" s="10">
        <v>46014</v>
      </c>
      <c r="AR14" s="10">
        <f>IF(AP14="",WORKDAY(AO14,AR13),WORKDAY(AP14,AR13))</f>
        <v>46014</v>
      </c>
      <c r="AS14" s="10">
        <f>AQ14</f>
        <v>46014</v>
      </c>
      <c r="AT14" s="10">
        <v>45993</v>
      </c>
      <c r="AU14" s="10">
        <v>45993</v>
      </c>
      <c r="AV14" s="56"/>
      <c r="AW14" s="10">
        <v>46028</v>
      </c>
      <c r="AX14" s="10">
        <f>IF(AS14="",IF(AR14&gt;AU14,WORKDAY(AR14,AX13),WORKDAY(AU14,AX13)),IF(AS14&gt;AV14,WORKDAY(AS14,AX13),WORKDAY(AV14,AX13)))</f>
        <v>46028</v>
      </c>
      <c r="AY14" s="56"/>
      <c r="AZ14" s="10">
        <v>46028</v>
      </c>
      <c r="BA14" s="10">
        <f>IF(AP14="",WORKDAY(AO14,BA13),WORKDAY(AP14,BA13))</f>
        <v>46028</v>
      </c>
      <c r="BB14" s="56"/>
      <c r="BC14" s="10">
        <v>46035</v>
      </c>
      <c r="BD14" s="10">
        <f>IF(AY14="",IF(AX14&gt;BA14,WORKDAY(AX14,BD13),WORKDAY(BA14,BD13)),IF(AY14&gt;BB14,WORKDAY(AY14,BD13),WORKDAY(BB14,BD13)))</f>
        <v>46035</v>
      </c>
      <c r="BE14" s="10">
        <f>IF(AZ14="",IF(AY14&gt;BB14,WORKDAY(AY14,BE13),WORKDAY(BB14,BE13)),IF(AZ14&gt;BC14,WORKDAY(AZ14,BE13),WORKDAY(BC14,BE13)))</f>
        <v>46035</v>
      </c>
      <c r="BF14" s="10">
        <v>46042</v>
      </c>
      <c r="BG14" s="10">
        <v>46042</v>
      </c>
      <c r="BH14" s="56">
        <f>BF14</f>
        <v>46042</v>
      </c>
      <c r="BI14" s="10">
        <v>46049</v>
      </c>
      <c r="BJ14" s="10">
        <f>IF(BH14="",WORKDAY(BG14,BJ13),WORKDAY(BH14,BJ13))</f>
        <v>46049</v>
      </c>
      <c r="BK14" s="56">
        <f>BI14</f>
        <v>46049</v>
      </c>
      <c r="BL14" s="28"/>
      <c r="BM14" s="28"/>
      <c r="BN14" s="28"/>
      <c r="BO14" s="28"/>
      <c r="BP14" s="28"/>
      <c r="BQ14" s="28"/>
      <c r="BR14" s="28"/>
      <c r="BS14" s="28"/>
      <c r="BT14" s="28"/>
      <c r="BU14" s="28"/>
      <c r="BV14" s="28"/>
      <c r="BW14" s="28"/>
      <c r="BX14" s="46"/>
      <c r="BY14" s="28"/>
      <c r="BZ14" s="28"/>
      <c r="CA14" s="28"/>
      <c r="CB14" s="28"/>
      <c r="CC14" s="28"/>
      <c r="CD14" s="28"/>
      <c r="CE14" s="28"/>
      <c r="CF14" s="28"/>
      <c r="CG14" s="28"/>
      <c r="CH14" s="28"/>
      <c r="CI14" s="28"/>
      <c r="CJ14" s="28"/>
      <c r="CK14" s="28"/>
      <c r="CL14" s="28"/>
      <c r="CM14" s="10">
        <v>46052</v>
      </c>
      <c r="CN14" s="10">
        <f>IF(BK14="",WORKDAY(BJ14,CN13),WORKDAY(BK14,CN13))</f>
        <v>46052</v>
      </c>
      <c r="CO14" s="56">
        <f>CM14</f>
        <v>46052</v>
      </c>
      <c r="CP14" s="10">
        <v>46059</v>
      </c>
      <c r="CQ14" s="10">
        <f>IF(CO14="",WORKDAY(CN14,CQ13),WORKDAY(CO14,CQ13))</f>
        <v>46059</v>
      </c>
      <c r="CR14" s="56">
        <f>CP14</f>
        <v>46059</v>
      </c>
      <c r="CS14" s="77" t="s">
        <v>479</v>
      </c>
      <c r="CT14" s="10">
        <v>46227</v>
      </c>
      <c r="CU14" s="10">
        <f>IF(CR14="",WORKDAY(CQ14,CU13),WORKDAY(CR14,CU13))</f>
        <v>46227</v>
      </c>
      <c r="CV14" s="56">
        <f>CT14</f>
        <v>46227</v>
      </c>
      <c r="CW14" s="10">
        <v>46042</v>
      </c>
      <c r="CX14" s="10">
        <f>IF(BB14="",WORKDAY(BA14,CX13),WORKDAY(BB14,CX13))</f>
        <v>46042</v>
      </c>
      <c r="CY14" s="56">
        <f>CW14</f>
        <v>46042</v>
      </c>
      <c r="CZ14" s="10">
        <v>46042</v>
      </c>
      <c r="DA14" s="10">
        <f>IF(CY14="",WORKDAY(CX14,DA13),WORKDAY(CY14,DA13))</f>
        <v>46042</v>
      </c>
      <c r="DB14" s="56">
        <f>CZ14</f>
        <v>46042</v>
      </c>
      <c r="DC14" s="45"/>
      <c r="DD14" s="45"/>
      <c r="DE14" s="45"/>
      <c r="DF14" s="10">
        <v>46255</v>
      </c>
      <c r="DG14" s="10">
        <f>IF($CV14="",IF($CU14&gt;$DA14,WORKDAY($CU14,DG13),WORKDAY($DA14,DG13)),IF($CV14&gt;$DB14,WORKDAY($CV14,DG13),WORKDAY($DB14,DG13)))</f>
        <v>46255</v>
      </c>
      <c r="DH14" s="56"/>
      <c r="DI14" s="46"/>
      <c r="DJ14" s="10">
        <v>46283</v>
      </c>
      <c r="DK14" s="10">
        <f>IF(DH14="",WORKDAY(DG14,DK13*$DI13),WORKDAY(DH14,DK13*$DI13))</f>
        <v>46283</v>
      </c>
      <c r="DL14" s="56"/>
      <c r="DM14" s="46"/>
      <c r="DN14" s="46"/>
      <c r="DO14" s="46"/>
      <c r="DP14" s="46"/>
      <c r="DQ14" s="46"/>
      <c r="DR14" s="46"/>
      <c r="DS14" s="46"/>
      <c r="DT14" s="46"/>
      <c r="DU14" s="46"/>
      <c r="DV14" s="46"/>
      <c r="DW14" s="46"/>
      <c r="DX14" s="46"/>
      <c r="DY14" s="46"/>
      <c r="DZ14" s="46"/>
      <c r="EA14" s="46"/>
      <c r="EB14" s="46"/>
      <c r="EC14" s="46"/>
      <c r="ED14" s="46"/>
      <c r="EE14" s="10">
        <v>46283</v>
      </c>
      <c r="EF14" s="10">
        <f>IF(DL14="",WORKDAY(DK14,EF13),WORKDAY(DL14,EF13))</f>
        <v>46283</v>
      </c>
      <c r="EG14" s="56"/>
      <c r="EH14" s="10">
        <v>46084</v>
      </c>
      <c r="EI14" s="10">
        <f>IF(BH14="",WORKDAY(BG14,EI13),WORKDAY(BH14,EI13))</f>
        <v>46084</v>
      </c>
      <c r="EJ14" s="56"/>
      <c r="EK14" s="27"/>
      <c r="EL14" s="27"/>
      <c r="EM14" s="27"/>
      <c r="EN14" s="27"/>
      <c r="EO14" s="28"/>
      <c r="EP14" s="28"/>
      <c r="EQ14" s="28"/>
      <c r="ER14" s="28"/>
      <c r="ES14" s="28"/>
      <c r="ET14" s="28"/>
      <c r="EU14" s="28"/>
      <c r="EV14" s="28"/>
      <c r="EW14" s="28"/>
      <c r="EX14" s="28"/>
      <c r="EY14" s="28"/>
      <c r="EZ14" s="10">
        <v>46290</v>
      </c>
      <c r="FA14" s="10">
        <f>IF(EG14="",WORKDAY(EF14,FA13),WORKDAY(EG14,FA13))</f>
        <v>46290</v>
      </c>
      <c r="FB14" s="56"/>
      <c r="FC14" s="28"/>
      <c r="FD14" s="28"/>
      <c r="FE14" s="28"/>
      <c r="FF14" s="28"/>
      <c r="FG14" s="28"/>
      <c r="FH14" s="28"/>
      <c r="FI14" s="10">
        <v>46311</v>
      </c>
      <c r="FJ14" s="10">
        <f>IF(FB14="",WORKDAY(FA14,FJ13),WORKDAY(FB14,FJ13))</f>
        <v>46311</v>
      </c>
      <c r="FK14" s="56"/>
      <c r="FL14" s="10">
        <v>46311</v>
      </c>
      <c r="FM14" s="10">
        <f>IF(FK14="",WORKDAY(FJ14,FM13),WORKDAY(FK14,FM13))</f>
        <v>46311</v>
      </c>
      <c r="FN14" s="56"/>
      <c r="FO14" s="10">
        <v>46367</v>
      </c>
      <c r="FP14" s="10">
        <f>WORKDAY(FM14,FP13)</f>
        <v>46367</v>
      </c>
      <c r="FQ14" s="10"/>
      <c r="FR14" s="77" t="str">
        <f>IF(NETWORKDAYS(FJ14,FO14)&gt;=30,"On-Track",IF(AND(NETWORKDAYS(FJ14,FO14)&lt;30,FJ14&lt;=FO14),"At Risk","Missed TCD"))</f>
        <v>On-Track</v>
      </c>
      <c r="FS14" s="110" t="s">
        <v>480</v>
      </c>
      <c r="FT14" s="57">
        <f>NETWORKDAYS(CP14,FI14)</f>
        <v>181</v>
      </c>
      <c r="FU14" s="57">
        <f>NETWORKDAYS(CQ14,FJ14)</f>
        <v>181</v>
      </c>
      <c r="FV14" s="57">
        <f>IF(BH14="",NETWORKDAYS(BG14,FJ14),IF(FK14="",NETWORKDAYS(BH14,FJ14),NETWORKDAYS(BH14,FK14)))</f>
        <v>194</v>
      </c>
      <c r="FW14" s="58" t="s">
        <v>467</v>
      </c>
    </row>
    <row r="15" spans="1:311" hidden="1" outlineLevel="1" x14ac:dyDescent="0.35">
      <c r="A15" s="23"/>
      <c r="B15" s="23">
        <v>107137</v>
      </c>
      <c r="C15" s="24" t="s">
        <v>483</v>
      </c>
      <c r="D15" s="95"/>
      <c r="E15" s="24"/>
      <c r="F15" s="25" t="s">
        <v>463</v>
      </c>
      <c r="G15" s="26"/>
      <c r="H15" s="26"/>
      <c r="I15" s="27"/>
      <c r="J15" s="27"/>
      <c r="K15" s="27"/>
      <c r="L15" s="27"/>
      <c r="M15" s="4">
        <v>27</v>
      </c>
      <c r="N15" s="4">
        <v>27</v>
      </c>
      <c r="O15" s="27"/>
      <c r="P15" s="4">
        <v>0</v>
      </c>
      <c r="Q15" s="4">
        <v>0</v>
      </c>
      <c r="R15" s="27"/>
      <c r="S15" s="27"/>
      <c r="T15" s="27"/>
      <c r="U15" s="27"/>
      <c r="V15" s="4">
        <v>30</v>
      </c>
      <c r="W15" s="4">
        <v>30</v>
      </c>
      <c r="X15" s="27"/>
      <c r="Y15" s="4">
        <v>70</v>
      </c>
      <c r="Z15" s="4">
        <v>70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4">
        <v>3</v>
      </c>
      <c r="CN15" s="4">
        <v>3</v>
      </c>
      <c r="CO15" s="27"/>
      <c r="CP15" s="4">
        <v>5</v>
      </c>
      <c r="CQ15" s="4">
        <v>5</v>
      </c>
      <c r="CR15" s="27"/>
      <c r="CS15" s="27"/>
      <c r="CT15" s="5">
        <v>120</v>
      </c>
      <c r="CU15" s="5">
        <v>120</v>
      </c>
      <c r="CV15" s="27"/>
      <c r="CW15" s="5">
        <v>10</v>
      </c>
      <c r="CX15" s="5">
        <v>10</v>
      </c>
      <c r="CY15" s="27"/>
      <c r="CZ15" s="5">
        <v>0</v>
      </c>
      <c r="DA15" s="5">
        <v>0</v>
      </c>
      <c r="DB15" s="27"/>
      <c r="DC15" s="31"/>
      <c r="DD15" s="31"/>
      <c r="DE15" s="31"/>
      <c r="DF15" s="4">
        <v>20</v>
      </c>
      <c r="DG15" s="4">
        <v>20</v>
      </c>
      <c r="DH15" s="27"/>
      <c r="DI15" s="89">
        <v>1</v>
      </c>
      <c r="DJ15" s="4">
        <v>20</v>
      </c>
      <c r="DK15" s="4">
        <v>20</v>
      </c>
      <c r="DL15" s="27"/>
      <c r="DM15" s="27"/>
      <c r="DN15" s="27"/>
      <c r="DO15" s="27"/>
      <c r="DP15" s="27"/>
      <c r="DQ15" s="27"/>
      <c r="DR15" s="27"/>
      <c r="DS15" s="27"/>
      <c r="DT15" s="27"/>
      <c r="DU15" s="27"/>
      <c r="DV15" s="27"/>
      <c r="DW15" s="27"/>
      <c r="DX15" s="27"/>
      <c r="DY15" s="27"/>
      <c r="DZ15" s="27"/>
      <c r="EA15" s="27"/>
      <c r="EB15" s="27"/>
      <c r="EC15" s="27"/>
      <c r="ED15" s="27"/>
      <c r="EE15" s="4">
        <v>0</v>
      </c>
      <c r="EF15" s="4">
        <v>0</v>
      </c>
      <c r="EG15" s="27"/>
      <c r="EH15" s="4">
        <v>30</v>
      </c>
      <c r="EI15" s="4">
        <v>30</v>
      </c>
      <c r="EJ15" s="27"/>
      <c r="EK15" s="27"/>
      <c r="EL15" s="27"/>
      <c r="EM15" s="27"/>
      <c r="EN15" s="27"/>
      <c r="EO15" s="27"/>
      <c r="EP15" s="27"/>
      <c r="EQ15" s="27"/>
      <c r="ER15" s="27"/>
      <c r="ES15" s="27"/>
      <c r="ET15" s="27"/>
      <c r="EU15" s="27"/>
      <c r="EV15" s="27"/>
      <c r="EW15" s="27"/>
      <c r="EX15" s="27"/>
      <c r="EY15" s="27"/>
      <c r="EZ15" s="4">
        <v>5</v>
      </c>
      <c r="FA15" s="4">
        <v>5</v>
      </c>
      <c r="FB15" s="27"/>
      <c r="FC15" s="27"/>
      <c r="FD15" s="27"/>
      <c r="FE15" s="27"/>
      <c r="FF15" s="27"/>
      <c r="FG15" s="27"/>
      <c r="FH15" s="27"/>
      <c r="FI15" s="4">
        <v>15</v>
      </c>
      <c r="FJ15" s="4">
        <v>15</v>
      </c>
      <c r="FK15" s="27"/>
      <c r="FL15" s="4">
        <v>0</v>
      </c>
      <c r="FM15" s="4">
        <v>0</v>
      </c>
      <c r="FN15" s="27"/>
      <c r="FO15" s="4">
        <v>40</v>
      </c>
      <c r="FP15" s="4">
        <v>40</v>
      </c>
      <c r="FQ15" s="27"/>
      <c r="FR15" s="27"/>
      <c r="FS15" s="109"/>
      <c r="FT15" s="54">
        <f>NETWORKDAYS($I16,FO16)</f>
        <v>396</v>
      </c>
      <c r="FU15" s="54">
        <f>NETWORKDAYS($I16,FP16)</f>
        <v>396</v>
      </c>
      <c r="FV15" s="54">
        <f>IF(FQ16="",NETWORKDAYS($I16,FP16),NETWORKDAYS($I16,FQ16))</f>
        <v>396</v>
      </c>
      <c r="FW15" s="55" t="s">
        <v>464</v>
      </c>
    </row>
    <row r="16" spans="1:311" collapsed="1" x14ac:dyDescent="0.35">
      <c r="A16" s="23" t="s">
        <v>4</v>
      </c>
      <c r="B16" s="23">
        <v>107137</v>
      </c>
      <c r="C16" s="24" t="s">
        <v>483</v>
      </c>
      <c r="D16" s="65"/>
      <c r="E16" s="23" t="str">
        <f>IF(D16="","Unknown",IF(D16&lt;=FM16+90,"Red",IF(AND(D16&gt;FM16+90,D16&lt;=FM16+180),"Yellow",IF(AND(D16&gt;FM16+180,D16&lt;=FM16+690),"Green","Covered"))))</f>
        <v>Unknown</v>
      </c>
      <c r="F16" s="25" t="s">
        <v>466</v>
      </c>
      <c r="G16" s="26"/>
      <c r="H16" s="26" t="str">
        <f>IF(CR16="","Pre-Execution","Execution")</f>
        <v>Execution</v>
      </c>
      <c r="I16" s="13">
        <v>45814</v>
      </c>
      <c r="J16" s="28"/>
      <c r="K16" s="28"/>
      <c r="L16" s="28"/>
      <c r="M16" s="10">
        <v>45853</v>
      </c>
      <c r="N16" s="10">
        <f>WORKDAY(I16,N15)</f>
        <v>45853</v>
      </c>
      <c r="O16" s="56">
        <f>M16</f>
        <v>45853</v>
      </c>
      <c r="P16" s="10">
        <v>45853</v>
      </c>
      <c r="Q16" s="10">
        <f>IF(O16="",WORKDAY(N16,Q15),WORKDAY(O16,Q15))</f>
        <v>45853</v>
      </c>
      <c r="R16" s="56">
        <f>P16</f>
        <v>45853</v>
      </c>
      <c r="S16" s="28"/>
      <c r="T16" s="28"/>
      <c r="U16" s="28"/>
      <c r="V16" s="10">
        <v>45895</v>
      </c>
      <c r="W16" s="10">
        <f>IF(R16="",WORKDAY(Q16,W15),WORKDAY(R16,W15))</f>
        <v>45895</v>
      </c>
      <c r="X16" s="56"/>
      <c r="Y16" s="10">
        <v>45951</v>
      </c>
      <c r="Z16" s="10">
        <f>IF(R16="",WORKDAY(Q16,Z15),WORKDAY(R16,Z15))</f>
        <v>45951</v>
      </c>
      <c r="AA16" s="56"/>
      <c r="AB16" s="10">
        <v>45814</v>
      </c>
      <c r="AC16" s="10">
        <f>WORKDAY(I16,AC15)</f>
        <v>45814</v>
      </c>
      <c r="AD16" s="56"/>
      <c r="AE16" s="10">
        <v>45919</v>
      </c>
      <c r="AF16" s="10">
        <f>IF(AD16="",WORKDAY(AC16,AF15),WORKDAY(AD16,AF15))</f>
        <v>45919</v>
      </c>
      <c r="AG16" s="56"/>
      <c r="AH16" s="10">
        <v>45958</v>
      </c>
      <c r="AI16" s="10">
        <f>WORKDAY(IF(AA16="",IF(Z16&gt;AF16,Z16,AF16),IF(AA16&gt;AG16,AA16,AG16)),AI15)</f>
        <v>45958</v>
      </c>
      <c r="AJ16" s="56">
        <f>AH16</f>
        <v>45958</v>
      </c>
      <c r="AK16" s="10">
        <v>45986</v>
      </c>
      <c r="AL16" s="10">
        <f>IF(AJ16="",WORKDAY(AI16,AL15),WORKDAY(AJ16,AL15))</f>
        <v>45986</v>
      </c>
      <c r="AM16" s="56"/>
      <c r="AN16" s="10">
        <v>45986</v>
      </c>
      <c r="AO16" s="10">
        <f>IF(AM16="",WORKDAY(AL16,AO15),WORKDAY(AM16,AO15))</f>
        <v>45986</v>
      </c>
      <c r="AP16" s="56"/>
      <c r="AQ16" s="10">
        <v>46014</v>
      </c>
      <c r="AR16" s="10">
        <f>IF(AP16="",WORKDAY(AO16,AR15),WORKDAY(AP16,AR15))</f>
        <v>46014</v>
      </c>
      <c r="AS16" s="10">
        <f>AQ16</f>
        <v>46014</v>
      </c>
      <c r="AT16" s="10">
        <v>45993</v>
      </c>
      <c r="AU16" s="10">
        <v>45993</v>
      </c>
      <c r="AV16" s="56"/>
      <c r="AW16" s="10">
        <v>46028</v>
      </c>
      <c r="AX16" s="10">
        <f>IF(AS16="",IF(AR16&gt;AU16,WORKDAY(AR16,AX15),WORKDAY(AU16,AX15)),IF(AS16&gt;AV16,WORKDAY(AS16,AX15),WORKDAY(AV16,AX15)))</f>
        <v>46028</v>
      </c>
      <c r="AY16" s="56"/>
      <c r="AZ16" s="10">
        <v>46028</v>
      </c>
      <c r="BA16" s="10">
        <f>IF(AP16="",WORKDAY(AO16,BA15),WORKDAY(AP16,BA15))</f>
        <v>46028</v>
      </c>
      <c r="BB16" s="56"/>
      <c r="BC16" s="10">
        <v>46035</v>
      </c>
      <c r="BD16" s="10">
        <f>IF(AY16="",IF(AX16&gt;BA16,WORKDAY(AX16,BD15),WORKDAY(BA16,BD15)),IF(AY16&gt;BB16,WORKDAY(AY16,BD15),WORKDAY(BB16,BD15)))</f>
        <v>46035</v>
      </c>
      <c r="BE16" s="10">
        <f>IF(AZ16="",IF(AY16&gt;BB16,WORKDAY(AY16,BE15),WORKDAY(BB16,BE15)),IF(AZ16&gt;BC16,WORKDAY(AZ16,BE15),WORKDAY(BC16,BE15)))</f>
        <v>46035</v>
      </c>
      <c r="BF16" s="10">
        <v>46042</v>
      </c>
      <c r="BG16" s="10">
        <v>46042</v>
      </c>
      <c r="BH16" s="56">
        <f>BF16</f>
        <v>46042</v>
      </c>
      <c r="BI16" s="10">
        <v>46049</v>
      </c>
      <c r="BJ16" s="10">
        <f>IF(BH16="",WORKDAY(BG16,BJ15),WORKDAY(BH16,BJ15))</f>
        <v>46049</v>
      </c>
      <c r="BK16" s="56">
        <f>BI16</f>
        <v>46049</v>
      </c>
      <c r="BL16" s="28"/>
      <c r="BM16" s="28"/>
      <c r="BN16" s="28"/>
      <c r="BO16" s="28"/>
      <c r="BP16" s="28"/>
      <c r="BQ16" s="28"/>
      <c r="BR16" s="28"/>
      <c r="BS16" s="28"/>
      <c r="BT16" s="28"/>
      <c r="BU16" s="28"/>
      <c r="BV16" s="28"/>
      <c r="BW16" s="28"/>
      <c r="BX16" s="46"/>
      <c r="BY16" s="28"/>
      <c r="BZ16" s="28"/>
      <c r="CA16" s="28"/>
      <c r="CB16" s="28"/>
      <c r="CC16" s="28"/>
      <c r="CD16" s="28"/>
      <c r="CE16" s="28"/>
      <c r="CF16" s="28"/>
      <c r="CG16" s="28"/>
      <c r="CH16" s="28"/>
      <c r="CI16" s="28"/>
      <c r="CJ16" s="28"/>
      <c r="CK16" s="28"/>
      <c r="CL16" s="28"/>
      <c r="CM16" s="10">
        <v>46052</v>
      </c>
      <c r="CN16" s="10">
        <f>IF(BK16="",WORKDAY(BJ16,CN15),WORKDAY(BK16,CN15))</f>
        <v>46052</v>
      </c>
      <c r="CO16" s="56">
        <f>CM16</f>
        <v>46052</v>
      </c>
      <c r="CP16" s="10">
        <v>46059</v>
      </c>
      <c r="CQ16" s="10">
        <f>IF(CO16="",WORKDAY(CN16,CQ15),WORKDAY(CO16,CQ15))</f>
        <v>46059</v>
      </c>
      <c r="CR16" s="56">
        <f>CP16</f>
        <v>46059</v>
      </c>
      <c r="CS16" s="77" t="s">
        <v>479</v>
      </c>
      <c r="CT16" s="10">
        <v>46227</v>
      </c>
      <c r="CU16" s="10">
        <f>IF(CR16="",WORKDAY(CQ16,CU15),WORKDAY(CR16,CU15))</f>
        <v>46227</v>
      </c>
      <c r="CV16" s="56">
        <f>CT16</f>
        <v>46227</v>
      </c>
      <c r="CW16" s="10">
        <v>46042</v>
      </c>
      <c r="CX16" s="10">
        <f>IF(BB16="",WORKDAY(BA16,CX15),WORKDAY(BB16,CX15))</f>
        <v>46042</v>
      </c>
      <c r="CY16" s="56">
        <f>CW16</f>
        <v>46042</v>
      </c>
      <c r="CZ16" s="10">
        <v>46042</v>
      </c>
      <c r="DA16" s="10">
        <f>IF(CY16="",WORKDAY(CX16,DA15),WORKDAY(CY16,DA15))</f>
        <v>46042</v>
      </c>
      <c r="DB16" s="56">
        <f>CZ16</f>
        <v>46042</v>
      </c>
      <c r="DC16" s="45"/>
      <c r="DD16" s="45"/>
      <c r="DE16" s="45"/>
      <c r="DF16" s="10">
        <v>46255</v>
      </c>
      <c r="DG16" s="10">
        <f>IF($CV16="",IF($CU16&gt;$DA16,WORKDAY($CU16,DG15),WORKDAY($DA16,DG15)),IF($CV16&gt;$DB16,WORKDAY($CV16,DG15),WORKDAY($DB16,DG15)))</f>
        <v>46255</v>
      </c>
      <c r="DH16" s="56"/>
      <c r="DI16" s="46"/>
      <c r="DJ16" s="10">
        <v>46283</v>
      </c>
      <c r="DK16" s="10">
        <f>IF(DH16="",WORKDAY(DG16,DK15*$DI15),WORKDAY(DH16,DK15*$DI15))</f>
        <v>46283</v>
      </c>
      <c r="DL16" s="56"/>
      <c r="DM16" s="46"/>
      <c r="DN16" s="46"/>
      <c r="DO16" s="46"/>
      <c r="DP16" s="46"/>
      <c r="DQ16" s="46"/>
      <c r="DR16" s="46"/>
      <c r="DS16" s="46"/>
      <c r="DT16" s="46"/>
      <c r="DU16" s="46"/>
      <c r="DV16" s="46"/>
      <c r="DW16" s="46"/>
      <c r="DX16" s="46"/>
      <c r="DY16" s="46"/>
      <c r="DZ16" s="46"/>
      <c r="EA16" s="46"/>
      <c r="EB16" s="46"/>
      <c r="EC16" s="46"/>
      <c r="ED16" s="46"/>
      <c r="EE16" s="10">
        <v>46283</v>
      </c>
      <c r="EF16" s="10">
        <f>IF(DL16="",WORKDAY(DK16,EF15),WORKDAY(DL16,EF15))</f>
        <v>46283</v>
      </c>
      <c r="EG16" s="56"/>
      <c r="EH16" s="10">
        <v>46084</v>
      </c>
      <c r="EI16" s="10">
        <f>IF(BH16="",WORKDAY(BG16,EI15),WORKDAY(BH16,EI15))</f>
        <v>46084</v>
      </c>
      <c r="EJ16" s="56"/>
      <c r="EK16" s="27"/>
      <c r="EL16" s="27"/>
      <c r="EM16" s="27"/>
      <c r="EN16" s="27"/>
      <c r="EO16" s="28"/>
      <c r="EP16" s="28"/>
      <c r="EQ16" s="28"/>
      <c r="ER16" s="28"/>
      <c r="ES16" s="28"/>
      <c r="ET16" s="28"/>
      <c r="EU16" s="28"/>
      <c r="EV16" s="28"/>
      <c r="EW16" s="28"/>
      <c r="EX16" s="28"/>
      <c r="EY16" s="28"/>
      <c r="EZ16" s="10">
        <v>46290</v>
      </c>
      <c r="FA16" s="10">
        <f>IF(EG16="",WORKDAY(EF16,FA15),WORKDAY(EG16,FA15))</f>
        <v>46290</v>
      </c>
      <c r="FB16" s="56"/>
      <c r="FC16" s="28"/>
      <c r="FD16" s="28"/>
      <c r="FE16" s="28"/>
      <c r="FF16" s="28"/>
      <c r="FG16" s="28"/>
      <c r="FH16" s="28"/>
      <c r="FI16" s="10">
        <v>46311</v>
      </c>
      <c r="FJ16" s="10">
        <f>IF(FB16="",WORKDAY(FA16,FJ15),WORKDAY(FB16,FJ15))</f>
        <v>46311</v>
      </c>
      <c r="FK16" s="56"/>
      <c r="FL16" s="10">
        <v>46311</v>
      </c>
      <c r="FM16" s="10">
        <f>IF(FK16="",WORKDAY(FJ16,FM15),WORKDAY(FK16,FM15))</f>
        <v>46311</v>
      </c>
      <c r="FN16" s="56"/>
      <c r="FO16" s="10">
        <v>46367</v>
      </c>
      <c r="FP16" s="10">
        <f>WORKDAY(FM16,FP15)</f>
        <v>46367</v>
      </c>
      <c r="FQ16" s="10"/>
      <c r="FR16" s="77" t="str">
        <f>IF(NETWORKDAYS(FJ16,FO16)&gt;=30,"On-Track",IF(AND(NETWORKDAYS(FJ16,FO16)&lt;30,FJ16&lt;=FO16),"At Risk","Missed TCD"))</f>
        <v>On-Track</v>
      </c>
      <c r="FS16" s="110" t="s">
        <v>480</v>
      </c>
      <c r="FT16" s="57">
        <f>NETWORKDAYS(CP16,FI16)</f>
        <v>181</v>
      </c>
      <c r="FU16" s="57">
        <f>NETWORKDAYS(CQ16,FJ16)</f>
        <v>181</v>
      </c>
      <c r="FV16" s="57">
        <f>IF(BH16="",NETWORKDAYS(BG16,FJ16),IF(FK16="",NETWORKDAYS(BH16,FJ16),NETWORKDAYS(BH16,FK16)))</f>
        <v>194</v>
      </c>
      <c r="FW16" s="58" t="s">
        <v>467</v>
      </c>
    </row>
    <row r="17" spans="1:179" hidden="1" outlineLevel="1" x14ac:dyDescent="0.35">
      <c r="A17" s="23"/>
      <c r="B17" s="23">
        <v>107138</v>
      </c>
      <c r="C17" s="24" t="s">
        <v>484</v>
      </c>
      <c r="D17" s="95"/>
      <c r="E17" s="24"/>
      <c r="F17" s="25" t="s">
        <v>463</v>
      </c>
      <c r="G17" s="26"/>
      <c r="H17" s="26"/>
      <c r="I17" s="27"/>
      <c r="J17" s="27"/>
      <c r="K17" s="27"/>
      <c r="L17" s="27"/>
      <c r="M17" s="4">
        <v>27</v>
      </c>
      <c r="N17" s="4">
        <v>27</v>
      </c>
      <c r="O17" s="27"/>
      <c r="P17" s="4">
        <v>0</v>
      </c>
      <c r="Q17" s="4">
        <v>0</v>
      </c>
      <c r="R17" s="27"/>
      <c r="S17" s="27"/>
      <c r="T17" s="27"/>
      <c r="U17" s="27"/>
      <c r="V17" s="4">
        <v>30</v>
      </c>
      <c r="W17" s="4">
        <v>30</v>
      </c>
      <c r="X17" s="27"/>
      <c r="Y17" s="4">
        <v>70</v>
      </c>
      <c r="Z17" s="4">
        <v>70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4">
        <v>3</v>
      </c>
      <c r="CN17" s="4">
        <v>3</v>
      </c>
      <c r="CO17" s="27"/>
      <c r="CP17" s="4">
        <v>5</v>
      </c>
      <c r="CQ17" s="4">
        <v>5</v>
      </c>
      <c r="CR17" s="27"/>
      <c r="CS17" s="27"/>
      <c r="CT17" s="5">
        <v>120</v>
      </c>
      <c r="CU17" s="5">
        <v>120</v>
      </c>
      <c r="CV17" s="27"/>
      <c r="CW17" s="5">
        <v>10</v>
      </c>
      <c r="CX17" s="5">
        <v>10</v>
      </c>
      <c r="CY17" s="27"/>
      <c r="CZ17" s="5">
        <v>0</v>
      </c>
      <c r="DA17" s="5">
        <v>0</v>
      </c>
      <c r="DB17" s="27"/>
      <c r="DC17" s="31"/>
      <c r="DD17" s="31"/>
      <c r="DE17" s="31"/>
      <c r="DF17" s="4">
        <v>20</v>
      </c>
      <c r="DG17" s="4">
        <v>20</v>
      </c>
      <c r="DH17" s="27"/>
      <c r="DI17" s="89">
        <v>1</v>
      </c>
      <c r="DJ17" s="4">
        <v>20</v>
      </c>
      <c r="DK17" s="4">
        <v>20</v>
      </c>
      <c r="DL17" s="27"/>
      <c r="DM17" s="27"/>
      <c r="DN17" s="27"/>
      <c r="DO17" s="27"/>
      <c r="DP17" s="27"/>
      <c r="DQ17" s="27"/>
      <c r="DR17" s="27"/>
      <c r="DS17" s="27"/>
      <c r="DT17" s="27"/>
      <c r="DU17" s="27"/>
      <c r="DV17" s="27"/>
      <c r="DW17" s="27"/>
      <c r="DX17" s="27"/>
      <c r="DY17" s="27"/>
      <c r="DZ17" s="27"/>
      <c r="EA17" s="27"/>
      <c r="EB17" s="27"/>
      <c r="EC17" s="27"/>
      <c r="ED17" s="27"/>
      <c r="EE17" s="4">
        <v>0</v>
      </c>
      <c r="EF17" s="4">
        <v>0</v>
      </c>
      <c r="EG17" s="27"/>
      <c r="EH17" s="4">
        <v>30</v>
      </c>
      <c r="EI17" s="4">
        <v>30</v>
      </c>
      <c r="EJ17" s="27"/>
      <c r="EK17" s="27"/>
      <c r="EL17" s="27"/>
      <c r="EM17" s="27"/>
      <c r="EN17" s="27"/>
      <c r="EO17" s="27"/>
      <c r="EP17" s="27"/>
      <c r="EQ17" s="27"/>
      <c r="ER17" s="27"/>
      <c r="ES17" s="27"/>
      <c r="ET17" s="27"/>
      <c r="EU17" s="27"/>
      <c r="EV17" s="27"/>
      <c r="EW17" s="27"/>
      <c r="EX17" s="27"/>
      <c r="EY17" s="27"/>
      <c r="EZ17" s="4">
        <v>5</v>
      </c>
      <c r="FA17" s="4">
        <v>5</v>
      </c>
      <c r="FB17" s="27"/>
      <c r="FC17" s="27"/>
      <c r="FD17" s="27"/>
      <c r="FE17" s="27"/>
      <c r="FF17" s="27"/>
      <c r="FG17" s="27"/>
      <c r="FH17" s="27"/>
      <c r="FI17" s="4">
        <v>15</v>
      </c>
      <c r="FJ17" s="4">
        <v>15</v>
      </c>
      <c r="FK17" s="27"/>
      <c r="FL17" s="4">
        <v>0</v>
      </c>
      <c r="FM17" s="4">
        <v>0</v>
      </c>
      <c r="FN17" s="27"/>
      <c r="FO17" s="4">
        <v>40</v>
      </c>
      <c r="FP17" s="4">
        <v>40</v>
      </c>
      <c r="FQ17" s="27"/>
      <c r="FR17" s="27"/>
      <c r="FS17" s="109"/>
      <c r="FT17" s="54">
        <f>NETWORKDAYS($I18,FO18)</f>
        <v>396</v>
      </c>
      <c r="FU17" s="54">
        <f>NETWORKDAYS($I18,FP18)</f>
        <v>396</v>
      </c>
      <c r="FV17" s="54">
        <f>IF(FQ18="",NETWORKDAYS($I18,FP18),NETWORKDAYS($I18,FQ18))</f>
        <v>396</v>
      </c>
      <c r="FW17" s="55" t="s">
        <v>464</v>
      </c>
    </row>
    <row r="18" spans="1:179" collapsed="1" x14ac:dyDescent="0.35">
      <c r="A18" s="23" t="s">
        <v>4</v>
      </c>
      <c r="B18" s="23">
        <v>107138</v>
      </c>
      <c r="C18" s="24" t="s">
        <v>484</v>
      </c>
      <c r="D18" s="65"/>
      <c r="E18" s="23" t="str">
        <f>IF(D18="","Unknown",IF(D18&lt;=FM18+90,"Red",IF(AND(D18&gt;FM18+90,D18&lt;=FM18+180),"Yellow",IF(AND(D18&gt;FM18+180,D18&lt;=FM18+690),"Green","Covered"))))</f>
        <v>Unknown</v>
      </c>
      <c r="F18" s="25" t="s">
        <v>466</v>
      </c>
      <c r="G18" s="26"/>
      <c r="H18" s="26" t="str">
        <f>IF(CR18="","Pre-Execution","Execution")</f>
        <v>Execution</v>
      </c>
      <c r="I18" s="13">
        <v>45814</v>
      </c>
      <c r="J18" s="28"/>
      <c r="K18" s="28"/>
      <c r="L18" s="28"/>
      <c r="M18" s="10">
        <v>45853</v>
      </c>
      <c r="N18" s="10">
        <f>WORKDAY(I18,N17)</f>
        <v>45853</v>
      </c>
      <c r="O18" s="56">
        <f>M18</f>
        <v>45853</v>
      </c>
      <c r="P18" s="10">
        <v>45853</v>
      </c>
      <c r="Q18" s="10">
        <f>IF(O18="",WORKDAY(N18,Q17),WORKDAY(O18,Q17))</f>
        <v>45853</v>
      </c>
      <c r="R18" s="56">
        <f>P18</f>
        <v>45853</v>
      </c>
      <c r="S18" s="28"/>
      <c r="T18" s="28"/>
      <c r="U18" s="28"/>
      <c r="V18" s="10">
        <v>45895</v>
      </c>
      <c r="W18" s="10">
        <f>IF(R18="",WORKDAY(Q18,W17),WORKDAY(R18,W17))</f>
        <v>45895</v>
      </c>
      <c r="X18" s="56"/>
      <c r="Y18" s="10">
        <v>45951</v>
      </c>
      <c r="Z18" s="10">
        <f>IF(R18="",WORKDAY(Q18,Z17),WORKDAY(R18,Z17))</f>
        <v>45951</v>
      </c>
      <c r="AA18" s="56"/>
      <c r="AB18" s="10">
        <v>45814</v>
      </c>
      <c r="AC18" s="10">
        <f>WORKDAY(I18,AC17)</f>
        <v>45814</v>
      </c>
      <c r="AD18" s="56"/>
      <c r="AE18" s="10">
        <v>45919</v>
      </c>
      <c r="AF18" s="10">
        <f>IF(AD18="",WORKDAY(AC18,AF17),WORKDAY(AD18,AF17))</f>
        <v>45919</v>
      </c>
      <c r="AG18" s="56"/>
      <c r="AH18" s="10">
        <v>45958</v>
      </c>
      <c r="AI18" s="10">
        <f>WORKDAY(IF(AA18="",IF(Z18&gt;AF18,Z18,AF18),IF(AA18&gt;AG18,AA18,AG18)),AI17)</f>
        <v>45958</v>
      </c>
      <c r="AJ18" s="56">
        <f>AH18</f>
        <v>45958</v>
      </c>
      <c r="AK18" s="10">
        <v>45986</v>
      </c>
      <c r="AL18" s="10">
        <f>IF(AJ18="",WORKDAY(AI18,AL17),WORKDAY(AJ18,AL17))</f>
        <v>45986</v>
      </c>
      <c r="AM18" s="56"/>
      <c r="AN18" s="10">
        <v>45986</v>
      </c>
      <c r="AO18" s="10">
        <f>IF(AM18="",WORKDAY(AL18,AO17),WORKDAY(AM18,AO17))</f>
        <v>45986</v>
      </c>
      <c r="AP18" s="56"/>
      <c r="AQ18" s="10">
        <v>46014</v>
      </c>
      <c r="AR18" s="10">
        <f>IF(AP18="",WORKDAY(AO18,AR17),WORKDAY(AP18,AR17))</f>
        <v>46014</v>
      </c>
      <c r="AS18" s="10">
        <f>AQ18</f>
        <v>46014</v>
      </c>
      <c r="AT18" s="10">
        <v>45993</v>
      </c>
      <c r="AU18" s="10">
        <v>45993</v>
      </c>
      <c r="AV18" s="56"/>
      <c r="AW18" s="10">
        <v>46028</v>
      </c>
      <c r="AX18" s="10">
        <f>IF(AS18="",IF(AR18&gt;AU18,WORKDAY(AR18,AX17),WORKDAY(AU18,AX17)),IF(AS18&gt;AV18,WORKDAY(AS18,AX17),WORKDAY(AV18,AX17)))</f>
        <v>46028</v>
      </c>
      <c r="AY18" s="56"/>
      <c r="AZ18" s="10">
        <v>46028</v>
      </c>
      <c r="BA18" s="10">
        <f>IF(AP18="",WORKDAY(AO18,BA17),WORKDAY(AP18,BA17))</f>
        <v>46028</v>
      </c>
      <c r="BB18" s="56"/>
      <c r="BC18" s="10">
        <v>46035</v>
      </c>
      <c r="BD18" s="10">
        <f>IF(AY18="",IF(AX18&gt;BA18,WORKDAY(AX18,BD17),WORKDAY(BA18,BD17)),IF(AY18&gt;BB18,WORKDAY(AY18,BD17),WORKDAY(BB18,BD17)))</f>
        <v>46035</v>
      </c>
      <c r="BE18" s="10">
        <f>IF(AZ18="",IF(AY18&gt;BB18,WORKDAY(AY18,BE17),WORKDAY(BB18,BE17)),IF(AZ18&gt;BC18,WORKDAY(AZ18,BE17),WORKDAY(BC18,BE17)))</f>
        <v>46035</v>
      </c>
      <c r="BF18" s="10">
        <v>46042</v>
      </c>
      <c r="BG18" s="10">
        <v>46042</v>
      </c>
      <c r="BH18" s="56">
        <f>BF18</f>
        <v>46042</v>
      </c>
      <c r="BI18" s="10">
        <v>46049</v>
      </c>
      <c r="BJ18" s="10">
        <f>IF(BH18="",WORKDAY(BG18,BJ17),WORKDAY(BH18,BJ17))</f>
        <v>46049</v>
      </c>
      <c r="BK18" s="56">
        <f>BI18</f>
        <v>46049</v>
      </c>
      <c r="BL18" s="28"/>
      <c r="BM18" s="28"/>
      <c r="BN18" s="28"/>
      <c r="BO18" s="28"/>
      <c r="BP18" s="28"/>
      <c r="BQ18" s="28"/>
      <c r="BR18" s="28"/>
      <c r="BS18" s="28"/>
      <c r="BT18" s="28"/>
      <c r="BU18" s="28"/>
      <c r="BV18" s="28"/>
      <c r="BW18" s="28"/>
      <c r="BX18" s="46"/>
      <c r="BY18" s="28"/>
      <c r="BZ18" s="28"/>
      <c r="CA18" s="28"/>
      <c r="CB18" s="28"/>
      <c r="CC18" s="28"/>
      <c r="CD18" s="28"/>
      <c r="CE18" s="28"/>
      <c r="CF18" s="28"/>
      <c r="CG18" s="28"/>
      <c r="CH18" s="28"/>
      <c r="CI18" s="28"/>
      <c r="CJ18" s="28"/>
      <c r="CK18" s="28"/>
      <c r="CL18" s="28"/>
      <c r="CM18" s="10">
        <v>46052</v>
      </c>
      <c r="CN18" s="10">
        <f>IF(BK18="",WORKDAY(BJ18,CN17),WORKDAY(BK18,CN17))</f>
        <v>46052</v>
      </c>
      <c r="CO18" s="56">
        <f>CM18</f>
        <v>46052</v>
      </c>
      <c r="CP18" s="10">
        <v>46059</v>
      </c>
      <c r="CQ18" s="10">
        <f>IF(CO18="",WORKDAY(CN18,CQ17),WORKDAY(CO18,CQ17))</f>
        <v>46059</v>
      </c>
      <c r="CR18" s="56">
        <f>CP18</f>
        <v>46059</v>
      </c>
      <c r="CS18" s="77" t="s">
        <v>479</v>
      </c>
      <c r="CT18" s="10">
        <v>46227</v>
      </c>
      <c r="CU18" s="10">
        <f>IF(CR18="",WORKDAY(CQ18,CU17),WORKDAY(CR18,CU17))</f>
        <v>46227</v>
      </c>
      <c r="CV18" s="56">
        <f>CT18</f>
        <v>46227</v>
      </c>
      <c r="CW18" s="10">
        <v>46042</v>
      </c>
      <c r="CX18" s="10">
        <f>IF(BB18="",WORKDAY(BA18,CX17),WORKDAY(BB18,CX17))</f>
        <v>46042</v>
      </c>
      <c r="CY18" s="56">
        <f>CW18</f>
        <v>46042</v>
      </c>
      <c r="CZ18" s="10">
        <v>46042</v>
      </c>
      <c r="DA18" s="10">
        <f>IF(CY18="",WORKDAY(CX18,DA17),WORKDAY(CY18,DA17))</f>
        <v>46042</v>
      </c>
      <c r="DB18" s="56">
        <f>CZ18</f>
        <v>46042</v>
      </c>
      <c r="DC18" s="45"/>
      <c r="DD18" s="45"/>
      <c r="DE18" s="45"/>
      <c r="DF18" s="10">
        <v>46255</v>
      </c>
      <c r="DG18" s="10">
        <f>IF($CV18="",IF($CU18&gt;$DA18,WORKDAY($CU18,DG17),WORKDAY($DA18,DG17)),IF($CV18&gt;$DB18,WORKDAY($CV18,DG17),WORKDAY($DB18,DG17)))</f>
        <v>46255</v>
      </c>
      <c r="DH18" s="56"/>
      <c r="DI18" s="46"/>
      <c r="DJ18" s="10">
        <v>46283</v>
      </c>
      <c r="DK18" s="10">
        <f>IF(DH18="",WORKDAY(DG18,DK17*$DI17),WORKDAY(DH18,DK17*$DI17))</f>
        <v>46283</v>
      </c>
      <c r="DL18" s="56"/>
      <c r="DM18" s="46"/>
      <c r="DN18" s="46"/>
      <c r="DO18" s="46"/>
      <c r="DP18" s="46"/>
      <c r="DQ18" s="46"/>
      <c r="DR18" s="46"/>
      <c r="DS18" s="46"/>
      <c r="DT18" s="46"/>
      <c r="DU18" s="46"/>
      <c r="DV18" s="46"/>
      <c r="DW18" s="46"/>
      <c r="DX18" s="46"/>
      <c r="DY18" s="46"/>
      <c r="DZ18" s="46"/>
      <c r="EA18" s="46"/>
      <c r="EB18" s="46"/>
      <c r="EC18" s="46"/>
      <c r="ED18" s="46"/>
      <c r="EE18" s="10">
        <v>46283</v>
      </c>
      <c r="EF18" s="10">
        <f>IF(DL18="",WORKDAY(DK18,EF17),WORKDAY(DL18,EF17))</f>
        <v>46283</v>
      </c>
      <c r="EG18" s="56"/>
      <c r="EH18" s="10">
        <v>46084</v>
      </c>
      <c r="EI18" s="10">
        <f>IF(BH18="",WORKDAY(BG18,EI17),WORKDAY(BH18,EI17))</f>
        <v>46084</v>
      </c>
      <c r="EJ18" s="56"/>
      <c r="EK18" s="27"/>
      <c r="EL18" s="27"/>
      <c r="EM18" s="27"/>
      <c r="EN18" s="27"/>
      <c r="EO18" s="28"/>
      <c r="EP18" s="28"/>
      <c r="EQ18" s="28"/>
      <c r="ER18" s="28"/>
      <c r="ES18" s="28"/>
      <c r="ET18" s="28"/>
      <c r="EU18" s="28"/>
      <c r="EV18" s="28"/>
      <c r="EW18" s="28"/>
      <c r="EX18" s="28"/>
      <c r="EY18" s="28"/>
      <c r="EZ18" s="10">
        <v>46290</v>
      </c>
      <c r="FA18" s="10">
        <f>IF(EG18="",WORKDAY(EF18,FA17),WORKDAY(EG18,FA17))</f>
        <v>46290</v>
      </c>
      <c r="FB18" s="56"/>
      <c r="FC18" s="28"/>
      <c r="FD18" s="28"/>
      <c r="FE18" s="28"/>
      <c r="FF18" s="28"/>
      <c r="FG18" s="28"/>
      <c r="FH18" s="28"/>
      <c r="FI18" s="10">
        <v>46311</v>
      </c>
      <c r="FJ18" s="10">
        <f>IF(FB18="",WORKDAY(FA18,FJ17),WORKDAY(FB18,FJ17))</f>
        <v>46311</v>
      </c>
      <c r="FK18" s="56"/>
      <c r="FL18" s="10">
        <v>46311</v>
      </c>
      <c r="FM18" s="10">
        <f>IF(FK18="",WORKDAY(FJ18,FM17),WORKDAY(FK18,FM17))</f>
        <v>46311</v>
      </c>
      <c r="FN18" s="56"/>
      <c r="FO18" s="10">
        <v>46367</v>
      </c>
      <c r="FP18" s="10">
        <f>WORKDAY(FM18,FP17)</f>
        <v>46367</v>
      </c>
      <c r="FQ18" s="10"/>
      <c r="FR18" s="77" t="str">
        <f>IF(NETWORKDAYS(FJ18,FO18)&gt;=30,"On-Track",IF(AND(NETWORKDAYS(FJ18,FO18)&lt;30,FJ18&lt;=FO18),"At Risk","Missed TCD"))</f>
        <v>On-Track</v>
      </c>
      <c r="FS18" s="110" t="s">
        <v>480</v>
      </c>
      <c r="FT18" s="57">
        <f>NETWORKDAYS(CP18,FI18)</f>
        <v>181</v>
      </c>
      <c r="FU18" s="57">
        <f>NETWORKDAYS(CQ18,FJ18)</f>
        <v>181</v>
      </c>
      <c r="FV18" s="57">
        <f>IF(BH18="",NETWORKDAYS(BG18,FJ18),IF(FK18="",NETWORKDAYS(BH18,FJ18),NETWORKDAYS(BH18,FK18)))</f>
        <v>194</v>
      </c>
      <c r="FW18" s="58" t="s">
        <v>467</v>
      </c>
    </row>
    <row r="19" spans="1:179" hidden="1" outlineLevel="1" x14ac:dyDescent="0.35">
      <c r="A19" s="23"/>
      <c r="B19" s="23">
        <v>107139</v>
      </c>
      <c r="C19" s="24" t="s">
        <v>485</v>
      </c>
      <c r="D19" s="95"/>
      <c r="E19" s="24"/>
      <c r="F19" s="25" t="s">
        <v>463</v>
      </c>
      <c r="G19" s="26"/>
      <c r="H19" s="26"/>
      <c r="I19" s="27"/>
      <c r="J19" s="27"/>
      <c r="K19" s="27"/>
      <c r="L19" s="27"/>
      <c r="M19" s="4">
        <v>27</v>
      </c>
      <c r="N19" s="4">
        <v>27</v>
      </c>
      <c r="O19" s="27"/>
      <c r="P19" s="4">
        <v>0</v>
      </c>
      <c r="Q19" s="4">
        <v>0</v>
      </c>
      <c r="R19" s="27"/>
      <c r="S19" s="27"/>
      <c r="T19" s="27"/>
      <c r="U19" s="27"/>
      <c r="V19" s="4">
        <v>30</v>
      </c>
      <c r="W19" s="4">
        <v>30</v>
      </c>
      <c r="X19" s="27"/>
      <c r="Y19" s="4">
        <v>70</v>
      </c>
      <c r="Z19" s="4">
        <v>70</v>
      </c>
      <c r="AA19" s="27"/>
      <c r="AB19" s="4">
        <v>0</v>
      </c>
      <c r="AC19" s="4">
        <v>0</v>
      </c>
      <c r="AD19" s="27"/>
      <c r="AE19" s="4">
        <v>75</v>
      </c>
      <c r="AF19" s="4">
        <v>75</v>
      </c>
      <c r="AG19" s="27"/>
      <c r="AH19" s="4">
        <v>5</v>
      </c>
      <c r="AI19" s="4">
        <v>5</v>
      </c>
      <c r="AJ19" s="27"/>
      <c r="AK19" s="4">
        <v>20</v>
      </c>
      <c r="AL19" s="4">
        <v>20</v>
      </c>
      <c r="AM19" s="27"/>
      <c r="AN19" s="4">
        <v>0</v>
      </c>
      <c r="AO19" s="4">
        <v>0</v>
      </c>
      <c r="AP19" s="27"/>
      <c r="AQ19" s="4">
        <v>20</v>
      </c>
      <c r="AR19" s="4">
        <v>20</v>
      </c>
      <c r="AS19" s="27"/>
      <c r="AT19" s="4">
        <v>5</v>
      </c>
      <c r="AU19" s="4">
        <v>5</v>
      </c>
      <c r="AV19" s="27"/>
      <c r="AW19" s="4">
        <v>10</v>
      </c>
      <c r="AX19" s="4">
        <v>10</v>
      </c>
      <c r="AY19" s="27"/>
      <c r="AZ19" s="4">
        <v>30</v>
      </c>
      <c r="BA19" s="4">
        <v>30</v>
      </c>
      <c r="BB19" s="27"/>
      <c r="BC19" s="4">
        <v>5</v>
      </c>
      <c r="BD19" s="4">
        <v>5</v>
      </c>
      <c r="BE19" s="27"/>
      <c r="BF19" s="4">
        <v>5</v>
      </c>
      <c r="BG19" s="4">
        <v>5</v>
      </c>
      <c r="BH19" s="27"/>
      <c r="BI19" s="4">
        <v>5</v>
      </c>
      <c r="BJ19" s="4">
        <v>5</v>
      </c>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4">
        <v>3</v>
      </c>
      <c r="CN19" s="4">
        <v>3</v>
      </c>
      <c r="CO19" s="27"/>
      <c r="CP19" s="4">
        <v>5</v>
      </c>
      <c r="CQ19" s="4">
        <v>5</v>
      </c>
      <c r="CR19" s="27"/>
      <c r="CS19" s="27"/>
      <c r="CT19" s="5">
        <v>120</v>
      </c>
      <c r="CU19" s="5">
        <v>120</v>
      </c>
      <c r="CV19" s="27"/>
      <c r="CW19" s="5">
        <v>10</v>
      </c>
      <c r="CX19" s="5">
        <v>10</v>
      </c>
      <c r="CY19" s="27"/>
      <c r="CZ19" s="5">
        <v>0</v>
      </c>
      <c r="DA19" s="5">
        <v>0</v>
      </c>
      <c r="DB19" s="27"/>
      <c r="DC19" s="31"/>
      <c r="DD19" s="31"/>
      <c r="DE19" s="31"/>
      <c r="DF19" s="4">
        <v>20</v>
      </c>
      <c r="DG19" s="4">
        <v>20</v>
      </c>
      <c r="DH19" s="27"/>
      <c r="DI19" s="89">
        <v>1</v>
      </c>
      <c r="DJ19" s="4">
        <v>20</v>
      </c>
      <c r="DK19" s="4">
        <v>20</v>
      </c>
      <c r="DL19" s="27"/>
      <c r="DM19" s="27"/>
      <c r="DN19" s="27"/>
      <c r="DO19" s="27"/>
      <c r="DP19" s="27"/>
      <c r="DQ19" s="27"/>
      <c r="DR19" s="27"/>
      <c r="DS19" s="27"/>
      <c r="DT19" s="27"/>
      <c r="DU19" s="27"/>
      <c r="DV19" s="27"/>
      <c r="DW19" s="27"/>
      <c r="DX19" s="27"/>
      <c r="DY19" s="27"/>
      <c r="DZ19" s="27"/>
      <c r="EA19" s="27"/>
      <c r="EB19" s="27"/>
      <c r="EC19" s="27"/>
      <c r="ED19" s="27"/>
      <c r="EE19" s="4">
        <v>0</v>
      </c>
      <c r="EF19" s="4">
        <v>0</v>
      </c>
      <c r="EG19" s="27"/>
      <c r="EH19" s="4">
        <v>30</v>
      </c>
      <c r="EI19" s="4">
        <v>30</v>
      </c>
      <c r="EJ19" s="27"/>
      <c r="EK19" s="27"/>
      <c r="EL19" s="27"/>
      <c r="EM19" s="27"/>
      <c r="EN19" s="27"/>
      <c r="EO19" s="27"/>
      <c r="EP19" s="27"/>
      <c r="EQ19" s="27"/>
      <c r="ER19" s="27"/>
      <c r="ES19" s="27"/>
      <c r="ET19" s="27"/>
      <c r="EU19" s="27"/>
      <c r="EV19" s="27"/>
      <c r="EW19" s="27"/>
      <c r="EX19" s="27"/>
      <c r="EY19" s="27"/>
      <c r="EZ19" s="4">
        <v>5</v>
      </c>
      <c r="FA19" s="4">
        <v>5</v>
      </c>
      <c r="FB19" s="27"/>
      <c r="FC19" s="27"/>
      <c r="FD19" s="27"/>
      <c r="FE19" s="27"/>
      <c r="FF19" s="27"/>
      <c r="FG19" s="27"/>
      <c r="FH19" s="27"/>
      <c r="FI19" s="4">
        <v>15</v>
      </c>
      <c r="FJ19" s="4">
        <v>15</v>
      </c>
      <c r="FK19" s="27"/>
      <c r="FL19" s="4">
        <v>0</v>
      </c>
      <c r="FM19" s="4">
        <v>0</v>
      </c>
      <c r="FN19" s="27"/>
      <c r="FO19" s="4">
        <v>40</v>
      </c>
      <c r="FP19" s="4">
        <v>40</v>
      </c>
      <c r="FQ19" s="27"/>
      <c r="FR19" s="27"/>
      <c r="FS19" s="109"/>
      <c r="FT19" s="54">
        <f>NETWORKDAYS($I20,FO20)</f>
        <v>396</v>
      </c>
      <c r="FU19" s="54">
        <f>NETWORKDAYS($I20,FP20)</f>
        <v>396</v>
      </c>
      <c r="FV19" s="54">
        <f>IF(FQ20="",NETWORKDAYS($I20,FP20),NETWORKDAYS($I20,FQ20))</f>
        <v>396</v>
      </c>
      <c r="FW19" s="55" t="s">
        <v>464</v>
      </c>
    </row>
    <row r="20" spans="1:179" collapsed="1" x14ac:dyDescent="0.35">
      <c r="A20" s="23" t="s">
        <v>4</v>
      </c>
      <c r="B20" s="23">
        <v>107139</v>
      </c>
      <c r="C20" s="24" t="s">
        <v>485</v>
      </c>
      <c r="D20" s="65"/>
      <c r="E20" s="23" t="str">
        <f>IF(D20="","Unknown",IF(D20&lt;=FM20+90,"Red",IF(AND(D20&gt;FM20+90,D20&lt;=FM20+180),"Yellow",IF(AND(D20&gt;FM20+180,D20&lt;=FM20+690),"Green","Covered"))))</f>
        <v>Unknown</v>
      </c>
      <c r="F20" s="25" t="s">
        <v>466</v>
      </c>
      <c r="G20" s="26"/>
      <c r="H20" s="26" t="str">
        <f>IF(CR20="","Pre-Execution","Execution")</f>
        <v>Execution</v>
      </c>
      <c r="I20" s="13">
        <v>45814</v>
      </c>
      <c r="J20" s="28"/>
      <c r="K20" s="28"/>
      <c r="L20" s="28"/>
      <c r="M20" s="10">
        <v>45853</v>
      </c>
      <c r="N20" s="10">
        <f>WORKDAY(I20,N19)</f>
        <v>45853</v>
      </c>
      <c r="O20" s="56">
        <f>M20</f>
        <v>45853</v>
      </c>
      <c r="P20" s="10">
        <v>45853</v>
      </c>
      <c r="Q20" s="10">
        <f>IF(O20="",WORKDAY(N20,Q19),WORKDAY(O20,Q19))</f>
        <v>45853</v>
      </c>
      <c r="R20" s="56">
        <f>P20</f>
        <v>45853</v>
      </c>
      <c r="S20" s="28"/>
      <c r="T20" s="28"/>
      <c r="U20" s="28"/>
      <c r="V20" s="10">
        <v>45895</v>
      </c>
      <c r="W20" s="10">
        <f>IF(R20="",WORKDAY(Q20,W19),WORKDAY(R20,W19))</f>
        <v>45895</v>
      </c>
      <c r="X20" s="56"/>
      <c r="Y20" s="10">
        <v>45951</v>
      </c>
      <c r="Z20" s="10">
        <f>IF(R20="",WORKDAY(Q20,Z19),WORKDAY(R20,Z19))</f>
        <v>45951</v>
      </c>
      <c r="AA20" s="56"/>
      <c r="AB20" s="10">
        <v>45814</v>
      </c>
      <c r="AC20" s="10">
        <f>WORKDAY(I20,AC19)</f>
        <v>45814</v>
      </c>
      <c r="AD20" s="56"/>
      <c r="AE20" s="10">
        <v>45919</v>
      </c>
      <c r="AF20" s="10">
        <f>IF(AD20="",WORKDAY(AC20,AF19),WORKDAY(AD20,AF19))</f>
        <v>45919</v>
      </c>
      <c r="AG20" s="56"/>
      <c r="AH20" s="10">
        <v>45958</v>
      </c>
      <c r="AI20" s="10">
        <f>WORKDAY(IF(AA20="",IF(Z20&gt;AF20,Z20,AF20),IF(AA20&gt;AG20,AA20,AG20)),AI19)</f>
        <v>45958</v>
      </c>
      <c r="AJ20" s="56">
        <f>AH20</f>
        <v>45958</v>
      </c>
      <c r="AK20" s="10">
        <v>45986</v>
      </c>
      <c r="AL20" s="10">
        <f>IF(AJ20="",WORKDAY(AI20,AL19),WORKDAY(AJ20,AL19))</f>
        <v>45986</v>
      </c>
      <c r="AM20" s="56"/>
      <c r="AN20" s="10">
        <v>45986</v>
      </c>
      <c r="AO20" s="10">
        <f>IF(AM20="",WORKDAY(AL20,AO19),WORKDAY(AM20,AO19))</f>
        <v>45986</v>
      </c>
      <c r="AP20" s="56"/>
      <c r="AQ20" s="10">
        <v>46014</v>
      </c>
      <c r="AR20" s="10">
        <f>IF(AP20="",WORKDAY(AO20,AR19),WORKDAY(AP20,AR19))</f>
        <v>46014</v>
      </c>
      <c r="AS20" s="10">
        <f>AQ20</f>
        <v>46014</v>
      </c>
      <c r="AT20" s="10">
        <v>45993</v>
      </c>
      <c r="AU20" s="10">
        <v>45993</v>
      </c>
      <c r="AV20" s="56"/>
      <c r="AW20" s="10">
        <v>46028</v>
      </c>
      <c r="AX20" s="10">
        <f>IF(AS20="",IF(AR20&gt;AU20,WORKDAY(AR20,AX19),WORKDAY(AU20,AX19)),IF(AS20&gt;AV20,WORKDAY(AS20,AX19),WORKDAY(AV20,AX19)))</f>
        <v>46028</v>
      </c>
      <c r="AY20" s="56"/>
      <c r="AZ20" s="10">
        <v>46028</v>
      </c>
      <c r="BA20" s="10">
        <f>IF(AP20="",WORKDAY(AO20,BA19),WORKDAY(AP20,BA19))</f>
        <v>46028</v>
      </c>
      <c r="BB20" s="56"/>
      <c r="BC20" s="10">
        <v>46035</v>
      </c>
      <c r="BD20" s="10">
        <f>IF(AY20="",IF(AX20&gt;BA20,WORKDAY(AX20,BD19),WORKDAY(BA20,BD19)),IF(AY20&gt;BB20,WORKDAY(AY20,BD19),WORKDAY(BB20,BD19)))</f>
        <v>46035</v>
      </c>
      <c r="BE20" s="10">
        <f>IF(AZ20="",IF(AY20&gt;BB20,WORKDAY(AY20,BE19),WORKDAY(BB20,BE19)),IF(AZ20&gt;BC20,WORKDAY(AZ20,BE19),WORKDAY(BC20,BE19)))</f>
        <v>46035</v>
      </c>
      <c r="BF20" s="10">
        <v>46042</v>
      </c>
      <c r="BG20" s="10">
        <v>46042</v>
      </c>
      <c r="BH20" s="56">
        <f>BF20</f>
        <v>46042</v>
      </c>
      <c r="BI20" s="10">
        <v>46049</v>
      </c>
      <c r="BJ20" s="10">
        <f>IF(BH20="",WORKDAY(BG20,BJ19),WORKDAY(BH20,BJ19))</f>
        <v>46049</v>
      </c>
      <c r="BK20" s="56">
        <f>BI20</f>
        <v>46049</v>
      </c>
      <c r="BL20" s="28"/>
      <c r="BM20" s="28"/>
      <c r="BN20" s="28"/>
      <c r="BO20" s="28"/>
      <c r="BP20" s="28"/>
      <c r="BQ20" s="28"/>
      <c r="BR20" s="28"/>
      <c r="BS20" s="28"/>
      <c r="BT20" s="28"/>
      <c r="BU20" s="28"/>
      <c r="BV20" s="28"/>
      <c r="BW20" s="28"/>
      <c r="BX20" s="46"/>
      <c r="BY20" s="28"/>
      <c r="BZ20" s="28"/>
      <c r="CA20" s="28"/>
      <c r="CB20" s="28"/>
      <c r="CC20" s="28"/>
      <c r="CD20" s="28"/>
      <c r="CE20" s="28"/>
      <c r="CF20" s="28"/>
      <c r="CG20" s="28"/>
      <c r="CH20" s="28"/>
      <c r="CI20" s="28"/>
      <c r="CJ20" s="28"/>
      <c r="CK20" s="28"/>
      <c r="CL20" s="28"/>
      <c r="CM20" s="10">
        <v>46052</v>
      </c>
      <c r="CN20" s="10">
        <f>IF(BK20="",WORKDAY(BJ20,CN19),WORKDAY(BK20,CN19))</f>
        <v>46052</v>
      </c>
      <c r="CO20" s="56">
        <f>CM20</f>
        <v>46052</v>
      </c>
      <c r="CP20" s="10">
        <v>46059</v>
      </c>
      <c r="CQ20" s="10">
        <f>IF(CO20="",WORKDAY(CN20,CQ19),WORKDAY(CO20,CQ19))</f>
        <v>46059</v>
      </c>
      <c r="CR20" s="56">
        <f>CP20</f>
        <v>46059</v>
      </c>
      <c r="CS20" s="77" t="s">
        <v>479</v>
      </c>
      <c r="CT20" s="10">
        <v>46227</v>
      </c>
      <c r="CU20" s="10">
        <f>IF(CR20="",WORKDAY(CQ20,CU19),WORKDAY(CR20,CU19))</f>
        <v>46227</v>
      </c>
      <c r="CV20" s="56">
        <f>CT20</f>
        <v>46227</v>
      </c>
      <c r="CW20" s="10">
        <v>46042</v>
      </c>
      <c r="CX20" s="10">
        <f>IF(BB20="",WORKDAY(BA20,CX19),WORKDAY(BB20,CX19))</f>
        <v>46042</v>
      </c>
      <c r="CY20" s="56">
        <f>CW20</f>
        <v>46042</v>
      </c>
      <c r="CZ20" s="10">
        <v>46042</v>
      </c>
      <c r="DA20" s="10">
        <f>IF(CY20="",WORKDAY(CX20,DA19),WORKDAY(CY20,DA19))</f>
        <v>46042</v>
      </c>
      <c r="DB20" s="56">
        <f>CZ20</f>
        <v>46042</v>
      </c>
      <c r="DC20" s="45"/>
      <c r="DD20" s="45"/>
      <c r="DE20" s="45"/>
      <c r="DF20" s="10">
        <v>46255</v>
      </c>
      <c r="DG20" s="10">
        <f>IF($CV20="",IF($CU20&gt;$DA20,WORKDAY($CU20,DG19),WORKDAY($DA20,DG19)),IF($CV20&gt;$DB20,WORKDAY($CV20,DG19),WORKDAY($DB20,DG19)))</f>
        <v>46255</v>
      </c>
      <c r="DH20" s="56"/>
      <c r="DI20" s="46"/>
      <c r="DJ20" s="10">
        <v>46283</v>
      </c>
      <c r="DK20" s="10">
        <f>IF(DH20="",WORKDAY(DG20,DK19*$DI19),WORKDAY(DH20,DK19*$DI19))</f>
        <v>46283</v>
      </c>
      <c r="DL20" s="56"/>
      <c r="DM20" s="46"/>
      <c r="DN20" s="46"/>
      <c r="DO20" s="46"/>
      <c r="DP20" s="46"/>
      <c r="DQ20" s="46"/>
      <c r="DR20" s="46"/>
      <c r="DS20" s="46"/>
      <c r="DT20" s="46"/>
      <c r="DU20" s="46"/>
      <c r="DV20" s="46"/>
      <c r="DW20" s="46"/>
      <c r="DX20" s="46"/>
      <c r="DY20" s="46"/>
      <c r="DZ20" s="46"/>
      <c r="EA20" s="46"/>
      <c r="EB20" s="46"/>
      <c r="EC20" s="46"/>
      <c r="ED20" s="46"/>
      <c r="EE20" s="10">
        <v>46283</v>
      </c>
      <c r="EF20" s="10">
        <f>IF(DL20="",WORKDAY(DK20,EF19),WORKDAY(DL20,EF19))</f>
        <v>46283</v>
      </c>
      <c r="EG20" s="56"/>
      <c r="EH20" s="10">
        <v>46084</v>
      </c>
      <c r="EI20" s="10">
        <f>IF(BH20="",WORKDAY(BG20,EI19),WORKDAY(BH20,EI19))</f>
        <v>46084</v>
      </c>
      <c r="EJ20" s="56"/>
      <c r="EK20" s="27"/>
      <c r="EL20" s="27"/>
      <c r="EM20" s="27"/>
      <c r="EN20" s="27"/>
      <c r="EO20" s="28"/>
      <c r="EP20" s="28"/>
      <c r="EQ20" s="28"/>
      <c r="ER20" s="28"/>
      <c r="ES20" s="28"/>
      <c r="ET20" s="28"/>
      <c r="EU20" s="28"/>
      <c r="EV20" s="28"/>
      <c r="EW20" s="28"/>
      <c r="EX20" s="28"/>
      <c r="EY20" s="28"/>
      <c r="EZ20" s="10">
        <v>46290</v>
      </c>
      <c r="FA20" s="10">
        <f>IF(EG20="",WORKDAY(EF20,FA19),WORKDAY(EG20,FA19))</f>
        <v>46290</v>
      </c>
      <c r="FB20" s="56"/>
      <c r="FC20" s="28"/>
      <c r="FD20" s="28"/>
      <c r="FE20" s="28"/>
      <c r="FF20" s="28"/>
      <c r="FG20" s="28"/>
      <c r="FH20" s="28"/>
      <c r="FI20" s="10">
        <v>46311</v>
      </c>
      <c r="FJ20" s="10">
        <f>IF(FB20="",WORKDAY(FA20,FJ19),WORKDAY(FB20,FJ19))</f>
        <v>46311</v>
      </c>
      <c r="FK20" s="56"/>
      <c r="FL20" s="10">
        <v>46311</v>
      </c>
      <c r="FM20" s="10">
        <f>IF(FK20="",WORKDAY(FJ20,FM19),WORKDAY(FK20,FM19))</f>
        <v>46311</v>
      </c>
      <c r="FN20" s="56"/>
      <c r="FO20" s="10">
        <v>46367</v>
      </c>
      <c r="FP20" s="10">
        <f>WORKDAY(FM20,FP19)</f>
        <v>46367</v>
      </c>
      <c r="FQ20" s="10"/>
      <c r="FR20" s="77" t="str">
        <f>IF(NETWORKDAYS(FJ20,FO20)&gt;=30,"On-Track",IF(AND(NETWORKDAYS(FJ20,FO20)&lt;30,FJ20&lt;=FO20),"At Risk","Missed TCD"))</f>
        <v>On-Track</v>
      </c>
      <c r="FS20" s="110" t="s">
        <v>480</v>
      </c>
      <c r="FT20" s="57">
        <f>NETWORKDAYS(CP20,FI20)</f>
        <v>181</v>
      </c>
      <c r="FU20" s="57">
        <f>NETWORKDAYS(CQ20,FJ20)</f>
        <v>181</v>
      </c>
      <c r="FV20" s="57">
        <f>IF(BH20="",NETWORKDAYS(BG20,FJ20),IF(FK20="",NETWORKDAYS(BH20,FJ20),NETWORKDAYS(BH20,FK20)))</f>
        <v>194</v>
      </c>
      <c r="FW20" s="58" t="s">
        <v>467</v>
      </c>
    </row>
    <row r="21" spans="1:179" hidden="1" outlineLevel="1" x14ac:dyDescent="0.35">
      <c r="A21" s="23"/>
      <c r="B21" s="23">
        <v>107140</v>
      </c>
      <c r="C21" s="24" t="s">
        <v>486</v>
      </c>
      <c r="D21" s="95"/>
      <c r="E21" s="24"/>
      <c r="F21" s="25" t="s">
        <v>463</v>
      </c>
      <c r="G21" s="26"/>
      <c r="H21" s="26"/>
      <c r="I21" s="27"/>
      <c r="J21" s="27"/>
      <c r="K21" s="27"/>
      <c r="L21" s="27"/>
      <c r="M21" s="4">
        <v>27</v>
      </c>
      <c r="N21" s="4">
        <v>27</v>
      </c>
      <c r="O21" s="27"/>
      <c r="P21" s="4">
        <v>0</v>
      </c>
      <c r="Q21" s="4">
        <v>0</v>
      </c>
      <c r="R21" s="27"/>
      <c r="S21" s="27"/>
      <c r="T21" s="27"/>
      <c r="U21" s="27"/>
      <c r="V21" s="4">
        <v>30</v>
      </c>
      <c r="W21" s="4">
        <v>30</v>
      </c>
      <c r="X21" s="27"/>
      <c r="Y21" s="4">
        <v>70</v>
      </c>
      <c r="Z21" s="4">
        <v>70</v>
      </c>
      <c r="AA21" s="27"/>
      <c r="AB21" s="4">
        <v>0</v>
      </c>
      <c r="AC21" s="4">
        <v>0</v>
      </c>
      <c r="AD21" s="27"/>
      <c r="AE21" s="4">
        <v>75</v>
      </c>
      <c r="AF21" s="4">
        <v>75</v>
      </c>
      <c r="AG21" s="27"/>
      <c r="AH21" s="4">
        <v>5</v>
      </c>
      <c r="AI21" s="4">
        <v>5</v>
      </c>
      <c r="AJ21" s="27"/>
      <c r="AK21" s="4">
        <v>20</v>
      </c>
      <c r="AL21" s="4">
        <v>20</v>
      </c>
      <c r="AM21" s="27"/>
      <c r="AN21" s="4">
        <v>0</v>
      </c>
      <c r="AO21" s="4">
        <v>0</v>
      </c>
      <c r="AP21" s="27"/>
      <c r="AQ21" s="4">
        <v>20</v>
      </c>
      <c r="AR21" s="4">
        <v>20</v>
      </c>
      <c r="AS21" s="27"/>
      <c r="AT21" s="4">
        <v>5</v>
      </c>
      <c r="AU21" s="4">
        <v>5</v>
      </c>
      <c r="AV21" s="27"/>
      <c r="AW21" s="4">
        <v>10</v>
      </c>
      <c r="AX21" s="4">
        <v>10</v>
      </c>
      <c r="AY21" s="27"/>
      <c r="AZ21" s="4">
        <v>30</v>
      </c>
      <c r="BA21" s="4">
        <v>30</v>
      </c>
      <c r="BB21" s="27"/>
      <c r="BC21" s="4">
        <v>5</v>
      </c>
      <c r="BD21" s="4">
        <v>5</v>
      </c>
      <c r="BE21" s="27"/>
      <c r="BF21" s="4">
        <v>5</v>
      </c>
      <c r="BG21" s="4">
        <v>5</v>
      </c>
      <c r="BH21" s="27"/>
      <c r="BI21" s="4">
        <v>5</v>
      </c>
      <c r="BJ21" s="4">
        <v>5</v>
      </c>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4">
        <v>3</v>
      </c>
      <c r="CN21" s="4">
        <v>3</v>
      </c>
      <c r="CO21" s="27"/>
      <c r="CP21" s="4">
        <v>5</v>
      </c>
      <c r="CQ21" s="4">
        <v>5</v>
      </c>
      <c r="CR21" s="27"/>
      <c r="CS21" s="27"/>
      <c r="CT21" s="5">
        <v>120</v>
      </c>
      <c r="CU21" s="5">
        <v>120</v>
      </c>
      <c r="CV21" s="27"/>
      <c r="CW21" s="5">
        <v>10</v>
      </c>
      <c r="CX21" s="5">
        <v>10</v>
      </c>
      <c r="CY21" s="27"/>
      <c r="CZ21" s="5">
        <v>0</v>
      </c>
      <c r="DA21" s="5">
        <v>0</v>
      </c>
      <c r="DB21" s="27"/>
      <c r="DC21" s="31"/>
      <c r="DD21" s="31"/>
      <c r="DE21" s="31"/>
      <c r="DF21" s="4">
        <v>20</v>
      </c>
      <c r="DG21" s="4">
        <v>20</v>
      </c>
      <c r="DH21" s="27"/>
      <c r="DI21" s="89">
        <v>1</v>
      </c>
      <c r="DJ21" s="4">
        <v>20</v>
      </c>
      <c r="DK21" s="4">
        <v>20</v>
      </c>
      <c r="DL21" s="27"/>
      <c r="DM21" s="27"/>
      <c r="DN21" s="27"/>
      <c r="DO21" s="27"/>
      <c r="DP21" s="27"/>
      <c r="DQ21" s="27"/>
      <c r="DR21" s="27"/>
      <c r="DS21" s="27"/>
      <c r="DT21" s="27"/>
      <c r="DU21" s="27"/>
      <c r="DV21" s="27"/>
      <c r="DW21" s="27"/>
      <c r="DX21" s="27"/>
      <c r="DY21" s="27"/>
      <c r="DZ21" s="27"/>
      <c r="EA21" s="27"/>
      <c r="EB21" s="27"/>
      <c r="EC21" s="27"/>
      <c r="ED21" s="27"/>
      <c r="EE21" s="4">
        <v>0</v>
      </c>
      <c r="EF21" s="4">
        <v>0</v>
      </c>
      <c r="EG21" s="27"/>
      <c r="EH21" s="4">
        <v>30</v>
      </c>
      <c r="EI21" s="4">
        <v>30</v>
      </c>
      <c r="EJ21" s="27"/>
      <c r="EK21" s="27"/>
      <c r="EL21" s="27"/>
      <c r="EM21" s="27"/>
      <c r="EN21" s="27"/>
      <c r="EO21" s="27"/>
      <c r="EP21" s="27"/>
      <c r="EQ21" s="27"/>
      <c r="ER21" s="27"/>
      <c r="ES21" s="27"/>
      <c r="ET21" s="27"/>
      <c r="EU21" s="27"/>
      <c r="EV21" s="27"/>
      <c r="EW21" s="27"/>
      <c r="EX21" s="27"/>
      <c r="EY21" s="27"/>
      <c r="EZ21" s="4">
        <v>5</v>
      </c>
      <c r="FA21" s="4">
        <v>5</v>
      </c>
      <c r="FB21" s="27"/>
      <c r="FC21" s="27"/>
      <c r="FD21" s="27"/>
      <c r="FE21" s="27"/>
      <c r="FF21" s="27"/>
      <c r="FG21" s="27"/>
      <c r="FH21" s="27"/>
      <c r="FI21" s="4">
        <v>15</v>
      </c>
      <c r="FJ21" s="4">
        <v>15</v>
      </c>
      <c r="FK21" s="27"/>
      <c r="FL21" s="4">
        <v>0</v>
      </c>
      <c r="FM21" s="4">
        <v>0</v>
      </c>
      <c r="FN21" s="27"/>
      <c r="FO21" s="4">
        <v>40</v>
      </c>
      <c r="FP21" s="4">
        <v>40</v>
      </c>
      <c r="FQ21" s="27"/>
      <c r="FR21" s="27"/>
      <c r="FS21" s="109"/>
      <c r="FT21" s="54">
        <f>NETWORKDAYS($I22,FO22)</f>
        <v>396</v>
      </c>
      <c r="FU21" s="54">
        <f>NETWORKDAYS($I22,FP22)</f>
        <v>396</v>
      </c>
      <c r="FV21" s="54">
        <f>IF(FQ22="",NETWORKDAYS($I22,FP22),NETWORKDAYS($I22,FQ22))</f>
        <v>396</v>
      </c>
      <c r="FW21" s="55" t="s">
        <v>464</v>
      </c>
    </row>
    <row r="22" spans="1:179" collapsed="1" x14ac:dyDescent="0.35">
      <c r="A22" s="23" t="s">
        <v>4</v>
      </c>
      <c r="B22" s="23">
        <v>107140</v>
      </c>
      <c r="C22" s="24" t="s">
        <v>486</v>
      </c>
      <c r="D22" s="65"/>
      <c r="E22" s="23" t="str">
        <f>IF(D22="","Unknown",IF(D22&lt;=FM22+90,"Red",IF(AND(D22&gt;FM22+90,D22&lt;=FM22+180),"Yellow",IF(AND(D22&gt;FM22+180,D22&lt;=FM22+690),"Green","Covered"))))</f>
        <v>Unknown</v>
      </c>
      <c r="F22" s="25" t="s">
        <v>466</v>
      </c>
      <c r="G22" s="26"/>
      <c r="H22" s="26" t="str">
        <f>IF(CR22="","Pre-Execution","Execution")</f>
        <v>Execution</v>
      </c>
      <c r="I22" s="13">
        <v>45814</v>
      </c>
      <c r="J22" s="28"/>
      <c r="K22" s="28"/>
      <c r="L22" s="28"/>
      <c r="M22" s="10">
        <v>45853</v>
      </c>
      <c r="N22" s="10">
        <f>WORKDAY(I22,N21)</f>
        <v>45853</v>
      </c>
      <c r="O22" s="56">
        <f>M22</f>
        <v>45853</v>
      </c>
      <c r="P22" s="10">
        <v>45853</v>
      </c>
      <c r="Q22" s="10">
        <f>IF(O22="",WORKDAY(N22,Q21),WORKDAY(O22,Q21))</f>
        <v>45853</v>
      </c>
      <c r="R22" s="56">
        <f>P22</f>
        <v>45853</v>
      </c>
      <c r="S22" s="28"/>
      <c r="T22" s="28"/>
      <c r="U22" s="28"/>
      <c r="V22" s="10">
        <v>45895</v>
      </c>
      <c r="W22" s="10">
        <f>IF(R22="",WORKDAY(Q22,W21),WORKDAY(R22,W21))</f>
        <v>45895</v>
      </c>
      <c r="X22" s="56"/>
      <c r="Y22" s="10">
        <v>45951</v>
      </c>
      <c r="Z22" s="10">
        <f>IF(R22="",WORKDAY(Q22,Z21),WORKDAY(R22,Z21))</f>
        <v>45951</v>
      </c>
      <c r="AA22" s="56"/>
      <c r="AB22" s="10">
        <v>45814</v>
      </c>
      <c r="AC22" s="10">
        <f>WORKDAY(I22,AC21)</f>
        <v>45814</v>
      </c>
      <c r="AD22" s="56"/>
      <c r="AE22" s="10">
        <v>45919</v>
      </c>
      <c r="AF22" s="10">
        <f>IF(AD22="",WORKDAY(AC22,AF21),WORKDAY(AD22,AF21))</f>
        <v>45919</v>
      </c>
      <c r="AG22" s="56"/>
      <c r="AH22" s="10">
        <v>45958</v>
      </c>
      <c r="AI22" s="10">
        <f>WORKDAY(IF(AA22="",IF(Z22&gt;AF22,Z22,AF22),IF(AA22&gt;AG22,AA22,AG22)),AI21)</f>
        <v>45958</v>
      </c>
      <c r="AJ22" s="56">
        <f>AH22</f>
        <v>45958</v>
      </c>
      <c r="AK22" s="10">
        <v>45986</v>
      </c>
      <c r="AL22" s="10">
        <f>IF(AJ22="",WORKDAY(AI22,AL21),WORKDAY(AJ22,AL21))</f>
        <v>45986</v>
      </c>
      <c r="AM22" s="56"/>
      <c r="AN22" s="10">
        <v>45986</v>
      </c>
      <c r="AO22" s="10">
        <f>IF(AM22="",WORKDAY(AL22,AO21),WORKDAY(AM22,AO21))</f>
        <v>45986</v>
      </c>
      <c r="AP22" s="56"/>
      <c r="AQ22" s="10">
        <v>46014</v>
      </c>
      <c r="AR22" s="10">
        <f>IF(AP22="",WORKDAY(AO22,AR21),WORKDAY(AP22,AR21))</f>
        <v>46014</v>
      </c>
      <c r="AS22" s="10">
        <f>AQ22</f>
        <v>46014</v>
      </c>
      <c r="AT22" s="10">
        <v>45993</v>
      </c>
      <c r="AU22" s="10">
        <v>45993</v>
      </c>
      <c r="AV22" s="56"/>
      <c r="AW22" s="10">
        <v>46028</v>
      </c>
      <c r="AX22" s="10">
        <f>IF(AS22="",IF(AR22&gt;AU22,WORKDAY(AR22,AX21),WORKDAY(AU22,AX21)),IF(AS22&gt;AV22,WORKDAY(AS22,AX21),WORKDAY(AV22,AX21)))</f>
        <v>46028</v>
      </c>
      <c r="AY22" s="56"/>
      <c r="AZ22" s="10">
        <v>46028</v>
      </c>
      <c r="BA22" s="10">
        <f>IF(AP22="",WORKDAY(AO22,BA21),WORKDAY(AP22,BA21))</f>
        <v>46028</v>
      </c>
      <c r="BB22" s="56"/>
      <c r="BC22" s="10">
        <v>46035</v>
      </c>
      <c r="BD22" s="10">
        <f>IF(AY22="",IF(AX22&gt;BA22,WORKDAY(AX22,BD21),WORKDAY(BA22,BD21)),IF(AY22&gt;BB22,WORKDAY(AY22,BD21),WORKDAY(BB22,BD21)))</f>
        <v>46035</v>
      </c>
      <c r="BE22" s="10">
        <f>IF(AZ22="",IF(AY22&gt;BB22,WORKDAY(AY22,BE21),WORKDAY(BB22,BE21)),IF(AZ22&gt;BC22,WORKDAY(AZ22,BE21),WORKDAY(BC22,BE21)))</f>
        <v>46035</v>
      </c>
      <c r="BF22" s="10">
        <v>46042</v>
      </c>
      <c r="BG22" s="10">
        <v>46042</v>
      </c>
      <c r="BH22" s="56">
        <f>BF22</f>
        <v>46042</v>
      </c>
      <c r="BI22" s="10">
        <v>46049</v>
      </c>
      <c r="BJ22" s="10">
        <f>IF(BH22="",WORKDAY(BG22,BJ21),WORKDAY(BH22,BJ21))</f>
        <v>46049</v>
      </c>
      <c r="BK22" s="56">
        <f>BI22</f>
        <v>46049</v>
      </c>
      <c r="BL22" s="28"/>
      <c r="BM22" s="28"/>
      <c r="BN22" s="28"/>
      <c r="BO22" s="28"/>
      <c r="BP22" s="28"/>
      <c r="BQ22" s="28"/>
      <c r="BR22" s="28"/>
      <c r="BS22" s="28"/>
      <c r="BT22" s="28"/>
      <c r="BU22" s="28"/>
      <c r="BV22" s="28"/>
      <c r="BW22" s="28"/>
      <c r="BX22" s="46"/>
      <c r="BY22" s="28"/>
      <c r="BZ22" s="28"/>
      <c r="CA22" s="28"/>
      <c r="CB22" s="28"/>
      <c r="CC22" s="28"/>
      <c r="CD22" s="28"/>
      <c r="CE22" s="28"/>
      <c r="CF22" s="28"/>
      <c r="CG22" s="28"/>
      <c r="CH22" s="28"/>
      <c r="CI22" s="28"/>
      <c r="CJ22" s="28"/>
      <c r="CK22" s="28"/>
      <c r="CL22" s="28"/>
      <c r="CM22" s="10">
        <v>46052</v>
      </c>
      <c r="CN22" s="10">
        <f>IF(BK22="",WORKDAY(BJ22,CN21),WORKDAY(BK22,CN21))</f>
        <v>46052</v>
      </c>
      <c r="CO22" s="56">
        <f>CM22</f>
        <v>46052</v>
      </c>
      <c r="CP22" s="10">
        <v>46059</v>
      </c>
      <c r="CQ22" s="10">
        <f>IF(CO22="",WORKDAY(CN22,CQ21),WORKDAY(CO22,CQ21))</f>
        <v>46059</v>
      </c>
      <c r="CR22" s="56">
        <f>CP22</f>
        <v>46059</v>
      </c>
      <c r="CS22" s="77" t="s">
        <v>479</v>
      </c>
      <c r="CT22" s="10">
        <v>46227</v>
      </c>
      <c r="CU22" s="10">
        <f>IF(CR22="",WORKDAY(CQ22,CU21),WORKDAY(CR22,CU21))</f>
        <v>46227</v>
      </c>
      <c r="CV22" s="56">
        <f>CT22</f>
        <v>46227</v>
      </c>
      <c r="CW22" s="10">
        <v>46042</v>
      </c>
      <c r="CX22" s="10">
        <f>IF(BB22="",WORKDAY(BA22,CX21),WORKDAY(BB22,CX21))</f>
        <v>46042</v>
      </c>
      <c r="CY22" s="56">
        <f>CW22</f>
        <v>46042</v>
      </c>
      <c r="CZ22" s="10">
        <v>46042</v>
      </c>
      <c r="DA22" s="10">
        <f>IF(CY22="",WORKDAY(CX22,DA21),WORKDAY(CY22,DA21))</f>
        <v>46042</v>
      </c>
      <c r="DB22" s="56">
        <f>CZ22</f>
        <v>46042</v>
      </c>
      <c r="DC22" s="45"/>
      <c r="DD22" s="45"/>
      <c r="DE22" s="45"/>
      <c r="DF22" s="10">
        <v>46255</v>
      </c>
      <c r="DG22" s="10">
        <f>IF($CV22="",IF($CU22&gt;$DA22,WORKDAY($CU22,DG21),WORKDAY($DA22,DG21)),IF($CV22&gt;$DB22,WORKDAY($CV22,DG21),WORKDAY($DB22,DG21)))</f>
        <v>46255</v>
      </c>
      <c r="DH22" s="56"/>
      <c r="DI22" s="46"/>
      <c r="DJ22" s="10">
        <v>46283</v>
      </c>
      <c r="DK22" s="10">
        <f>IF(DH22="",WORKDAY(DG22,DK21*$DI21),WORKDAY(DH22,DK21*$DI21))</f>
        <v>46283</v>
      </c>
      <c r="DL22" s="56"/>
      <c r="DM22" s="46"/>
      <c r="DN22" s="46"/>
      <c r="DO22" s="46"/>
      <c r="DP22" s="46"/>
      <c r="DQ22" s="46"/>
      <c r="DR22" s="46"/>
      <c r="DS22" s="46"/>
      <c r="DT22" s="46"/>
      <c r="DU22" s="46"/>
      <c r="DV22" s="46"/>
      <c r="DW22" s="46"/>
      <c r="DX22" s="46"/>
      <c r="DY22" s="46"/>
      <c r="DZ22" s="46"/>
      <c r="EA22" s="46"/>
      <c r="EB22" s="46"/>
      <c r="EC22" s="46"/>
      <c r="ED22" s="46"/>
      <c r="EE22" s="10">
        <v>46283</v>
      </c>
      <c r="EF22" s="10">
        <f>IF(DL22="",WORKDAY(DK22,EF21),WORKDAY(DL22,EF21))</f>
        <v>46283</v>
      </c>
      <c r="EG22" s="56"/>
      <c r="EH22" s="10">
        <v>46084</v>
      </c>
      <c r="EI22" s="10">
        <f>IF(BH22="",WORKDAY(BG22,EI21),WORKDAY(BH22,EI21))</f>
        <v>46084</v>
      </c>
      <c r="EJ22" s="56"/>
      <c r="EK22" s="27"/>
      <c r="EL22" s="27"/>
      <c r="EM22" s="27"/>
      <c r="EN22" s="27"/>
      <c r="EO22" s="28"/>
      <c r="EP22" s="28"/>
      <c r="EQ22" s="28"/>
      <c r="ER22" s="28"/>
      <c r="ES22" s="28"/>
      <c r="ET22" s="28"/>
      <c r="EU22" s="28"/>
      <c r="EV22" s="28"/>
      <c r="EW22" s="28"/>
      <c r="EX22" s="28"/>
      <c r="EY22" s="28"/>
      <c r="EZ22" s="10">
        <v>46290</v>
      </c>
      <c r="FA22" s="10">
        <f>IF(EG22="",WORKDAY(EF22,FA21),WORKDAY(EG22,FA21))</f>
        <v>46290</v>
      </c>
      <c r="FB22" s="56"/>
      <c r="FC22" s="28"/>
      <c r="FD22" s="28"/>
      <c r="FE22" s="28"/>
      <c r="FF22" s="28"/>
      <c r="FG22" s="28"/>
      <c r="FH22" s="28"/>
      <c r="FI22" s="10">
        <v>46311</v>
      </c>
      <c r="FJ22" s="10">
        <f>IF(FB22="",WORKDAY(FA22,FJ21),WORKDAY(FB22,FJ21))</f>
        <v>46311</v>
      </c>
      <c r="FK22" s="56"/>
      <c r="FL22" s="10">
        <v>46311</v>
      </c>
      <c r="FM22" s="10">
        <f>IF(FK22="",WORKDAY(FJ22,FM21),WORKDAY(FK22,FM21))</f>
        <v>46311</v>
      </c>
      <c r="FN22" s="56"/>
      <c r="FO22" s="10">
        <v>46367</v>
      </c>
      <c r="FP22" s="10">
        <f>WORKDAY(FM22,FP21)</f>
        <v>46367</v>
      </c>
      <c r="FQ22" s="10"/>
      <c r="FR22" s="77" t="str">
        <f>IF(NETWORKDAYS(FJ22,FO22)&gt;=30,"On-Track",IF(AND(NETWORKDAYS(FJ22,FO22)&lt;30,FJ22&lt;=FO22),"At Risk","Missed TCD"))</f>
        <v>On-Track</v>
      </c>
      <c r="FS22" s="110" t="s">
        <v>480</v>
      </c>
      <c r="FT22" s="57">
        <f>NETWORKDAYS(CP22,FI22)</f>
        <v>181</v>
      </c>
      <c r="FU22" s="57">
        <f>NETWORKDAYS(CQ22,FJ22)</f>
        <v>181</v>
      </c>
      <c r="FV22" s="57">
        <f>IF(BH22="",NETWORKDAYS(BG22,FJ22),IF(FK22="",NETWORKDAYS(BH22,FJ22),NETWORKDAYS(BH22,FK22)))</f>
        <v>194</v>
      </c>
      <c r="FW22" s="58" t="s">
        <v>467</v>
      </c>
    </row>
    <row r="23" spans="1:179" hidden="1" outlineLevel="1" x14ac:dyDescent="0.35">
      <c r="A23" s="23"/>
      <c r="B23" s="23">
        <v>107141</v>
      </c>
      <c r="C23" s="24" t="s">
        <v>487</v>
      </c>
      <c r="D23" s="95"/>
      <c r="E23" s="24"/>
      <c r="F23" s="25" t="s">
        <v>463</v>
      </c>
      <c r="G23" s="26"/>
      <c r="H23" s="26"/>
      <c r="I23" s="27"/>
      <c r="J23" s="27"/>
      <c r="K23" s="27"/>
      <c r="L23" s="27"/>
      <c r="M23" s="4">
        <v>27</v>
      </c>
      <c r="N23" s="4">
        <v>27</v>
      </c>
      <c r="O23" s="27"/>
      <c r="P23" s="4">
        <v>0</v>
      </c>
      <c r="Q23" s="4">
        <v>0</v>
      </c>
      <c r="R23" s="27"/>
      <c r="S23" s="27"/>
      <c r="T23" s="27"/>
      <c r="U23" s="27"/>
      <c r="V23" s="4">
        <v>30</v>
      </c>
      <c r="W23" s="4">
        <v>30</v>
      </c>
      <c r="X23" s="27"/>
      <c r="Y23" s="4">
        <v>70</v>
      </c>
      <c r="Z23" s="4">
        <v>70</v>
      </c>
      <c r="AA23" s="27"/>
      <c r="AB23" s="4">
        <v>0</v>
      </c>
      <c r="AC23" s="4">
        <v>0</v>
      </c>
      <c r="AD23" s="27"/>
      <c r="AE23" s="4">
        <v>75</v>
      </c>
      <c r="AF23" s="4">
        <v>75</v>
      </c>
      <c r="AG23" s="27"/>
      <c r="AH23" s="4">
        <v>5</v>
      </c>
      <c r="AI23" s="4">
        <v>5</v>
      </c>
      <c r="AJ23" s="27"/>
      <c r="AK23" s="4">
        <v>20</v>
      </c>
      <c r="AL23" s="4">
        <v>20</v>
      </c>
      <c r="AM23" s="27"/>
      <c r="AN23" s="4">
        <v>0</v>
      </c>
      <c r="AO23" s="4">
        <v>0</v>
      </c>
      <c r="AP23" s="27"/>
      <c r="AQ23" s="4">
        <v>20</v>
      </c>
      <c r="AR23" s="4">
        <v>20</v>
      </c>
      <c r="AS23" s="27"/>
      <c r="AT23" s="4">
        <v>5</v>
      </c>
      <c r="AU23" s="4">
        <v>5</v>
      </c>
      <c r="AV23" s="27"/>
      <c r="AW23" s="4">
        <v>10</v>
      </c>
      <c r="AX23" s="4">
        <v>10</v>
      </c>
      <c r="AY23" s="27"/>
      <c r="AZ23" s="4">
        <v>30</v>
      </c>
      <c r="BA23" s="4">
        <v>30</v>
      </c>
      <c r="BB23" s="27"/>
      <c r="BC23" s="4">
        <v>5</v>
      </c>
      <c r="BD23" s="4">
        <v>5</v>
      </c>
      <c r="BE23" s="27"/>
      <c r="BF23" s="4">
        <v>5</v>
      </c>
      <c r="BG23" s="4">
        <v>5</v>
      </c>
      <c r="BH23" s="27"/>
      <c r="BI23" s="4">
        <v>5</v>
      </c>
      <c r="BJ23" s="4">
        <v>5</v>
      </c>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4">
        <v>3</v>
      </c>
      <c r="CN23" s="4">
        <v>3</v>
      </c>
      <c r="CO23" s="27"/>
      <c r="CP23" s="4">
        <v>5</v>
      </c>
      <c r="CQ23" s="4">
        <v>5</v>
      </c>
      <c r="CR23" s="27"/>
      <c r="CS23" s="27"/>
      <c r="CT23" s="5">
        <v>120</v>
      </c>
      <c r="CU23" s="5">
        <v>120</v>
      </c>
      <c r="CV23" s="27"/>
      <c r="CW23" s="5">
        <v>10</v>
      </c>
      <c r="CX23" s="5">
        <v>10</v>
      </c>
      <c r="CY23" s="27"/>
      <c r="CZ23" s="5">
        <v>0</v>
      </c>
      <c r="DA23" s="5">
        <v>0</v>
      </c>
      <c r="DB23" s="27"/>
      <c r="DC23" s="31"/>
      <c r="DD23" s="31"/>
      <c r="DE23" s="31"/>
      <c r="DF23" s="4">
        <v>20</v>
      </c>
      <c r="DG23" s="4">
        <v>20</v>
      </c>
      <c r="DH23" s="27"/>
      <c r="DI23" s="89">
        <v>1</v>
      </c>
      <c r="DJ23" s="4">
        <v>20</v>
      </c>
      <c r="DK23" s="4">
        <v>20</v>
      </c>
      <c r="DL23" s="27"/>
      <c r="DM23" s="27"/>
      <c r="DN23" s="27"/>
      <c r="DO23" s="27"/>
      <c r="DP23" s="27"/>
      <c r="DQ23" s="27"/>
      <c r="DR23" s="27"/>
      <c r="DS23" s="27"/>
      <c r="DT23" s="27"/>
      <c r="DU23" s="27"/>
      <c r="DV23" s="27"/>
      <c r="DW23" s="27"/>
      <c r="DX23" s="27"/>
      <c r="DY23" s="27"/>
      <c r="DZ23" s="27"/>
      <c r="EA23" s="27"/>
      <c r="EB23" s="27"/>
      <c r="EC23" s="27"/>
      <c r="ED23" s="27"/>
      <c r="EE23" s="4">
        <v>0</v>
      </c>
      <c r="EF23" s="4">
        <v>0</v>
      </c>
      <c r="EG23" s="27"/>
      <c r="EH23" s="4">
        <v>30</v>
      </c>
      <c r="EI23" s="4">
        <v>30</v>
      </c>
      <c r="EJ23" s="27"/>
      <c r="EK23" s="27"/>
      <c r="EL23" s="27"/>
      <c r="EM23" s="27"/>
      <c r="EN23" s="27"/>
      <c r="EO23" s="27"/>
      <c r="EP23" s="27"/>
      <c r="EQ23" s="27"/>
      <c r="ER23" s="27"/>
      <c r="ES23" s="27"/>
      <c r="ET23" s="27"/>
      <c r="EU23" s="27"/>
      <c r="EV23" s="27"/>
      <c r="EW23" s="27"/>
      <c r="EX23" s="27"/>
      <c r="EY23" s="27"/>
      <c r="EZ23" s="4">
        <v>5</v>
      </c>
      <c r="FA23" s="4">
        <v>5</v>
      </c>
      <c r="FB23" s="27"/>
      <c r="FC23" s="27"/>
      <c r="FD23" s="27"/>
      <c r="FE23" s="27"/>
      <c r="FF23" s="27"/>
      <c r="FG23" s="27"/>
      <c r="FH23" s="27"/>
      <c r="FI23" s="4">
        <v>15</v>
      </c>
      <c r="FJ23" s="4">
        <v>15</v>
      </c>
      <c r="FK23" s="27"/>
      <c r="FL23" s="4">
        <v>0</v>
      </c>
      <c r="FM23" s="4">
        <v>0</v>
      </c>
      <c r="FN23" s="27"/>
      <c r="FO23" s="4">
        <v>40</v>
      </c>
      <c r="FP23" s="4">
        <v>40</v>
      </c>
      <c r="FQ23" s="27"/>
      <c r="FR23" s="27"/>
      <c r="FS23" s="109"/>
      <c r="FT23" s="54">
        <f>NETWORKDAYS($I24,FO24)</f>
        <v>396</v>
      </c>
      <c r="FU23" s="54">
        <f>NETWORKDAYS($I24,FP24)</f>
        <v>396</v>
      </c>
      <c r="FV23" s="54">
        <f>IF(FQ24="",NETWORKDAYS($I24,FP24),NETWORKDAYS($I24,FQ24))</f>
        <v>396</v>
      </c>
      <c r="FW23" s="55" t="s">
        <v>464</v>
      </c>
    </row>
    <row r="24" spans="1:179" collapsed="1" x14ac:dyDescent="0.35">
      <c r="A24" s="23" t="s">
        <v>4</v>
      </c>
      <c r="B24" s="23">
        <v>107141</v>
      </c>
      <c r="C24" s="24" t="s">
        <v>487</v>
      </c>
      <c r="D24" s="65"/>
      <c r="E24" s="23" t="str">
        <f>IF(D24="","Unknown",IF(D24&lt;=FM24+90,"Red",IF(AND(D24&gt;FM24+90,D24&lt;=FM24+180),"Yellow",IF(AND(D24&gt;FM24+180,D24&lt;=FM24+690),"Green","Covered"))))</f>
        <v>Unknown</v>
      </c>
      <c r="F24" s="25" t="s">
        <v>466</v>
      </c>
      <c r="G24" s="26"/>
      <c r="H24" s="26" t="str">
        <f>IF(CR24="","Pre-Execution","Execution")</f>
        <v>Execution</v>
      </c>
      <c r="I24" s="13">
        <v>45814</v>
      </c>
      <c r="J24" s="28"/>
      <c r="K24" s="28"/>
      <c r="L24" s="28"/>
      <c r="M24" s="10">
        <v>45853</v>
      </c>
      <c r="N24" s="10">
        <f>WORKDAY(I24,N23)</f>
        <v>45853</v>
      </c>
      <c r="O24" s="56">
        <f>M24</f>
        <v>45853</v>
      </c>
      <c r="P24" s="10">
        <v>45853</v>
      </c>
      <c r="Q24" s="10">
        <f>IF(O24="",WORKDAY(N24,Q23),WORKDAY(O24,Q23))</f>
        <v>45853</v>
      </c>
      <c r="R24" s="56">
        <f>P24</f>
        <v>45853</v>
      </c>
      <c r="S24" s="28"/>
      <c r="T24" s="28"/>
      <c r="U24" s="28"/>
      <c r="V24" s="10">
        <v>45895</v>
      </c>
      <c r="W24" s="10">
        <f>IF(R24="",WORKDAY(Q24,W23),WORKDAY(R24,W23))</f>
        <v>45895</v>
      </c>
      <c r="X24" s="56"/>
      <c r="Y24" s="10">
        <v>45951</v>
      </c>
      <c r="Z24" s="10">
        <f>IF(R24="",WORKDAY(Q24,Z23),WORKDAY(R24,Z23))</f>
        <v>45951</v>
      </c>
      <c r="AA24" s="56"/>
      <c r="AB24" s="10">
        <v>45814</v>
      </c>
      <c r="AC24" s="10">
        <f>WORKDAY(I24,AC23)</f>
        <v>45814</v>
      </c>
      <c r="AD24" s="56"/>
      <c r="AE24" s="10">
        <v>45919</v>
      </c>
      <c r="AF24" s="10">
        <f>IF(AD24="",WORKDAY(AC24,AF23),WORKDAY(AD24,AF23))</f>
        <v>45919</v>
      </c>
      <c r="AG24" s="56"/>
      <c r="AH24" s="10">
        <v>45958</v>
      </c>
      <c r="AI24" s="10">
        <f>WORKDAY(IF(AA24="",IF(Z24&gt;AF24,Z24,AF24),IF(AA24&gt;AG24,AA24,AG24)),AI23)</f>
        <v>45958</v>
      </c>
      <c r="AJ24" s="56">
        <f>AH24</f>
        <v>45958</v>
      </c>
      <c r="AK24" s="10">
        <v>45986</v>
      </c>
      <c r="AL24" s="10">
        <f>IF(AJ24="",WORKDAY(AI24,AL23),WORKDAY(AJ24,AL23))</f>
        <v>45986</v>
      </c>
      <c r="AM24" s="56"/>
      <c r="AN24" s="10">
        <v>45986</v>
      </c>
      <c r="AO24" s="10">
        <f>IF(AM24="",WORKDAY(AL24,AO23),WORKDAY(AM24,AO23))</f>
        <v>45986</v>
      </c>
      <c r="AP24" s="56"/>
      <c r="AQ24" s="10">
        <v>46014</v>
      </c>
      <c r="AR24" s="10">
        <f>IF(AP24="",WORKDAY(AO24,AR23),WORKDAY(AP24,AR23))</f>
        <v>46014</v>
      </c>
      <c r="AS24" s="10">
        <f>AQ24</f>
        <v>46014</v>
      </c>
      <c r="AT24" s="10">
        <v>45993</v>
      </c>
      <c r="AU24" s="10">
        <v>45993</v>
      </c>
      <c r="AV24" s="56"/>
      <c r="AW24" s="10">
        <v>46028</v>
      </c>
      <c r="AX24" s="10">
        <f>IF(AS24="",IF(AR24&gt;AU24,WORKDAY(AR24,AX23),WORKDAY(AU24,AX23)),IF(AS24&gt;AV24,WORKDAY(AS24,AX23),WORKDAY(AV24,AX23)))</f>
        <v>46028</v>
      </c>
      <c r="AY24" s="56"/>
      <c r="AZ24" s="10">
        <v>46028</v>
      </c>
      <c r="BA24" s="10">
        <f>IF(AP24="",WORKDAY(AO24,BA23),WORKDAY(AP24,BA23))</f>
        <v>46028</v>
      </c>
      <c r="BB24" s="56"/>
      <c r="BC24" s="10">
        <v>46035</v>
      </c>
      <c r="BD24" s="10">
        <f>IF(AY24="",IF(AX24&gt;BA24,WORKDAY(AX24,BD23),WORKDAY(BA24,BD23)),IF(AY24&gt;BB24,WORKDAY(AY24,BD23),WORKDAY(BB24,BD23)))</f>
        <v>46035</v>
      </c>
      <c r="BE24" s="10">
        <f>IF(AZ24="",IF(AY24&gt;BB24,WORKDAY(AY24,BE23),WORKDAY(BB24,BE23)),IF(AZ24&gt;BC24,WORKDAY(AZ24,BE23),WORKDAY(BC24,BE23)))</f>
        <v>46035</v>
      </c>
      <c r="BF24" s="10">
        <v>46042</v>
      </c>
      <c r="BG24" s="10">
        <v>46042</v>
      </c>
      <c r="BH24" s="56">
        <f>BF24</f>
        <v>46042</v>
      </c>
      <c r="BI24" s="10">
        <v>46049</v>
      </c>
      <c r="BJ24" s="10">
        <f>IF(BH24="",WORKDAY(BG24,BJ23),WORKDAY(BH24,BJ23))</f>
        <v>46049</v>
      </c>
      <c r="BK24" s="56">
        <f>BI24</f>
        <v>46049</v>
      </c>
      <c r="BL24" s="28"/>
      <c r="BM24" s="28"/>
      <c r="BN24" s="28"/>
      <c r="BO24" s="28"/>
      <c r="BP24" s="28"/>
      <c r="BQ24" s="28"/>
      <c r="BR24" s="28"/>
      <c r="BS24" s="28"/>
      <c r="BT24" s="28"/>
      <c r="BU24" s="28"/>
      <c r="BV24" s="28"/>
      <c r="BW24" s="28"/>
      <c r="BX24" s="46"/>
      <c r="BY24" s="28"/>
      <c r="BZ24" s="28"/>
      <c r="CA24" s="28"/>
      <c r="CB24" s="28"/>
      <c r="CC24" s="28"/>
      <c r="CD24" s="28"/>
      <c r="CE24" s="28"/>
      <c r="CF24" s="28"/>
      <c r="CG24" s="28"/>
      <c r="CH24" s="28"/>
      <c r="CI24" s="28"/>
      <c r="CJ24" s="28"/>
      <c r="CK24" s="28"/>
      <c r="CL24" s="28"/>
      <c r="CM24" s="10">
        <v>46052</v>
      </c>
      <c r="CN24" s="10">
        <f>IF(BK24="",WORKDAY(BJ24,CN23),WORKDAY(BK24,CN23))</f>
        <v>46052</v>
      </c>
      <c r="CO24" s="56">
        <f>CM24</f>
        <v>46052</v>
      </c>
      <c r="CP24" s="10">
        <v>46059</v>
      </c>
      <c r="CQ24" s="10">
        <f>IF(CO24="",WORKDAY(CN24,CQ23),WORKDAY(CO24,CQ23))</f>
        <v>46059</v>
      </c>
      <c r="CR24" s="56">
        <f>CP24</f>
        <v>46059</v>
      </c>
      <c r="CS24" s="77" t="s">
        <v>479</v>
      </c>
      <c r="CT24" s="10">
        <v>46227</v>
      </c>
      <c r="CU24" s="10">
        <f>IF(CR24="",WORKDAY(CQ24,CU23),WORKDAY(CR24,CU23))</f>
        <v>46227</v>
      </c>
      <c r="CV24" s="56">
        <f>CT24</f>
        <v>46227</v>
      </c>
      <c r="CW24" s="10">
        <v>46042</v>
      </c>
      <c r="CX24" s="10">
        <f>IF(BB24="",WORKDAY(BA24,CX23),WORKDAY(BB24,CX23))</f>
        <v>46042</v>
      </c>
      <c r="CY24" s="56">
        <f>CW24</f>
        <v>46042</v>
      </c>
      <c r="CZ24" s="10">
        <v>46042</v>
      </c>
      <c r="DA24" s="10">
        <f>IF(CY24="",WORKDAY(CX24,DA23),WORKDAY(CY24,DA23))</f>
        <v>46042</v>
      </c>
      <c r="DB24" s="56">
        <f>CZ24</f>
        <v>46042</v>
      </c>
      <c r="DC24" s="45"/>
      <c r="DD24" s="45"/>
      <c r="DE24" s="45"/>
      <c r="DF24" s="10">
        <v>46255</v>
      </c>
      <c r="DG24" s="10">
        <f>IF($CV24="",IF($CU24&gt;$DA24,WORKDAY($CU24,DG23),WORKDAY($DA24,DG23)),IF($CV24&gt;$DB24,WORKDAY($CV24,DG23),WORKDAY($DB24,DG23)))</f>
        <v>46255</v>
      </c>
      <c r="DH24" s="56"/>
      <c r="DI24" s="46"/>
      <c r="DJ24" s="10">
        <v>46283</v>
      </c>
      <c r="DK24" s="10">
        <f>IF(DH24="",WORKDAY(DG24,DK23*$DI23),WORKDAY(DH24,DK23*$DI23))</f>
        <v>46283</v>
      </c>
      <c r="DL24" s="56"/>
      <c r="DM24" s="46"/>
      <c r="DN24" s="46"/>
      <c r="DO24" s="46"/>
      <c r="DP24" s="46"/>
      <c r="DQ24" s="46"/>
      <c r="DR24" s="46"/>
      <c r="DS24" s="46"/>
      <c r="DT24" s="46"/>
      <c r="DU24" s="46"/>
      <c r="DV24" s="46"/>
      <c r="DW24" s="46"/>
      <c r="DX24" s="46"/>
      <c r="DY24" s="46"/>
      <c r="DZ24" s="46"/>
      <c r="EA24" s="46"/>
      <c r="EB24" s="46"/>
      <c r="EC24" s="46"/>
      <c r="ED24" s="46"/>
      <c r="EE24" s="10">
        <v>46283</v>
      </c>
      <c r="EF24" s="10">
        <f>IF(DL24="",WORKDAY(DK24,EF23),WORKDAY(DL24,EF23))</f>
        <v>46283</v>
      </c>
      <c r="EG24" s="56"/>
      <c r="EH24" s="10">
        <v>46084</v>
      </c>
      <c r="EI24" s="10">
        <f>IF(BH24="",WORKDAY(BG24,EI23),WORKDAY(BH24,EI23))</f>
        <v>46084</v>
      </c>
      <c r="EJ24" s="56"/>
      <c r="EK24" s="27"/>
      <c r="EL24" s="27"/>
      <c r="EM24" s="27"/>
      <c r="EN24" s="27"/>
      <c r="EO24" s="28"/>
      <c r="EP24" s="28"/>
      <c r="EQ24" s="28"/>
      <c r="ER24" s="28"/>
      <c r="ES24" s="28"/>
      <c r="ET24" s="28"/>
      <c r="EU24" s="28"/>
      <c r="EV24" s="28"/>
      <c r="EW24" s="28"/>
      <c r="EX24" s="28"/>
      <c r="EY24" s="28"/>
      <c r="EZ24" s="10">
        <v>46290</v>
      </c>
      <c r="FA24" s="10">
        <f>IF(EG24="",WORKDAY(EF24,FA23),WORKDAY(EG24,FA23))</f>
        <v>46290</v>
      </c>
      <c r="FB24" s="56"/>
      <c r="FC24" s="28"/>
      <c r="FD24" s="28"/>
      <c r="FE24" s="28"/>
      <c r="FF24" s="28"/>
      <c r="FG24" s="28"/>
      <c r="FH24" s="28"/>
      <c r="FI24" s="10">
        <v>46311</v>
      </c>
      <c r="FJ24" s="10">
        <f>IF(FB24="",WORKDAY(FA24,FJ23),WORKDAY(FB24,FJ23))</f>
        <v>46311</v>
      </c>
      <c r="FK24" s="56"/>
      <c r="FL24" s="10">
        <v>46311</v>
      </c>
      <c r="FM24" s="10">
        <f>IF(FK24="",WORKDAY(FJ24,FM23),WORKDAY(FK24,FM23))</f>
        <v>46311</v>
      </c>
      <c r="FN24" s="56"/>
      <c r="FO24" s="10">
        <v>46367</v>
      </c>
      <c r="FP24" s="10">
        <f>WORKDAY(FM24,FP23)</f>
        <v>46367</v>
      </c>
      <c r="FQ24" s="10"/>
      <c r="FR24" s="77" t="str">
        <f>IF(NETWORKDAYS(FJ24,FO24)&gt;=30,"On-Track",IF(AND(NETWORKDAYS(FJ24,FO24)&lt;30,FJ24&lt;=FO24),"At Risk","Missed TCD"))</f>
        <v>On-Track</v>
      </c>
      <c r="FS24" s="110" t="s">
        <v>480</v>
      </c>
      <c r="FT24" s="57">
        <f>NETWORKDAYS(CP24,FI24)</f>
        <v>181</v>
      </c>
      <c r="FU24" s="57">
        <f>NETWORKDAYS(CQ24,FJ24)</f>
        <v>181</v>
      </c>
      <c r="FV24" s="57">
        <f>IF(BH24="",NETWORKDAYS(BG24,FJ24),IF(FK24="",NETWORKDAYS(BH24,FJ24),NETWORKDAYS(BH24,FK24)))</f>
        <v>194</v>
      </c>
      <c r="FW24" s="58" t="s">
        <v>467</v>
      </c>
    </row>
    <row r="25" spans="1:179" hidden="1" outlineLevel="1" x14ac:dyDescent="0.35">
      <c r="A25" s="23"/>
      <c r="B25" s="23">
        <v>107142</v>
      </c>
      <c r="C25" s="24" t="s">
        <v>488</v>
      </c>
      <c r="D25" s="95"/>
      <c r="E25" s="24"/>
      <c r="F25" s="25" t="s">
        <v>463</v>
      </c>
      <c r="G25" s="26"/>
      <c r="H25" s="26"/>
      <c r="I25" s="27"/>
      <c r="J25" s="27"/>
      <c r="K25" s="27"/>
      <c r="L25" s="27"/>
      <c r="M25" s="4">
        <v>27</v>
      </c>
      <c r="N25" s="4">
        <v>27</v>
      </c>
      <c r="O25" s="27"/>
      <c r="P25" s="4">
        <v>0</v>
      </c>
      <c r="Q25" s="4">
        <v>0</v>
      </c>
      <c r="R25" s="27"/>
      <c r="S25" s="27"/>
      <c r="T25" s="27"/>
      <c r="U25" s="27"/>
      <c r="V25" s="4">
        <v>30</v>
      </c>
      <c r="W25" s="4">
        <v>30</v>
      </c>
      <c r="X25" s="27"/>
      <c r="Y25" s="4">
        <v>70</v>
      </c>
      <c r="Z25" s="4">
        <v>70</v>
      </c>
      <c r="AA25" s="27"/>
      <c r="AB25" s="4">
        <v>0</v>
      </c>
      <c r="AC25" s="4">
        <v>0</v>
      </c>
      <c r="AD25" s="27"/>
      <c r="AE25" s="4">
        <v>75</v>
      </c>
      <c r="AF25" s="4">
        <v>75</v>
      </c>
      <c r="AG25" s="27"/>
      <c r="AH25" s="4">
        <v>5</v>
      </c>
      <c r="AI25" s="4">
        <v>5</v>
      </c>
      <c r="AJ25" s="27"/>
      <c r="AK25" s="4">
        <v>20</v>
      </c>
      <c r="AL25" s="4">
        <v>20</v>
      </c>
      <c r="AM25" s="27"/>
      <c r="AN25" s="4">
        <v>0</v>
      </c>
      <c r="AO25" s="4">
        <v>0</v>
      </c>
      <c r="AP25" s="27"/>
      <c r="AQ25" s="4">
        <v>20</v>
      </c>
      <c r="AR25" s="4">
        <v>20</v>
      </c>
      <c r="AS25" s="27"/>
      <c r="AT25" s="4">
        <v>5</v>
      </c>
      <c r="AU25" s="4">
        <v>5</v>
      </c>
      <c r="AV25" s="27"/>
      <c r="AW25" s="4">
        <v>10</v>
      </c>
      <c r="AX25" s="4">
        <v>10</v>
      </c>
      <c r="AY25" s="27"/>
      <c r="AZ25" s="4">
        <v>30</v>
      </c>
      <c r="BA25" s="4">
        <v>30</v>
      </c>
      <c r="BB25" s="27"/>
      <c r="BC25" s="4">
        <v>5</v>
      </c>
      <c r="BD25" s="4">
        <v>5</v>
      </c>
      <c r="BE25" s="27"/>
      <c r="BF25" s="4">
        <v>5</v>
      </c>
      <c r="BG25" s="4">
        <v>5</v>
      </c>
      <c r="BH25" s="27"/>
      <c r="BI25" s="4">
        <v>5</v>
      </c>
      <c r="BJ25" s="4">
        <v>5</v>
      </c>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4">
        <v>3</v>
      </c>
      <c r="CN25" s="4">
        <v>3</v>
      </c>
      <c r="CO25" s="27"/>
      <c r="CP25" s="4">
        <v>5</v>
      </c>
      <c r="CQ25" s="4">
        <v>5</v>
      </c>
      <c r="CR25" s="27"/>
      <c r="CS25" s="27"/>
      <c r="CT25" s="5">
        <v>120</v>
      </c>
      <c r="CU25" s="5">
        <v>120</v>
      </c>
      <c r="CV25" s="27"/>
      <c r="CW25" s="5">
        <v>10</v>
      </c>
      <c r="CX25" s="5">
        <v>10</v>
      </c>
      <c r="CY25" s="27"/>
      <c r="CZ25" s="5">
        <v>0</v>
      </c>
      <c r="DA25" s="5">
        <v>0</v>
      </c>
      <c r="DB25" s="27"/>
      <c r="DC25" s="31"/>
      <c r="DD25" s="31"/>
      <c r="DE25" s="31"/>
      <c r="DF25" s="4">
        <v>20</v>
      </c>
      <c r="DG25" s="4">
        <v>20</v>
      </c>
      <c r="DH25" s="27"/>
      <c r="DI25" s="89">
        <v>1</v>
      </c>
      <c r="DJ25" s="4">
        <v>20</v>
      </c>
      <c r="DK25" s="4">
        <v>20</v>
      </c>
      <c r="DL25" s="27"/>
      <c r="DM25" s="27"/>
      <c r="DN25" s="27"/>
      <c r="DO25" s="27"/>
      <c r="DP25" s="27"/>
      <c r="DQ25" s="27"/>
      <c r="DR25" s="27"/>
      <c r="DS25" s="27"/>
      <c r="DT25" s="27"/>
      <c r="DU25" s="27"/>
      <c r="DV25" s="27"/>
      <c r="DW25" s="27"/>
      <c r="DX25" s="27"/>
      <c r="DY25" s="27"/>
      <c r="DZ25" s="27"/>
      <c r="EA25" s="27"/>
      <c r="EB25" s="27"/>
      <c r="EC25" s="27"/>
      <c r="ED25" s="27"/>
      <c r="EE25" s="4">
        <v>0</v>
      </c>
      <c r="EF25" s="4">
        <v>0</v>
      </c>
      <c r="EG25" s="27"/>
      <c r="EH25" s="4">
        <v>30</v>
      </c>
      <c r="EI25" s="4">
        <v>30</v>
      </c>
      <c r="EJ25" s="27"/>
      <c r="EK25" s="27"/>
      <c r="EL25" s="27"/>
      <c r="EM25" s="27"/>
      <c r="EN25" s="27"/>
      <c r="EO25" s="27"/>
      <c r="EP25" s="27"/>
      <c r="EQ25" s="27"/>
      <c r="ER25" s="27"/>
      <c r="ES25" s="27"/>
      <c r="ET25" s="27"/>
      <c r="EU25" s="27"/>
      <c r="EV25" s="27"/>
      <c r="EW25" s="27"/>
      <c r="EX25" s="27"/>
      <c r="EY25" s="27"/>
      <c r="EZ25" s="4">
        <v>5</v>
      </c>
      <c r="FA25" s="4">
        <v>5</v>
      </c>
      <c r="FB25" s="27"/>
      <c r="FC25" s="27"/>
      <c r="FD25" s="27"/>
      <c r="FE25" s="27"/>
      <c r="FF25" s="27"/>
      <c r="FG25" s="27"/>
      <c r="FH25" s="27"/>
      <c r="FI25" s="4">
        <v>15</v>
      </c>
      <c r="FJ25" s="4">
        <v>15</v>
      </c>
      <c r="FK25" s="27"/>
      <c r="FL25" s="4">
        <v>0</v>
      </c>
      <c r="FM25" s="4">
        <v>0</v>
      </c>
      <c r="FN25" s="27"/>
      <c r="FO25" s="4">
        <v>40</v>
      </c>
      <c r="FP25" s="4">
        <v>40</v>
      </c>
      <c r="FQ25" s="27"/>
      <c r="FR25" s="27"/>
      <c r="FS25" s="109"/>
      <c r="FT25" s="54">
        <f>NETWORKDAYS($I26,FO26)</f>
        <v>396</v>
      </c>
      <c r="FU25" s="54">
        <f>NETWORKDAYS($I26,FP26)</f>
        <v>396</v>
      </c>
      <c r="FV25" s="54">
        <f>IF(FQ26="",NETWORKDAYS($I26,FP26),NETWORKDAYS($I26,FQ26))</f>
        <v>396</v>
      </c>
      <c r="FW25" s="55" t="s">
        <v>464</v>
      </c>
    </row>
    <row r="26" spans="1:179" collapsed="1" x14ac:dyDescent="0.35">
      <c r="A26" s="23" t="s">
        <v>4</v>
      </c>
      <c r="B26" s="23">
        <v>107142</v>
      </c>
      <c r="C26" s="24" t="s">
        <v>488</v>
      </c>
      <c r="D26" s="65"/>
      <c r="E26" s="23" t="str">
        <f>IF(D26="","Unknown",IF(D26&lt;=FM26+90,"Red",IF(AND(D26&gt;FM26+90,D26&lt;=FM26+180),"Yellow",IF(AND(D26&gt;FM26+180,D26&lt;=FM26+690),"Green","Covered"))))</f>
        <v>Unknown</v>
      </c>
      <c r="F26" s="25" t="s">
        <v>466</v>
      </c>
      <c r="G26" s="26"/>
      <c r="H26" s="26" t="str">
        <f>IF(CR26="","Pre-Execution","Execution")</f>
        <v>Execution</v>
      </c>
      <c r="I26" s="13">
        <v>45814</v>
      </c>
      <c r="J26" s="28"/>
      <c r="K26" s="28"/>
      <c r="L26" s="28"/>
      <c r="M26" s="10">
        <v>45853</v>
      </c>
      <c r="N26" s="10">
        <f>WORKDAY(I26,N25)</f>
        <v>45853</v>
      </c>
      <c r="O26" s="56">
        <f>M26</f>
        <v>45853</v>
      </c>
      <c r="P26" s="10">
        <v>45853</v>
      </c>
      <c r="Q26" s="10">
        <f>IF(O26="",WORKDAY(N26,Q25),WORKDAY(O26,Q25))</f>
        <v>45853</v>
      </c>
      <c r="R26" s="56">
        <f>P26</f>
        <v>45853</v>
      </c>
      <c r="S26" s="28"/>
      <c r="T26" s="28"/>
      <c r="U26" s="28"/>
      <c r="V26" s="10">
        <v>45895</v>
      </c>
      <c r="W26" s="10">
        <f>IF(R26="",WORKDAY(Q26,W25),WORKDAY(R26,W25))</f>
        <v>45895</v>
      </c>
      <c r="X26" s="56"/>
      <c r="Y26" s="10">
        <v>45951</v>
      </c>
      <c r="Z26" s="10">
        <f>IF(R26="",WORKDAY(Q26,Z25),WORKDAY(R26,Z25))</f>
        <v>45951</v>
      </c>
      <c r="AA26" s="56"/>
      <c r="AB26" s="10">
        <v>45814</v>
      </c>
      <c r="AC26" s="10">
        <f>WORKDAY(I26,AC25)</f>
        <v>45814</v>
      </c>
      <c r="AD26" s="56"/>
      <c r="AE26" s="10">
        <v>45919</v>
      </c>
      <c r="AF26" s="10">
        <f>IF(AD26="",WORKDAY(AC26,AF25),WORKDAY(AD26,AF25))</f>
        <v>45919</v>
      </c>
      <c r="AG26" s="56"/>
      <c r="AH26" s="10">
        <v>45958</v>
      </c>
      <c r="AI26" s="10">
        <f>WORKDAY(IF(AA26="",IF(Z26&gt;AF26,Z26,AF26),IF(AA26&gt;AG26,AA26,AG26)),AI25)</f>
        <v>45958</v>
      </c>
      <c r="AJ26" s="56">
        <f>AH26</f>
        <v>45958</v>
      </c>
      <c r="AK26" s="10">
        <v>45986</v>
      </c>
      <c r="AL26" s="10">
        <f>IF(AJ26="",WORKDAY(AI26,AL25),WORKDAY(AJ26,AL25))</f>
        <v>45986</v>
      </c>
      <c r="AM26" s="56"/>
      <c r="AN26" s="10">
        <v>45986</v>
      </c>
      <c r="AO26" s="10">
        <f>IF(AM26="",WORKDAY(AL26,AO25),WORKDAY(AM26,AO25))</f>
        <v>45986</v>
      </c>
      <c r="AP26" s="56"/>
      <c r="AQ26" s="10">
        <v>46014</v>
      </c>
      <c r="AR26" s="10">
        <f>IF(AP26="",WORKDAY(AO26,AR25),WORKDAY(AP26,AR25))</f>
        <v>46014</v>
      </c>
      <c r="AS26" s="10">
        <f>AQ26</f>
        <v>46014</v>
      </c>
      <c r="AT26" s="10">
        <v>45993</v>
      </c>
      <c r="AU26" s="10">
        <v>45993</v>
      </c>
      <c r="AV26" s="56"/>
      <c r="AW26" s="10">
        <v>46028</v>
      </c>
      <c r="AX26" s="10">
        <f>IF(AS26="",IF(AR26&gt;AU26,WORKDAY(AR26,AX25),WORKDAY(AU26,AX25)),IF(AS26&gt;AV26,WORKDAY(AS26,AX25),WORKDAY(AV26,AX25)))</f>
        <v>46028</v>
      </c>
      <c r="AY26" s="56"/>
      <c r="AZ26" s="10">
        <v>46028</v>
      </c>
      <c r="BA26" s="10">
        <f>IF(AP26="",WORKDAY(AO26,BA25),WORKDAY(AP26,BA25))</f>
        <v>46028</v>
      </c>
      <c r="BB26" s="56"/>
      <c r="BC26" s="10">
        <v>46035</v>
      </c>
      <c r="BD26" s="10">
        <f>IF(AY26="",IF(AX26&gt;BA26,WORKDAY(AX26,BD25),WORKDAY(BA26,BD25)),IF(AY26&gt;BB26,WORKDAY(AY26,BD25),WORKDAY(BB26,BD25)))</f>
        <v>46035</v>
      </c>
      <c r="BE26" s="10">
        <f>IF(AZ26="",IF(AY26&gt;BB26,WORKDAY(AY26,BE25),WORKDAY(BB26,BE25)),IF(AZ26&gt;BC26,WORKDAY(AZ26,BE25),WORKDAY(BC26,BE25)))</f>
        <v>46035</v>
      </c>
      <c r="BF26" s="10">
        <v>46042</v>
      </c>
      <c r="BG26" s="10">
        <v>46042</v>
      </c>
      <c r="BH26" s="56">
        <f>BF26</f>
        <v>46042</v>
      </c>
      <c r="BI26" s="10">
        <v>46049</v>
      </c>
      <c r="BJ26" s="10">
        <f>IF(BH26="",WORKDAY(BG26,BJ25),WORKDAY(BH26,BJ25))</f>
        <v>46049</v>
      </c>
      <c r="BK26" s="56">
        <f>BI26</f>
        <v>46049</v>
      </c>
      <c r="BL26" s="28"/>
      <c r="BM26" s="28"/>
      <c r="BN26" s="28"/>
      <c r="BO26" s="28"/>
      <c r="BP26" s="28"/>
      <c r="BQ26" s="28"/>
      <c r="BR26" s="28"/>
      <c r="BS26" s="28"/>
      <c r="BT26" s="28"/>
      <c r="BU26" s="28"/>
      <c r="BV26" s="28"/>
      <c r="BW26" s="28"/>
      <c r="BX26" s="46"/>
      <c r="BY26" s="28"/>
      <c r="BZ26" s="28"/>
      <c r="CA26" s="28"/>
      <c r="CB26" s="28"/>
      <c r="CC26" s="28"/>
      <c r="CD26" s="28"/>
      <c r="CE26" s="28"/>
      <c r="CF26" s="28"/>
      <c r="CG26" s="28"/>
      <c r="CH26" s="28"/>
      <c r="CI26" s="28"/>
      <c r="CJ26" s="28"/>
      <c r="CK26" s="28"/>
      <c r="CL26" s="28"/>
      <c r="CM26" s="10">
        <v>46052</v>
      </c>
      <c r="CN26" s="10">
        <f>IF(BK26="",WORKDAY(BJ26,CN25),WORKDAY(BK26,CN25))</f>
        <v>46052</v>
      </c>
      <c r="CO26" s="56">
        <f>CM26</f>
        <v>46052</v>
      </c>
      <c r="CP26" s="10">
        <v>46059</v>
      </c>
      <c r="CQ26" s="10">
        <f>IF(CO26="",WORKDAY(CN26,CQ25),WORKDAY(CO26,CQ25))</f>
        <v>46059</v>
      </c>
      <c r="CR26" s="56">
        <f>CP26</f>
        <v>46059</v>
      </c>
      <c r="CS26" s="77" t="s">
        <v>479</v>
      </c>
      <c r="CT26" s="10">
        <v>46227</v>
      </c>
      <c r="CU26" s="10">
        <f>IF(CR26="",WORKDAY(CQ26,CU25),WORKDAY(CR26,CU25))</f>
        <v>46227</v>
      </c>
      <c r="CV26" s="56">
        <f>CT26</f>
        <v>46227</v>
      </c>
      <c r="CW26" s="10">
        <v>46042</v>
      </c>
      <c r="CX26" s="10">
        <f>IF(BB26="",WORKDAY(BA26,CX25),WORKDAY(BB26,CX25))</f>
        <v>46042</v>
      </c>
      <c r="CY26" s="56">
        <f>CW26</f>
        <v>46042</v>
      </c>
      <c r="CZ26" s="10">
        <v>46042</v>
      </c>
      <c r="DA26" s="10">
        <f>IF(CY26="",WORKDAY(CX26,DA25),WORKDAY(CY26,DA25))</f>
        <v>46042</v>
      </c>
      <c r="DB26" s="56">
        <f>CZ26</f>
        <v>46042</v>
      </c>
      <c r="DC26" s="45"/>
      <c r="DD26" s="45"/>
      <c r="DE26" s="45"/>
      <c r="DF26" s="10">
        <v>46255</v>
      </c>
      <c r="DG26" s="10">
        <f>IF($CV26="",IF($CU26&gt;$DA26,WORKDAY($CU26,DG25),WORKDAY($DA26,DG25)),IF($CV26&gt;$DB26,WORKDAY($CV26,DG25),WORKDAY($DB26,DG25)))</f>
        <v>46255</v>
      </c>
      <c r="DH26" s="56"/>
      <c r="DI26" s="46"/>
      <c r="DJ26" s="10">
        <v>46283</v>
      </c>
      <c r="DK26" s="10">
        <f>IF(DH26="",WORKDAY(DG26,DK25*$DI25),WORKDAY(DH26,DK25*$DI25))</f>
        <v>46283</v>
      </c>
      <c r="DL26" s="56"/>
      <c r="DM26" s="46"/>
      <c r="DN26" s="46"/>
      <c r="DO26" s="46"/>
      <c r="DP26" s="46"/>
      <c r="DQ26" s="46"/>
      <c r="DR26" s="46"/>
      <c r="DS26" s="46"/>
      <c r="DT26" s="46"/>
      <c r="DU26" s="46"/>
      <c r="DV26" s="46"/>
      <c r="DW26" s="46"/>
      <c r="DX26" s="46"/>
      <c r="DY26" s="46"/>
      <c r="DZ26" s="46"/>
      <c r="EA26" s="46"/>
      <c r="EB26" s="46"/>
      <c r="EC26" s="46"/>
      <c r="ED26" s="46"/>
      <c r="EE26" s="10">
        <v>46283</v>
      </c>
      <c r="EF26" s="10">
        <f>IF(DL26="",WORKDAY(DK26,EF25),WORKDAY(DL26,EF25))</f>
        <v>46283</v>
      </c>
      <c r="EG26" s="56"/>
      <c r="EH26" s="10">
        <v>46084</v>
      </c>
      <c r="EI26" s="10">
        <f>IF(BH26="",WORKDAY(BG26,EI25),WORKDAY(BH26,EI25))</f>
        <v>46084</v>
      </c>
      <c r="EJ26" s="56"/>
      <c r="EK26" s="27"/>
      <c r="EL26" s="27"/>
      <c r="EM26" s="27"/>
      <c r="EN26" s="27"/>
      <c r="EO26" s="28"/>
      <c r="EP26" s="28"/>
      <c r="EQ26" s="28"/>
      <c r="ER26" s="28"/>
      <c r="ES26" s="28"/>
      <c r="ET26" s="28"/>
      <c r="EU26" s="28"/>
      <c r="EV26" s="28"/>
      <c r="EW26" s="28"/>
      <c r="EX26" s="28"/>
      <c r="EY26" s="28"/>
      <c r="EZ26" s="10">
        <v>46290</v>
      </c>
      <c r="FA26" s="10">
        <f>IF(EG26="",WORKDAY(EF26,FA25),WORKDAY(EG26,FA25))</f>
        <v>46290</v>
      </c>
      <c r="FB26" s="56"/>
      <c r="FC26" s="28"/>
      <c r="FD26" s="28"/>
      <c r="FE26" s="28"/>
      <c r="FF26" s="28"/>
      <c r="FG26" s="28"/>
      <c r="FH26" s="28"/>
      <c r="FI26" s="10">
        <v>46311</v>
      </c>
      <c r="FJ26" s="10">
        <f>IF(FB26="",WORKDAY(FA26,FJ25),WORKDAY(FB26,FJ25))</f>
        <v>46311</v>
      </c>
      <c r="FK26" s="56"/>
      <c r="FL26" s="10">
        <v>46311</v>
      </c>
      <c r="FM26" s="10">
        <f>IF(FK26="",WORKDAY(FJ26,FM25),WORKDAY(FK26,FM25))</f>
        <v>46311</v>
      </c>
      <c r="FN26" s="56"/>
      <c r="FO26" s="10">
        <v>46367</v>
      </c>
      <c r="FP26" s="10">
        <f>WORKDAY(FM26,FP25)</f>
        <v>46367</v>
      </c>
      <c r="FQ26" s="10"/>
      <c r="FR26" s="77" t="str">
        <f>IF(NETWORKDAYS(FJ26,FO26)&gt;=30,"On-Track",IF(AND(NETWORKDAYS(FJ26,FO26)&lt;30,FJ26&lt;=FO26),"At Risk","Missed TCD"))</f>
        <v>On-Track</v>
      </c>
      <c r="FS26" s="110" t="s">
        <v>480</v>
      </c>
      <c r="FT26" s="57">
        <f>NETWORKDAYS(CP26,FI26)</f>
        <v>181</v>
      </c>
      <c r="FU26" s="57">
        <f>NETWORKDAYS(CQ26,FJ26)</f>
        <v>181</v>
      </c>
      <c r="FV26" s="57">
        <f>IF(BH26="",NETWORKDAYS(BG26,FJ26),IF(FK26="",NETWORKDAYS(BH26,FJ26),NETWORKDAYS(BH26,FK26)))</f>
        <v>194</v>
      </c>
      <c r="FW26" s="58" t="s">
        <v>467</v>
      </c>
    </row>
    <row r="27" spans="1:179" hidden="1" outlineLevel="1" x14ac:dyDescent="0.35">
      <c r="A27" s="23"/>
      <c r="B27" s="23">
        <v>107143</v>
      </c>
      <c r="C27" s="24" t="s">
        <v>489</v>
      </c>
      <c r="D27" s="95"/>
      <c r="E27" s="24"/>
      <c r="F27" s="25" t="s">
        <v>463</v>
      </c>
      <c r="G27" s="26"/>
      <c r="H27" s="26"/>
      <c r="I27" s="27"/>
      <c r="J27" s="27"/>
      <c r="K27" s="27"/>
      <c r="L27" s="27"/>
      <c r="M27" s="4">
        <v>27</v>
      </c>
      <c r="N27" s="4">
        <v>27</v>
      </c>
      <c r="O27" s="27"/>
      <c r="P27" s="4">
        <v>0</v>
      </c>
      <c r="Q27" s="4">
        <v>0</v>
      </c>
      <c r="R27" s="27"/>
      <c r="S27" s="27"/>
      <c r="T27" s="27"/>
      <c r="U27" s="27"/>
      <c r="V27" s="4">
        <v>30</v>
      </c>
      <c r="W27" s="4">
        <v>30</v>
      </c>
      <c r="X27" s="27"/>
      <c r="Y27" s="4">
        <v>70</v>
      </c>
      <c r="Z27" s="4">
        <v>70</v>
      </c>
      <c r="AA27" s="27"/>
      <c r="AB27" s="4">
        <v>0</v>
      </c>
      <c r="AC27" s="4">
        <v>0</v>
      </c>
      <c r="AD27" s="27"/>
      <c r="AE27" s="4">
        <v>75</v>
      </c>
      <c r="AF27" s="4">
        <v>75</v>
      </c>
      <c r="AG27" s="27"/>
      <c r="AH27" s="4">
        <v>5</v>
      </c>
      <c r="AI27" s="4">
        <v>5</v>
      </c>
      <c r="AJ27" s="27"/>
      <c r="AK27" s="4">
        <v>20</v>
      </c>
      <c r="AL27" s="4">
        <v>20</v>
      </c>
      <c r="AM27" s="27"/>
      <c r="AN27" s="4">
        <v>0</v>
      </c>
      <c r="AO27" s="4">
        <v>0</v>
      </c>
      <c r="AP27" s="27"/>
      <c r="AQ27" s="4">
        <v>20</v>
      </c>
      <c r="AR27" s="4">
        <v>20</v>
      </c>
      <c r="AS27" s="27"/>
      <c r="AT27" s="4">
        <v>5</v>
      </c>
      <c r="AU27" s="4">
        <v>5</v>
      </c>
      <c r="AV27" s="27"/>
      <c r="AW27" s="4">
        <v>10</v>
      </c>
      <c r="AX27" s="4">
        <v>10</v>
      </c>
      <c r="AY27" s="27"/>
      <c r="AZ27" s="4">
        <v>30</v>
      </c>
      <c r="BA27" s="4">
        <v>30</v>
      </c>
      <c r="BB27" s="27"/>
      <c r="BC27" s="4">
        <v>5</v>
      </c>
      <c r="BD27" s="4">
        <v>5</v>
      </c>
      <c r="BE27" s="27"/>
      <c r="BF27" s="4">
        <v>5</v>
      </c>
      <c r="BG27" s="4">
        <v>5</v>
      </c>
      <c r="BH27" s="27"/>
      <c r="BI27" s="4">
        <v>5</v>
      </c>
      <c r="BJ27" s="4">
        <v>5</v>
      </c>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4">
        <v>3</v>
      </c>
      <c r="CN27" s="4">
        <v>3</v>
      </c>
      <c r="CO27" s="27"/>
      <c r="CP27" s="4">
        <v>5</v>
      </c>
      <c r="CQ27" s="4">
        <v>5</v>
      </c>
      <c r="CR27" s="27"/>
      <c r="CS27" s="27"/>
      <c r="CT27" s="5">
        <v>120</v>
      </c>
      <c r="CU27" s="5">
        <v>120</v>
      </c>
      <c r="CV27" s="27"/>
      <c r="CW27" s="5">
        <v>10</v>
      </c>
      <c r="CX27" s="5">
        <v>10</v>
      </c>
      <c r="CY27" s="27"/>
      <c r="CZ27" s="5">
        <v>0</v>
      </c>
      <c r="DA27" s="5">
        <v>0</v>
      </c>
      <c r="DB27" s="27"/>
      <c r="DC27" s="31"/>
      <c r="DD27" s="31"/>
      <c r="DE27" s="31"/>
      <c r="DF27" s="4">
        <v>20</v>
      </c>
      <c r="DG27" s="4">
        <v>20</v>
      </c>
      <c r="DH27" s="27"/>
      <c r="DI27" s="89">
        <v>1</v>
      </c>
      <c r="DJ27" s="4">
        <v>20</v>
      </c>
      <c r="DK27" s="4">
        <v>20</v>
      </c>
      <c r="DL27" s="27"/>
      <c r="DM27" s="27"/>
      <c r="DN27" s="27"/>
      <c r="DO27" s="27"/>
      <c r="DP27" s="27"/>
      <c r="DQ27" s="27"/>
      <c r="DR27" s="27"/>
      <c r="DS27" s="27"/>
      <c r="DT27" s="27"/>
      <c r="DU27" s="27"/>
      <c r="DV27" s="27"/>
      <c r="DW27" s="27"/>
      <c r="DX27" s="27"/>
      <c r="DY27" s="27"/>
      <c r="DZ27" s="27"/>
      <c r="EA27" s="27"/>
      <c r="EB27" s="27"/>
      <c r="EC27" s="27"/>
      <c r="ED27" s="27"/>
      <c r="EE27" s="4">
        <v>0</v>
      </c>
      <c r="EF27" s="4">
        <v>0</v>
      </c>
      <c r="EG27" s="27"/>
      <c r="EH27" s="4">
        <v>30</v>
      </c>
      <c r="EI27" s="4">
        <v>30</v>
      </c>
      <c r="EJ27" s="27"/>
      <c r="EK27" s="27"/>
      <c r="EL27" s="27"/>
      <c r="EM27" s="27"/>
      <c r="EN27" s="27"/>
      <c r="EO27" s="27"/>
      <c r="EP27" s="27"/>
      <c r="EQ27" s="27"/>
      <c r="ER27" s="27"/>
      <c r="ES27" s="27"/>
      <c r="ET27" s="27"/>
      <c r="EU27" s="27"/>
      <c r="EV27" s="27"/>
      <c r="EW27" s="27"/>
      <c r="EX27" s="27"/>
      <c r="EY27" s="27"/>
      <c r="EZ27" s="4">
        <v>5</v>
      </c>
      <c r="FA27" s="4">
        <v>5</v>
      </c>
      <c r="FB27" s="27"/>
      <c r="FC27" s="27"/>
      <c r="FD27" s="27"/>
      <c r="FE27" s="27"/>
      <c r="FF27" s="27"/>
      <c r="FG27" s="27"/>
      <c r="FH27" s="27"/>
      <c r="FI27" s="4">
        <v>15</v>
      </c>
      <c r="FJ27" s="4">
        <v>15</v>
      </c>
      <c r="FK27" s="27"/>
      <c r="FL27" s="4">
        <v>0</v>
      </c>
      <c r="FM27" s="4">
        <v>0</v>
      </c>
      <c r="FN27" s="27"/>
      <c r="FO27" s="4">
        <v>40</v>
      </c>
      <c r="FP27" s="4">
        <v>40</v>
      </c>
      <c r="FQ27" s="27"/>
      <c r="FR27" s="27"/>
      <c r="FS27" s="109"/>
      <c r="FT27" s="54">
        <f>NETWORKDAYS($I28,FO28)</f>
        <v>396</v>
      </c>
      <c r="FU27" s="54">
        <f>NETWORKDAYS($I28,FP28)</f>
        <v>396</v>
      </c>
      <c r="FV27" s="54">
        <f>IF(FQ28="",NETWORKDAYS($I28,FP28),NETWORKDAYS($I28,FQ28))</f>
        <v>396</v>
      </c>
      <c r="FW27" s="55" t="s">
        <v>464</v>
      </c>
    </row>
    <row r="28" spans="1:179" collapsed="1" x14ac:dyDescent="0.35">
      <c r="A28" s="23" t="s">
        <v>4</v>
      </c>
      <c r="B28" s="23">
        <v>107143</v>
      </c>
      <c r="C28" s="24" t="s">
        <v>489</v>
      </c>
      <c r="D28" s="65"/>
      <c r="E28" s="23" t="str">
        <f>IF(D28="","Unknown",IF(D28&lt;=FM28+90,"Red",IF(AND(D28&gt;FM28+90,D28&lt;=FM28+180),"Yellow",IF(AND(D28&gt;FM28+180,D28&lt;=FM28+690),"Green","Covered"))))</f>
        <v>Unknown</v>
      </c>
      <c r="F28" s="25" t="s">
        <v>466</v>
      </c>
      <c r="G28" s="26"/>
      <c r="H28" s="26" t="str">
        <f>IF(CR28="","Pre-Execution","Execution")</f>
        <v>Execution</v>
      </c>
      <c r="I28" s="13">
        <v>45814</v>
      </c>
      <c r="J28" s="28"/>
      <c r="K28" s="28"/>
      <c r="L28" s="28"/>
      <c r="M28" s="10">
        <v>45853</v>
      </c>
      <c r="N28" s="10">
        <f>WORKDAY(I28,N27)</f>
        <v>45853</v>
      </c>
      <c r="O28" s="56">
        <f>M28</f>
        <v>45853</v>
      </c>
      <c r="P28" s="10">
        <v>45853</v>
      </c>
      <c r="Q28" s="10">
        <f>IF(O28="",WORKDAY(N28,Q27),WORKDAY(O28,Q27))</f>
        <v>45853</v>
      </c>
      <c r="R28" s="56">
        <f>P28</f>
        <v>45853</v>
      </c>
      <c r="S28" s="28"/>
      <c r="T28" s="28"/>
      <c r="U28" s="28"/>
      <c r="V28" s="10">
        <v>45895</v>
      </c>
      <c r="W28" s="10">
        <f>IF(R28="",WORKDAY(Q28,W27),WORKDAY(R28,W27))</f>
        <v>45895</v>
      </c>
      <c r="X28" s="56"/>
      <c r="Y28" s="10">
        <v>45951</v>
      </c>
      <c r="Z28" s="10">
        <f>IF(R28="",WORKDAY(Q28,Z27),WORKDAY(R28,Z27))</f>
        <v>45951</v>
      </c>
      <c r="AA28" s="56"/>
      <c r="AB28" s="10">
        <v>45814</v>
      </c>
      <c r="AC28" s="10">
        <f>WORKDAY(I28,AC27)</f>
        <v>45814</v>
      </c>
      <c r="AD28" s="56"/>
      <c r="AE28" s="10">
        <v>45919</v>
      </c>
      <c r="AF28" s="10">
        <f>IF(AD28="",WORKDAY(AC28,AF27),WORKDAY(AD28,AF27))</f>
        <v>45919</v>
      </c>
      <c r="AG28" s="56"/>
      <c r="AH28" s="10">
        <v>45958</v>
      </c>
      <c r="AI28" s="10">
        <f>WORKDAY(IF(AA28="",IF(Z28&gt;AF28,Z28,AF28),IF(AA28&gt;AG28,AA28,AG28)),AI27)</f>
        <v>45958</v>
      </c>
      <c r="AJ28" s="56">
        <f>AH28</f>
        <v>45958</v>
      </c>
      <c r="AK28" s="10">
        <v>45986</v>
      </c>
      <c r="AL28" s="10">
        <f>IF(AJ28="",WORKDAY(AI28,AL27),WORKDAY(AJ28,AL27))</f>
        <v>45986</v>
      </c>
      <c r="AM28" s="56"/>
      <c r="AN28" s="10">
        <v>45986</v>
      </c>
      <c r="AO28" s="10">
        <f>IF(AM28="",WORKDAY(AL28,AO27),WORKDAY(AM28,AO27))</f>
        <v>45986</v>
      </c>
      <c r="AP28" s="56"/>
      <c r="AQ28" s="10">
        <v>46014</v>
      </c>
      <c r="AR28" s="10">
        <f>IF(AP28="",WORKDAY(AO28,AR27),WORKDAY(AP28,AR27))</f>
        <v>46014</v>
      </c>
      <c r="AS28" s="10">
        <f>AQ28</f>
        <v>46014</v>
      </c>
      <c r="AT28" s="10">
        <v>45993</v>
      </c>
      <c r="AU28" s="10">
        <v>45993</v>
      </c>
      <c r="AV28" s="56"/>
      <c r="AW28" s="10">
        <v>46028</v>
      </c>
      <c r="AX28" s="10">
        <f>IF(AS28="",IF(AR28&gt;AU28,WORKDAY(AR28,AX27),WORKDAY(AU28,AX27)),IF(AS28&gt;AV28,WORKDAY(AS28,AX27),WORKDAY(AV28,AX27)))</f>
        <v>46028</v>
      </c>
      <c r="AY28" s="56"/>
      <c r="AZ28" s="10">
        <v>46028</v>
      </c>
      <c r="BA28" s="10">
        <f>IF(AP28="",WORKDAY(AO28,BA27),WORKDAY(AP28,BA27))</f>
        <v>46028</v>
      </c>
      <c r="BB28" s="56"/>
      <c r="BC28" s="10">
        <v>46035</v>
      </c>
      <c r="BD28" s="10">
        <f>IF(AY28="",IF(AX28&gt;BA28,WORKDAY(AX28,BD27),WORKDAY(BA28,BD27)),IF(AY28&gt;BB28,WORKDAY(AY28,BD27),WORKDAY(BB28,BD27)))</f>
        <v>46035</v>
      </c>
      <c r="BE28" s="10">
        <f>IF(AZ28="",IF(AY28&gt;BB28,WORKDAY(AY28,BE27),WORKDAY(BB28,BE27)),IF(AZ28&gt;BC28,WORKDAY(AZ28,BE27),WORKDAY(BC28,BE27)))</f>
        <v>46035</v>
      </c>
      <c r="BF28" s="10">
        <v>46042</v>
      </c>
      <c r="BG28" s="10">
        <v>46042</v>
      </c>
      <c r="BH28" s="56">
        <f>BF28</f>
        <v>46042</v>
      </c>
      <c r="BI28" s="10">
        <v>46049</v>
      </c>
      <c r="BJ28" s="10">
        <f>IF(BH28="",WORKDAY(BG28,BJ27),WORKDAY(BH28,BJ27))</f>
        <v>46049</v>
      </c>
      <c r="BK28" s="56">
        <f>BI28</f>
        <v>46049</v>
      </c>
      <c r="BL28" s="28"/>
      <c r="BM28" s="28"/>
      <c r="BN28" s="28"/>
      <c r="BO28" s="28"/>
      <c r="BP28" s="28"/>
      <c r="BQ28" s="28"/>
      <c r="BR28" s="28"/>
      <c r="BS28" s="28"/>
      <c r="BT28" s="28"/>
      <c r="BU28" s="28"/>
      <c r="BV28" s="28"/>
      <c r="BW28" s="28"/>
      <c r="BX28" s="46"/>
      <c r="BY28" s="28"/>
      <c r="BZ28" s="28"/>
      <c r="CA28" s="28"/>
      <c r="CB28" s="28"/>
      <c r="CC28" s="28"/>
      <c r="CD28" s="28"/>
      <c r="CE28" s="28"/>
      <c r="CF28" s="28"/>
      <c r="CG28" s="28"/>
      <c r="CH28" s="28"/>
      <c r="CI28" s="28"/>
      <c r="CJ28" s="28"/>
      <c r="CK28" s="28"/>
      <c r="CL28" s="28"/>
      <c r="CM28" s="10">
        <v>46052</v>
      </c>
      <c r="CN28" s="10">
        <f>IF(BK28="",WORKDAY(BJ28,CN27),WORKDAY(BK28,CN27))</f>
        <v>46052</v>
      </c>
      <c r="CO28" s="56">
        <f>CM28</f>
        <v>46052</v>
      </c>
      <c r="CP28" s="10">
        <v>46059</v>
      </c>
      <c r="CQ28" s="10">
        <f>IF(CO28="",WORKDAY(CN28,CQ27),WORKDAY(CO28,CQ27))</f>
        <v>46059</v>
      </c>
      <c r="CR28" s="56">
        <f>CP28</f>
        <v>46059</v>
      </c>
      <c r="CS28" s="77" t="s">
        <v>479</v>
      </c>
      <c r="CT28" s="10">
        <v>46227</v>
      </c>
      <c r="CU28" s="10">
        <f>IF(CR28="",WORKDAY(CQ28,CU27),WORKDAY(CR28,CU27))</f>
        <v>46227</v>
      </c>
      <c r="CV28" s="56">
        <f>CT28</f>
        <v>46227</v>
      </c>
      <c r="CW28" s="10">
        <v>46042</v>
      </c>
      <c r="CX28" s="10">
        <f>IF(BB28="",WORKDAY(BA28,CX27),WORKDAY(BB28,CX27))</f>
        <v>46042</v>
      </c>
      <c r="CY28" s="56">
        <f>CW28</f>
        <v>46042</v>
      </c>
      <c r="CZ28" s="10">
        <v>46042</v>
      </c>
      <c r="DA28" s="10">
        <f>IF(CY28="",WORKDAY(CX28,DA27),WORKDAY(CY28,DA27))</f>
        <v>46042</v>
      </c>
      <c r="DB28" s="56">
        <f>CZ28</f>
        <v>46042</v>
      </c>
      <c r="DC28" s="45"/>
      <c r="DD28" s="45"/>
      <c r="DE28" s="45"/>
      <c r="DF28" s="10">
        <v>46255</v>
      </c>
      <c r="DG28" s="10">
        <f>IF($CV28="",IF($CU28&gt;$DA28,WORKDAY($CU28,DG27),WORKDAY($DA28,DG27)),IF($CV28&gt;$DB28,WORKDAY($CV28,DG27),WORKDAY($DB28,DG27)))</f>
        <v>46255</v>
      </c>
      <c r="DH28" s="56"/>
      <c r="DI28" s="46"/>
      <c r="DJ28" s="10">
        <v>46283</v>
      </c>
      <c r="DK28" s="10">
        <f>IF(DH28="",WORKDAY(DG28,DK27*$DI27),WORKDAY(DH28,DK27*$DI27))</f>
        <v>46283</v>
      </c>
      <c r="DL28" s="56"/>
      <c r="DM28" s="46"/>
      <c r="DN28" s="46"/>
      <c r="DO28" s="46"/>
      <c r="DP28" s="46"/>
      <c r="DQ28" s="46"/>
      <c r="DR28" s="46"/>
      <c r="DS28" s="46"/>
      <c r="DT28" s="46"/>
      <c r="DU28" s="46"/>
      <c r="DV28" s="46"/>
      <c r="DW28" s="46"/>
      <c r="DX28" s="46"/>
      <c r="DY28" s="46"/>
      <c r="DZ28" s="46"/>
      <c r="EA28" s="46"/>
      <c r="EB28" s="46"/>
      <c r="EC28" s="46"/>
      <c r="ED28" s="46"/>
      <c r="EE28" s="10">
        <v>46283</v>
      </c>
      <c r="EF28" s="10">
        <f>IF(DL28="",WORKDAY(DK28,EF27),WORKDAY(DL28,EF27))</f>
        <v>46283</v>
      </c>
      <c r="EG28" s="56"/>
      <c r="EH28" s="10">
        <v>46084</v>
      </c>
      <c r="EI28" s="10">
        <f>IF(BH28="",WORKDAY(BG28,EI27),WORKDAY(BH28,EI27))</f>
        <v>46084</v>
      </c>
      <c r="EJ28" s="56"/>
      <c r="EK28" s="27"/>
      <c r="EL28" s="27"/>
      <c r="EM28" s="27"/>
      <c r="EN28" s="27"/>
      <c r="EO28" s="28"/>
      <c r="EP28" s="28"/>
      <c r="EQ28" s="28"/>
      <c r="ER28" s="28"/>
      <c r="ES28" s="28"/>
      <c r="ET28" s="28"/>
      <c r="EU28" s="28"/>
      <c r="EV28" s="28"/>
      <c r="EW28" s="28"/>
      <c r="EX28" s="28"/>
      <c r="EY28" s="28"/>
      <c r="EZ28" s="10">
        <v>46290</v>
      </c>
      <c r="FA28" s="10">
        <f>IF(EG28="",WORKDAY(EF28,FA27),WORKDAY(EG28,FA27))</f>
        <v>46290</v>
      </c>
      <c r="FB28" s="56"/>
      <c r="FC28" s="28"/>
      <c r="FD28" s="28"/>
      <c r="FE28" s="28"/>
      <c r="FF28" s="28"/>
      <c r="FG28" s="28"/>
      <c r="FH28" s="28"/>
      <c r="FI28" s="10">
        <v>46311</v>
      </c>
      <c r="FJ28" s="10">
        <f>IF(FB28="",WORKDAY(FA28,FJ27),WORKDAY(FB28,FJ27))</f>
        <v>46311</v>
      </c>
      <c r="FK28" s="56"/>
      <c r="FL28" s="10">
        <v>46311</v>
      </c>
      <c r="FM28" s="10">
        <f>IF(FK28="",WORKDAY(FJ28,FM27),WORKDAY(FK28,FM27))</f>
        <v>46311</v>
      </c>
      <c r="FN28" s="56"/>
      <c r="FO28" s="10">
        <v>46367</v>
      </c>
      <c r="FP28" s="10">
        <f>WORKDAY(FM28,FP27)</f>
        <v>46367</v>
      </c>
      <c r="FQ28" s="10"/>
      <c r="FR28" s="77" t="str">
        <f>IF(NETWORKDAYS(FJ28,FO28)&gt;=30,"On-Track",IF(AND(NETWORKDAYS(FJ28,FO28)&lt;30,FJ28&lt;=FO28),"At Risk","Missed TCD"))</f>
        <v>On-Track</v>
      </c>
      <c r="FS28" s="110" t="s">
        <v>480</v>
      </c>
      <c r="FT28" s="57">
        <f>NETWORKDAYS(CP28,FI28)</f>
        <v>181</v>
      </c>
      <c r="FU28" s="57">
        <f>NETWORKDAYS(CQ28,FJ28)</f>
        <v>181</v>
      </c>
      <c r="FV28" s="57">
        <f>IF(BH28="",NETWORKDAYS(BG28,FJ28),IF(FK28="",NETWORKDAYS(BH28,FJ28),NETWORKDAYS(BH28,FK28)))</f>
        <v>194</v>
      </c>
      <c r="FW28" s="58" t="s">
        <v>467</v>
      </c>
    </row>
  </sheetData>
  <autoFilter ref="A8:FW28" xr:uid="{7988B55A-02E0-4163-AAFE-D6E093B4BA9A}">
    <filterColumn colId="8">
      <colorFilter dxfId="182"/>
    </filterColumn>
  </autoFilter>
  <mergeCells count="70">
    <mergeCell ref="FI7:FK7"/>
    <mergeCell ref="FL7:FN7"/>
    <mergeCell ref="FO7:FQ7"/>
    <mergeCell ref="EQ7:ES7"/>
    <mergeCell ref="ET7:EV7"/>
    <mergeCell ref="EW7:EY7"/>
    <mergeCell ref="EZ7:FB7"/>
    <mergeCell ref="FC7:FE7"/>
    <mergeCell ref="FF7:FH7"/>
    <mergeCell ref="EN7:EP7"/>
    <mergeCell ref="DC7:DE7"/>
    <mergeCell ref="DF7:DH7"/>
    <mergeCell ref="DI7:DL7"/>
    <mergeCell ref="DM7:DO7"/>
    <mergeCell ref="DP7:DR7"/>
    <mergeCell ref="DS7:DV7"/>
    <mergeCell ref="DW7:DZ7"/>
    <mergeCell ref="EA7:ED7"/>
    <mergeCell ref="EE7:EG7"/>
    <mergeCell ref="EH7:EJ7"/>
    <mergeCell ref="EK7:EM7"/>
    <mergeCell ref="BL7:BN7"/>
    <mergeCell ref="CZ7:DB7"/>
    <mergeCell ref="BR7:BT7"/>
    <mergeCell ref="BU7:BW7"/>
    <mergeCell ref="BX7:BZ7"/>
    <mergeCell ref="CA7:CC7"/>
    <mergeCell ref="CD7:CF7"/>
    <mergeCell ref="CG7:CI7"/>
    <mergeCell ref="CJ7:CL7"/>
    <mergeCell ref="CM7:CO7"/>
    <mergeCell ref="CP7:CS7"/>
    <mergeCell ref="CT7:CV7"/>
    <mergeCell ref="CW7:CY7"/>
    <mergeCell ref="AW7:AY7"/>
    <mergeCell ref="AZ7:BB7"/>
    <mergeCell ref="BC7:BE7"/>
    <mergeCell ref="BF7:BH7"/>
    <mergeCell ref="BI7:BK7"/>
    <mergeCell ref="FT5:FW7"/>
    <mergeCell ref="A7:G7"/>
    <mergeCell ref="J7:L7"/>
    <mergeCell ref="M7:O7"/>
    <mergeCell ref="P7:R7"/>
    <mergeCell ref="S7:U7"/>
    <mergeCell ref="V7:X7"/>
    <mergeCell ref="Y7:AA7"/>
    <mergeCell ref="AB7:AD7"/>
    <mergeCell ref="AE7:AG7"/>
    <mergeCell ref="BO7:BQ7"/>
    <mergeCell ref="AH7:AJ7"/>
    <mergeCell ref="AK7:AM7"/>
    <mergeCell ref="AN7:AP7"/>
    <mergeCell ref="AQ7:AS7"/>
    <mergeCell ref="AT7:AV7"/>
    <mergeCell ref="J4:BE4"/>
    <mergeCell ref="BF4:CL4"/>
    <mergeCell ref="CM4:EY4"/>
    <mergeCell ref="EZ4:FR4"/>
    <mergeCell ref="I5:BH6"/>
    <mergeCell ref="BI5:FK6"/>
    <mergeCell ref="FL5:FR6"/>
    <mergeCell ref="G1:G2"/>
    <mergeCell ref="H1:H2"/>
    <mergeCell ref="I1:CU2"/>
    <mergeCell ref="J3:AA3"/>
    <mergeCell ref="AE3:AG3"/>
    <mergeCell ref="AH3:AP3"/>
    <mergeCell ref="AQ3:BA3"/>
    <mergeCell ref="BC3:BH3"/>
  </mergeCells>
  <conditionalFormatting sqref="L10 O10 U10 X10 AA10 AG10 AJ10 AM10 AP10 AV10 AY10 BB10 BH10 BK10 BN10 BQ10 BT10 BW10 BZ10 CC10 CF10 CI10 CL10 CO10 CV10 CY10 DB10 DE10 DH10 DL10 DO10 DZ10:EA10 ED10 EJ10 EM10 EP10 ES10 EV10 EY10 FB10 FE10 FH10 FK10 R10 EG10 DR10 DV10 AD10 CR10 FN10">
    <cfRule type="notContainsBlanks" dxfId="181" priority="148">
      <formula>LEN(TRIM(L10))&gt;0</formula>
    </cfRule>
  </conditionalFormatting>
  <conditionalFormatting sqref="E1:E1048576">
    <cfRule type="cellIs" dxfId="180" priority="143" operator="equal">
      <formula>"Red"</formula>
    </cfRule>
    <cfRule type="cellIs" dxfId="179" priority="144" operator="equal">
      <formula>"Unknown"</formula>
    </cfRule>
    <cfRule type="cellIs" dxfId="178" priority="145" operator="equal">
      <formula>"Covered"</formula>
    </cfRule>
    <cfRule type="cellIs" dxfId="177" priority="146" operator="equal">
      <formula>"Green"</formula>
    </cfRule>
    <cfRule type="cellIs" dxfId="176" priority="147" operator="equal">
      <formula>"Yellow"</formula>
    </cfRule>
  </conditionalFormatting>
  <conditionalFormatting sqref="FR10:FS10">
    <cfRule type="cellIs" dxfId="175" priority="140" operator="equal">
      <formula>"Requires Re-Baseline"</formula>
    </cfRule>
    <cfRule type="cellIs" dxfId="174" priority="141" operator="equal">
      <formula>"On-Track"</formula>
    </cfRule>
    <cfRule type="cellIs" dxfId="173" priority="142" operator="equal">
      <formula>"At Risk"</formula>
    </cfRule>
  </conditionalFormatting>
  <conditionalFormatting sqref="CS10">
    <cfRule type="cellIs" dxfId="172" priority="139" operator="equal">
      <formula>"Execution schedule has been re-baselined w/ FAIR PO Ack ACD. Validate your durations before publishing"</formula>
    </cfRule>
  </conditionalFormatting>
  <conditionalFormatting sqref="L10 O10 U10 X10 AA10 AG10 AJ10 AM10 AP10 AV10 AY10 BB10 BH10 BK10 BN10 BQ10 BT10 BW10 BZ10 CC10 CF10 CI10 CL10 CO10 CV10 CY10 DB10 DE10 DH10 DO10 DZ10:EA10 ED10 EJ10 EM10 EP10 ES10 EV10 EY10 FB10 FE10 FH10 FK10 R10 EG10 DR10 DV10 AD10 CR10 FN10 DL10">
    <cfRule type="notContainsBlanks" dxfId="171" priority="138">
      <formula>LEN(TRIM(L10))&gt;0</formula>
    </cfRule>
  </conditionalFormatting>
  <conditionalFormatting sqref="E9:E10">
    <cfRule type="cellIs" dxfId="170" priority="133" operator="equal">
      <formula>"Red"</formula>
    </cfRule>
    <cfRule type="cellIs" dxfId="169" priority="134" operator="equal">
      <formula>"Unknown"</formula>
    </cfRule>
    <cfRule type="cellIs" dxfId="168" priority="135" operator="equal">
      <formula>"Covered"</formula>
    </cfRule>
    <cfRule type="cellIs" dxfId="167" priority="136" operator="equal">
      <formula>"Green"</formula>
    </cfRule>
    <cfRule type="cellIs" dxfId="166" priority="137" operator="equal">
      <formula>"Yellow"</formula>
    </cfRule>
  </conditionalFormatting>
  <conditionalFormatting sqref="FR10:FS10">
    <cfRule type="cellIs" dxfId="165" priority="130" operator="equal">
      <formula>"Missed TCD"</formula>
    </cfRule>
    <cfRule type="cellIs" dxfId="164" priority="131" operator="equal">
      <formula>"On-Track"</formula>
    </cfRule>
    <cfRule type="cellIs" dxfId="163" priority="132" operator="equal">
      <formula>"At Risk"</formula>
    </cfRule>
  </conditionalFormatting>
  <conditionalFormatting sqref="CS10">
    <cfRule type="cellIs" dxfId="162" priority="129" operator="equal">
      <formula>"Execution schedule has been re-baselined w/ FAIR PO Ack ACD. Validate your durations before publishing"</formula>
    </cfRule>
  </conditionalFormatting>
  <conditionalFormatting sqref="L12 U12 X12 AA12 AG12 AM12 AP12 AV12 AY12 BB12 BN12 BQ12 BT12 BW12 BZ12 CC12 CF12 CI12 CL12 DE12 DO12 DZ12:EA12 ED12 EJ12 EM12 EP12 ES12 EV12 EY12 FE12 FH12 DR12 DV12 AD12">
    <cfRule type="notContainsBlanks" dxfId="161" priority="128">
      <formula>LEN(TRIM(L12))&gt;0</formula>
    </cfRule>
  </conditionalFormatting>
  <conditionalFormatting sqref="E11:E12">
    <cfRule type="cellIs" dxfId="160" priority="123" operator="equal">
      <formula>"Red"</formula>
    </cfRule>
    <cfRule type="cellIs" dxfId="159" priority="124" operator="equal">
      <formula>"Unknown"</formula>
    </cfRule>
    <cfRule type="cellIs" dxfId="158" priority="125" operator="equal">
      <formula>"Covered"</formula>
    </cfRule>
    <cfRule type="cellIs" dxfId="157" priority="126" operator="equal">
      <formula>"Green"</formula>
    </cfRule>
    <cfRule type="cellIs" dxfId="156" priority="127" operator="equal">
      <formula>"Yellow"</formula>
    </cfRule>
  </conditionalFormatting>
  <conditionalFormatting sqref="FR12:FS12">
    <cfRule type="cellIs" dxfId="155" priority="120" operator="equal">
      <formula>"Missed TCD"</formula>
    </cfRule>
    <cfRule type="cellIs" dxfId="154" priority="121" operator="equal">
      <formula>"On-Track"</formula>
    </cfRule>
    <cfRule type="cellIs" dxfId="153" priority="122" operator="equal">
      <formula>"At Risk"</formula>
    </cfRule>
  </conditionalFormatting>
  <conditionalFormatting sqref="CS12">
    <cfRule type="cellIs" dxfId="152" priority="119" operator="equal">
      <formula>"Execution schedule has been re-baselined w/ FAIR PO Ack ACD. Validate your durations before publishing"</formula>
    </cfRule>
  </conditionalFormatting>
  <conditionalFormatting sqref="L14 U14 X14 AA14 AG14 AM14 AP14 AV14 AY14 BB14 BN14 BQ14 BT14 BW14 BZ14 CC14 CF14 CI14 CL14 DE14 DO14 DZ14:EA14 ED14 EJ14 EM14 EP14 ES14 EV14 EY14 FE14 FH14 DR14 DV14 AD14">
    <cfRule type="notContainsBlanks" dxfId="151" priority="118">
      <formula>LEN(TRIM(L14))&gt;0</formula>
    </cfRule>
  </conditionalFormatting>
  <conditionalFormatting sqref="E13:E14">
    <cfRule type="cellIs" dxfId="150" priority="113" operator="equal">
      <formula>"Red"</formula>
    </cfRule>
    <cfRule type="cellIs" dxfId="149" priority="114" operator="equal">
      <formula>"Unknown"</formula>
    </cfRule>
    <cfRule type="cellIs" dxfId="148" priority="115" operator="equal">
      <formula>"Covered"</formula>
    </cfRule>
    <cfRule type="cellIs" dxfId="147" priority="116" operator="equal">
      <formula>"Green"</formula>
    </cfRule>
    <cfRule type="cellIs" dxfId="146" priority="117" operator="equal">
      <formula>"Yellow"</formula>
    </cfRule>
  </conditionalFormatting>
  <conditionalFormatting sqref="FR14:FS14">
    <cfRule type="cellIs" dxfId="145" priority="110" operator="equal">
      <formula>"Missed TCD"</formula>
    </cfRule>
    <cfRule type="cellIs" dxfId="144" priority="111" operator="equal">
      <formula>"On-Track"</formula>
    </cfRule>
    <cfRule type="cellIs" dxfId="143" priority="112" operator="equal">
      <formula>"At Risk"</formula>
    </cfRule>
  </conditionalFormatting>
  <conditionalFormatting sqref="CS14">
    <cfRule type="cellIs" dxfId="142" priority="109" operator="equal">
      <formula>"Execution schedule has been re-baselined w/ FAIR PO Ack ACD. Validate your durations before publishing"</formula>
    </cfRule>
  </conditionalFormatting>
  <conditionalFormatting sqref="L16 U16 X16 AA16 AG16 AM16 AP16 AV16 AY16 BB16 BN16 BQ16 BT16 BW16 BZ16 CC16 CF16 CI16 CL16 DE16 DO16 DZ16:EA16 ED16 EJ16 EM16 EP16 ES16 EV16 EY16 FE16 FH16 DR16 DV16 AD16">
    <cfRule type="notContainsBlanks" dxfId="141" priority="108">
      <formula>LEN(TRIM(L16))&gt;0</formula>
    </cfRule>
  </conditionalFormatting>
  <conditionalFormatting sqref="E15:E16">
    <cfRule type="cellIs" dxfId="140" priority="103" operator="equal">
      <formula>"Red"</formula>
    </cfRule>
    <cfRule type="cellIs" dxfId="139" priority="104" operator="equal">
      <formula>"Unknown"</formula>
    </cfRule>
    <cfRule type="cellIs" dxfId="138" priority="105" operator="equal">
      <formula>"Covered"</formula>
    </cfRule>
    <cfRule type="cellIs" dxfId="137" priority="106" operator="equal">
      <formula>"Green"</formula>
    </cfRule>
    <cfRule type="cellIs" dxfId="136" priority="107" operator="equal">
      <formula>"Yellow"</formula>
    </cfRule>
  </conditionalFormatting>
  <conditionalFormatting sqref="FR16:FS16">
    <cfRule type="cellIs" dxfId="135" priority="100" operator="equal">
      <formula>"Missed TCD"</formula>
    </cfRule>
    <cfRule type="cellIs" dxfId="134" priority="101" operator="equal">
      <formula>"On-Track"</formula>
    </cfRule>
    <cfRule type="cellIs" dxfId="133" priority="102" operator="equal">
      <formula>"At Risk"</formula>
    </cfRule>
  </conditionalFormatting>
  <conditionalFormatting sqref="CS16">
    <cfRule type="cellIs" dxfId="132" priority="99" operator="equal">
      <formula>"Execution schedule has been re-baselined w/ FAIR PO Ack ACD. Validate your durations before publishing"</formula>
    </cfRule>
  </conditionalFormatting>
  <conditionalFormatting sqref="L18 U18 X18 AA18 AG18 AM18 AP18 AV18 AY18 BB18 BN18 BQ18 BT18 BW18 BZ18 CC18 CF18 CI18 CL18 DE18 DO18 DZ18:EA18 ED18 EJ18 EM18 EP18 ES18 EV18 EY18 FE18 FH18 DR18 DV18 AD18">
    <cfRule type="notContainsBlanks" dxfId="131" priority="98">
      <formula>LEN(TRIM(L18))&gt;0</formula>
    </cfRule>
  </conditionalFormatting>
  <conditionalFormatting sqref="E17:E18">
    <cfRule type="cellIs" dxfId="130" priority="93" operator="equal">
      <formula>"Red"</formula>
    </cfRule>
    <cfRule type="cellIs" dxfId="129" priority="94" operator="equal">
      <formula>"Unknown"</formula>
    </cfRule>
    <cfRule type="cellIs" dxfId="128" priority="95" operator="equal">
      <formula>"Covered"</formula>
    </cfRule>
    <cfRule type="cellIs" dxfId="127" priority="96" operator="equal">
      <formula>"Green"</formula>
    </cfRule>
    <cfRule type="cellIs" dxfId="126" priority="97" operator="equal">
      <formula>"Yellow"</formula>
    </cfRule>
  </conditionalFormatting>
  <conditionalFormatting sqref="FR18:FS18">
    <cfRule type="cellIs" dxfId="125" priority="90" operator="equal">
      <formula>"Missed TCD"</formula>
    </cfRule>
    <cfRule type="cellIs" dxfId="124" priority="91" operator="equal">
      <formula>"On-Track"</formula>
    </cfRule>
    <cfRule type="cellIs" dxfId="123" priority="92" operator="equal">
      <formula>"At Risk"</formula>
    </cfRule>
  </conditionalFormatting>
  <conditionalFormatting sqref="CS18">
    <cfRule type="cellIs" dxfId="122" priority="89" operator="equal">
      <formula>"Execution schedule has been re-baselined w/ FAIR PO Ack ACD. Validate your durations before publishing"</formula>
    </cfRule>
  </conditionalFormatting>
  <conditionalFormatting sqref="L20 U20 X20 AA20 AG20 AM20 AP20 AV20 AY20 BB20 BN20 BQ20 BT20 BW20 BZ20 CC20 CF20 CI20 CL20 DE20 DO20 DZ20:EA20 ED20 EJ20 EM20 EP20 ES20 EV20 EY20 FE20 FH20 DR20 DV20 AD20">
    <cfRule type="notContainsBlanks" dxfId="121" priority="88">
      <formula>LEN(TRIM(L20))&gt;0</formula>
    </cfRule>
  </conditionalFormatting>
  <conditionalFormatting sqref="E19:E20">
    <cfRule type="cellIs" dxfId="120" priority="83" operator="equal">
      <formula>"Red"</formula>
    </cfRule>
    <cfRule type="cellIs" dxfId="119" priority="84" operator="equal">
      <formula>"Unknown"</formula>
    </cfRule>
    <cfRule type="cellIs" dxfId="118" priority="85" operator="equal">
      <formula>"Covered"</formula>
    </cfRule>
    <cfRule type="cellIs" dxfId="117" priority="86" operator="equal">
      <formula>"Green"</formula>
    </cfRule>
    <cfRule type="cellIs" dxfId="116" priority="87" operator="equal">
      <formula>"Yellow"</formula>
    </cfRule>
  </conditionalFormatting>
  <conditionalFormatting sqref="FR20:FS20">
    <cfRule type="cellIs" dxfId="115" priority="80" operator="equal">
      <formula>"Missed TCD"</formula>
    </cfRule>
    <cfRule type="cellIs" dxfId="114" priority="81" operator="equal">
      <formula>"On-Track"</formula>
    </cfRule>
    <cfRule type="cellIs" dxfId="113" priority="82" operator="equal">
      <formula>"At Risk"</formula>
    </cfRule>
  </conditionalFormatting>
  <conditionalFormatting sqref="CS20">
    <cfRule type="cellIs" dxfId="112" priority="79" operator="equal">
      <formula>"Execution schedule has been re-baselined w/ FAIR PO Ack ACD. Validate your durations before publishing"</formula>
    </cfRule>
  </conditionalFormatting>
  <conditionalFormatting sqref="L22 U22 X22 AA22 AG22 AM22 AP22 AV22 AY22 BB22 BN22 BQ22 BT22 BW22 BZ22 CC22 CF22 CI22 CL22 DE22 DO22 DZ22:EA22 ED22 EJ22 EM22 EP22 ES22 EV22 EY22 FE22 FH22 DR22 DV22 AD22">
    <cfRule type="notContainsBlanks" dxfId="111" priority="78">
      <formula>LEN(TRIM(L22))&gt;0</formula>
    </cfRule>
  </conditionalFormatting>
  <conditionalFormatting sqref="E21:E22">
    <cfRule type="cellIs" dxfId="110" priority="73" operator="equal">
      <formula>"Red"</formula>
    </cfRule>
    <cfRule type="cellIs" dxfId="109" priority="74" operator="equal">
      <formula>"Unknown"</formula>
    </cfRule>
    <cfRule type="cellIs" dxfId="108" priority="75" operator="equal">
      <formula>"Covered"</formula>
    </cfRule>
    <cfRule type="cellIs" dxfId="107" priority="76" operator="equal">
      <formula>"Green"</formula>
    </cfRule>
    <cfRule type="cellIs" dxfId="106" priority="77" operator="equal">
      <formula>"Yellow"</formula>
    </cfRule>
  </conditionalFormatting>
  <conditionalFormatting sqref="FR22:FS22">
    <cfRule type="cellIs" dxfId="105" priority="70" operator="equal">
      <formula>"Missed TCD"</formula>
    </cfRule>
    <cfRule type="cellIs" dxfId="104" priority="71" operator="equal">
      <formula>"On-Track"</formula>
    </cfRule>
    <cfRule type="cellIs" dxfId="103" priority="72" operator="equal">
      <formula>"At Risk"</formula>
    </cfRule>
  </conditionalFormatting>
  <conditionalFormatting sqref="CS22">
    <cfRule type="cellIs" dxfId="102" priority="69" operator="equal">
      <formula>"Execution schedule has been re-baselined w/ FAIR PO Ack ACD. Validate your durations before publishing"</formula>
    </cfRule>
  </conditionalFormatting>
  <conditionalFormatting sqref="L24 U24 X24 AA24 AG24 AM24 AP24 AV24 AY24 BB24 BN24 BQ24 BT24 BW24 BZ24 CC24 CF24 CI24 CL24 DE24 DO24 DZ24:EA24 ED24 EJ24 EM24 EP24 ES24 EV24 EY24 FE24 FH24 DR24 DV24 AD24">
    <cfRule type="notContainsBlanks" dxfId="101" priority="68">
      <formula>LEN(TRIM(L24))&gt;0</formula>
    </cfRule>
  </conditionalFormatting>
  <conditionalFormatting sqref="E23:E24">
    <cfRule type="cellIs" dxfId="100" priority="63" operator="equal">
      <formula>"Red"</formula>
    </cfRule>
    <cfRule type="cellIs" dxfId="99" priority="64" operator="equal">
      <formula>"Unknown"</formula>
    </cfRule>
    <cfRule type="cellIs" dxfId="98" priority="65" operator="equal">
      <formula>"Covered"</formula>
    </cfRule>
    <cfRule type="cellIs" dxfId="97" priority="66" operator="equal">
      <formula>"Green"</formula>
    </cfRule>
    <cfRule type="cellIs" dxfId="96" priority="67" operator="equal">
      <formula>"Yellow"</formula>
    </cfRule>
  </conditionalFormatting>
  <conditionalFormatting sqref="FR24:FS24">
    <cfRule type="cellIs" dxfId="95" priority="60" operator="equal">
      <formula>"Missed TCD"</formula>
    </cfRule>
    <cfRule type="cellIs" dxfId="94" priority="61" operator="equal">
      <formula>"On-Track"</formula>
    </cfRule>
    <cfRule type="cellIs" dxfId="93" priority="62" operator="equal">
      <formula>"At Risk"</formula>
    </cfRule>
  </conditionalFormatting>
  <conditionalFormatting sqref="CS24">
    <cfRule type="cellIs" dxfId="92" priority="59" operator="equal">
      <formula>"Execution schedule has been re-baselined w/ FAIR PO Ack ACD. Validate your durations before publishing"</formula>
    </cfRule>
  </conditionalFormatting>
  <conditionalFormatting sqref="L26 U26 X26 AA26 AG26 AM26 AP26 AV26 AY26 BB26 BN26 BQ26 BT26 BW26 BZ26 CC26 CF26 CI26 CL26 DE26 DO26 DZ26:EA26 ED26 EJ26 EM26 EP26 ES26 EV26 EY26 FE26 FH26 DR26 DV26 AD26">
    <cfRule type="notContainsBlanks" dxfId="91" priority="58">
      <formula>LEN(TRIM(L26))&gt;0</formula>
    </cfRule>
  </conditionalFormatting>
  <conditionalFormatting sqref="E25:E26">
    <cfRule type="cellIs" dxfId="90" priority="53" operator="equal">
      <formula>"Red"</formula>
    </cfRule>
    <cfRule type="cellIs" dxfId="89" priority="54" operator="equal">
      <formula>"Unknown"</formula>
    </cfRule>
    <cfRule type="cellIs" dxfId="88" priority="55" operator="equal">
      <formula>"Covered"</formula>
    </cfRule>
    <cfRule type="cellIs" dxfId="87" priority="56" operator="equal">
      <formula>"Green"</formula>
    </cfRule>
    <cfRule type="cellIs" dxfId="86" priority="57" operator="equal">
      <formula>"Yellow"</formula>
    </cfRule>
  </conditionalFormatting>
  <conditionalFormatting sqref="FR26:FS26">
    <cfRule type="cellIs" dxfId="85" priority="50" operator="equal">
      <formula>"Missed TCD"</formula>
    </cfRule>
    <cfRule type="cellIs" dxfId="84" priority="51" operator="equal">
      <formula>"On-Track"</formula>
    </cfRule>
    <cfRule type="cellIs" dxfId="83" priority="52" operator="equal">
      <formula>"At Risk"</formula>
    </cfRule>
  </conditionalFormatting>
  <conditionalFormatting sqref="CS26">
    <cfRule type="cellIs" dxfId="82" priority="49" operator="equal">
      <formula>"Execution schedule has been re-baselined w/ FAIR PO Ack ACD. Validate your durations before publishing"</formula>
    </cfRule>
  </conditionalFormatting>
  <conditionalFormatting sqref="L28 U28 X28 AA28 AG28 AM28 AP28 AV28 AY28 BB28 BN28 BQ28 BT28 BW28 BZ28 CC28 CF28 CI28 CL28 DE28 DO28 DZ28:EA28 ED28 EJ28 EM28 EP28 ES28 EV28 EY28 FE28 FH28 DR28 DV28 AD28">
    <cfRule type="notContainsBlanks" dxfId="81" priority="48">
      <formula>LEN(TRIM(L28))&gt;0</formula>
    </cfRule>
  </conditionalFormatting>
  <conditionalFormatting sqref="E27:E28">
    <cfRule type="cellIs" dxfId="80" priority="43" operator="equal">
      <formula>"Red"</formula>
    </cfRule>
    <cfRule type="cellIs" dxfId="79" priority="44" operator="equal">
      <formula>"Unknown"</formula>
    </cfRule>
    <cfRule type="cellIs" dxfId="78" priority="45" operator="equal">
      <formula>"Covered"</formula>
    </cfRule>
    <cfRule type="cellIs" dxfId="77" priority="46" operator="equal">
      <formula>"Green"</formula>
    </cfRule>
    <cfRule type="cellIs" dxfId="76" priority="47" operator="equal">
      <formula>"Yellow"</formula>
    </cfRule>
  </conditionalFormatting>
  <conditionalFormatting sqref="FR28:FS28">
    <cfRule type="cellIs" dxfId="75" priority="40" operator="equal">
      <formula>"Missed TCD"</formula>
    </cfRule>
    <cfRule type="cellIs" dxfId="74" priority="41" operator="equal">
      <formula>"On-Track"</formula>
    </cfRule>
    <cfRule type="cellIs" dxfId="73" priority="42" operator="equal">
      <formula>"At Risk"</formula>
    </cfRule>
  </conditionalFormatting>
  <conditionalFormatting sqref="CS28">
    <cfRule type="cellIs" dxfId="72" priority="39" operator="equal">
      <formula>"Execution schedule has been re-baselined w/ FAIR PO Ack ACD. Validate your durations before publishing"</formula>
    </cfRule>
  </conditionalFormatting>
  <conditionalFormatting sqref="I10">
    <cfRule type="notContainsBlanks" dxfId="71" priority="36">
      <formula>LEN(TRIM(I10))&gt;0</formula>
    </cfRule>
  </conditionalFormatting>
  <conditionalFormatting sqref="I10">
    <cfRule type="notContainsBlanks" dxfId="70" priority="35">
      <formula>LEN(TRIM(I10))&gt;0</formula>
    </cfRule>
  </conditionalFormatting>
  <conditionalFormatting sqref="O28 O26 O24 O22 O20 O18 O16 O14 O12">
    <cfRule type="notContainsBlanks" dxfId="69" priority="34">
      <formula>LEN(TRIM(O12))&gt;0</formula>
    </cfRule>
  </conditionalFormatting>
  <conditionalFormatting sqref="O28 O26 O24 O22 O20 O18 O16 O14 O12">
    <cfRule type="notContainsBlanks" dxfId="68" priority="33">
      <formula>LEN(TRIM(O12))&gt;0</formula>
    </cfRule>
  </conditionalFormatting>
  <conditionalFormatting sqref="R28 R26 R24 R22 R20 R18 R16 R14 R12">
    <cfRule type="notContainsBlanks" dxfId="67" priority="32">
      <formula>LEN(TRIM(R12))&gt;0</formula>
    </cfRule>
  </conditionalFormatting>
  <conditionalFormatting sqref="R28 R26 R24 R22 R20 R18 R16 R14 R12">
    <cfRule type="notContainsBlanks" dxfId="66" priority="31">
      <formula>LEN(TRIM(R12))&gt;0</formula>
    </cfRule>
  </conditionalFormatting>
  <conditionalFormatting sqref="AJ28 AJ26 AJ24 AJ22 AJ20 AJ18 AJ16 AJ14 AJ12">
    <cfRule type="notContainsBlanks" dxfId="65" priority="30">
      <formula>LEN(TRIM(AJ12))&gt;0</formula>
    </cfRule>
  </conditionalFormatting>
  <conditionalFormatting sqref="AJ28 AJ26 AJ24 AJ22 AJ20 AJ18 AJ16 AJ14 AJ12">
    <cfRule type="notContainsBlanks" dxfId="64" priority="29">
      <formula>LEN(TRIM(AJ12))&gt;0</formula>
    </cfRule>
  </conditionalFormatting>
  <conditionalFormatting sqref="CO28 CO26 CO24 CO22 CO20 CO18 CO16 CO14 CO12">
    <cfRule type="notContainsBlanks" dxfId="63" priority="28">
      <formula>LEN(TRIM(CO12))&gt;0</formula>
    </cfRule>
  </conditionalFormatting>
  <conditionalFormatting sqref="CO28 CO26 CO24 CO22 CO20 CO18 CO16 CO14 CO12">
    <cfRule type="notContainsBlanks" dxfId="62" priority="27">
      <formula>LEN(TRIM(CO12))&gt;0</formula>
    </cfRule>
  </conditionalFormatting>
  <conditionalFormatting sqref="CR28 CR26 CR24 CR22 CR20 CR18 CR16 CR14 CR12">
    <cfRule type="notContainsBlanks" dxfId="61" priority="26">
      <formula>LEN(TRIM(CR12))&gt;0</formula>
    </cfRule>
  </conditionalFormatting>
  <conditionalFormatting sqref="CR28 CR26 CR24 CR22 CR20 CR18 CR16 CR14 CR12">
    <cfRule type="notContainsBlanks" dxfId="60" priority="25">
      <formula>LEN(TRIM(CR12))&gt;0</formula>
    </cfRule>
  </conditionalFormatting>
  <conditionalFormatting sqref="CV28 CV26 CV24 CV22 CV20 CV18 CV16 CV14 CV12">
    <cfRule type="notContainsBlanks" dxfId="59" priority="24">
      <formula>LEN(TRIM(CV12))&gt;0</formula>
    </cfRule>
  </conditionalFormatting>
  <conditionalFormatting sqref="CV28 CV26 CV24 CV22 CV20 CV18 CV16 CV14 CV12">
    <cfRule type="notContainsBlanks" dxfId="58" priority="23">
      <formula>LEN(TRIM(CV12))&gt;0</formula>
    </cfRule>
  </conditionalFormatting>
  <conditionalFormatting sqref="I28 I26 I24 I22 I20 I18 I16 I14 I12">
    <cfRule type="notContainsBlanks" dxfId="57" priority="22">
      <formula>LEN(TRIM(I12))&gt;0</formula>
    </cfRule>
  </conditionalFormatting>
  <conditionalFormatting sqref="I28 I26 I24 I22 I20 I18 I16 I14 I12">
    <cfRule type="notContainsBlanks" dxfId="56" priority="21">
      <formula>LEN(TRIM(I12))&gt;0</formula>
    </cfRule>
  </conditionalFormatting>
  <conditionalFormatting sqref="FN28 FN26 FN24 FN22 FN20 FN18 FN16 FN14 FN12">
    <cfRule type="notContainsBlanks" dxfId="55" priority="20">
      <formula>LEN(TRIM(FN12))&gt;0</formula>
    </cfRule>
  </conditionalFormatting>
  <conditionalFormatting sqref="FN28 FN26 FN24 FN22 FN20 FN18 FN16 FN14 FN12">
    <cfRule type="notContainsBlanks" dxfId="54" priority="19">
      <formula>LEN(TRIM(FN12))&gt;0</formula>
    </cfRule>
  </conditionalFormatting>
  <conditionalFormatting sqref="FK28 FK26 FK24 FK22 FK20 FK18 FK16 FK14 FK12">
    <cfRule type="notContainsBlanks" dxfId="53" priority="18">
      <formula>LEN(TRIM(FK12))&gt;0</formula>
    </cfRule>
  </conditionalFormatting>
  <conditionalFormatting sqref="FK28 FK26 FK24 FK22 FK20 FK18 FK16 FK14 FK12">
    <cfRule type="notContainsBlanks" dxfId="52" priority="17">
      <formula>LEN(TRIM(FK12))&gt;0</formula>
    </cfRule>
  </conditionalFormatting>
  <conditionalFormatting sqref="FB28 FB26 FB24 FB22 FB20 FB18 FB16 FB14 FB12">
    <cfRule type="notContainsBlanks" dxfId="51" priority="16">
      <formula>LEN(TRIM(FB12))&gt;0</formula>
    </cfRule>
  </conditionalFormatting>
  <conditionalFormatting sqref="FB28 FB26 FB24 FB22 FB20 FB18 FB16 FB14 FB12">
    <cfRule type="notContainsBlanks" dxfId="50" priority="15">
      <formula>LEN(TRIM(FB12))&gt;0</formula>
    </cfRule>
  </conditionalFormatting>
  <conditionalFormatting sqref="EG28 EG26 EG24 EG22 EG20 EG18 EG16 EG14 EG12">
    <cfRule type="notContainsBlanks" dxfId="49" priority="14">
      <formula>LEN(TRIM(EG12))&gt;0</formula>
    </cfRule>
  </conditionalFormatting>
  <conditionalFormatting sqref="EG28 EG26 EG24 EG22 EG20 EG18 EG16 EG14 EG12">
    <cfRule type="notContainsBlanks" dxfId="48" priority="13">
      <formula>LEN(TRIM(EG12))&gt;0</formula>
    </cfRule>
  </conditionalFormatting>
  <conditionalFormatting sqref="CY28 CY26 CY24 CY22 CY20 CY18 CY16 CY14 CY12">
    <cfRule type="notContainsBlanks" dxfId="47" priority="12">
      <formula>LEN(TRIM(CY12))&gt;0</formula>
    </cfRule>
  </conditionalFormatting>
  <conditionalFormatting sqref="CY28 CY26 CY24 CY22 CY20 CY18 CY16 CY14 CY12">
    <cfRule type="notContainsBlanks" dxfId="46" priority="11">
      <formula>LEN(TRIM(CY12))&gt;0</formula>
    </cfRule>
  </conditionalFormatting>
  <conditionalFormatting sqref="DB28 DB26 DB24 DB22 DB20 DB18 DB16 DB14 DB12">
    <cfRule type="notContainsBlanks" dxfId="45" priority="10">
      <formula>LEN(TRIM(DB12))&gt;0</formula>
    </cfRule>
  </conditionalFormatting>
  <conditionalFormatting sqref="DB28 DB26 DB24 DB22 DB20 DB18 DB16 DB14 DB12">
    <cfRule type="notContainsBlanks" dxfId="44" priority="9">
      <formula>LEN(TRIM(DB12))&gt;0</formula>
    </cfRule>
  </conditionalFormatting>
  <conditionalFormatting sqref="DH28 DH26 DH24 DH22 DH20 DH18 DH16 DH14 DH12">
    <cfRule type="notContainsBlanks" dxfId="43" priority="8">
      <formula>LEN(TRIM(DH12))&gt;0</formula>
    </cfRule>
  </conditionalFormatting>
  <conditionalFormatting sqref="DH28 DH26 DH24 DH22 DH20 DH18 DH16 DH14 DH12">
    <cfRule type="notContainsBlanks" dxfId="42" priority="7">
      <formula>LEN(TRIM(DH12))&gt;0</formula>
    </cfRule>
  </conditionalFormatting>
  <conditionalFormatting sqref="DL28 DL26 DL24 DL22 DL20 DL18 DL16 DL14 DL12">
    <cfRule type="notContainsBlanks" dxfId="41" priority="6">
      <formula>LEN(TRIM(DL12))&gt;0</formula>
    </cfRule>
  </conditionalFormatting>
  <conditionalFormatting sqref="DL28 DL26 DL24 DL22 DL20 DL18 DL16 DL14 DL12">
    <cfRule type="notContainsBlanks" dxfId="40" priority="5">
      <formula>LEN(TRIM(DL12))&gt;0</formula>
    </cfRule>
  </conditionalFormatting>
  <conditionalFormatting sqref="BH28 BH26 BH24 BH22 BH20 BH18 BH16 BH14 BH12">
    <cfRule type="notContainsBlanks" dxfId="39" priority="4">
      <formula>LEN(TRIM(BH12))&gt;0</formula>
    </cfRule>
  </conditionalFormatting>
  <conditionalFormatting sqref="BH28 BH26 BH24 BH22 BH20 BH18 BH16 BH14 BH12">
    <cfRule type="notContainsBlanks" dxfId="38" priority="3">
      <formula>LEN(TRIM(BH12))&gt;0</formula>
    </cfRule>
  </conditionalFormatting>
  <conditionalFormatting sqref="BK28 BK26 BK24 BK22 BK20 BK18 BK16 BK14 BK12">
    <cfRule type="notContainsBlanks" dxfId="37" priority="2">
      <formula>LEN(TRIM(BK12))&gt;0</formula>
    </cfRule>
  </conditionalFormatting>
  <conditionalFormatting sqref="BK28 BK26 BK24 BK22 BK20 BK18 BK16 BK14 BK12">
    <cfRule type="notContainsBlanks" dxfId="36" priority="1">
      <formula>LEN(TRIM(BK12))&gt;0</formula>
    </cfRule>
  </conditionalFormatting>
  <dataValidations count="4">
    <dataValidation operator="greaterThan" allowBlank="1" showInputMessage="1" showErrorMessage="1" sqref="FR1:FS2 CS9:CS28 FR7:FS1048576" xr:uid="{E7562A0B-61FD-4004-8DEA-36C4511A013A}"/>
    <dataValidation type="whole" operator="greaterThan" allowBlank="1" showInputMessage="1" showErrorMessage="1" sqref="EZ7:FB7 BC7:BE7 BA1:BE6 ET7 BI5 FL5 DC7:DE7 EZ4 EN7 EQ7 EW7 DG1 DX1 DQ1 DT2:DU2 DT1 EB1 DI2:DK2 DI1:DJ1 DI7 DS7 DW7 EA7 EB2:EC2 BJ1:DF2 DX2:DY2 DZ1:EA2 DV1:DW2 DM1:DP2 CM4 BG1:BI3 AC1:AD6 ED1:FQ2 CS8 BA8:BE1048576 DF7:DH1048576 CQ8:CR28 FC7:FC1048576 EE7:EM1048576 BI7:CP1048576 FI7:FL1048576 DM7:DP1048576 CW7:CZ1048576 FD8:FH1048576 EN8:FB1048576 CT7:CT1048576 DA8:DE1048576 AC8:AD1048576 I1:AB1048576 DI8:DL1048576 BF1:BF1048576 CU8:CV1048576 DQ8:ED1048576 FO7:FQ1048576 FM8:FN1048576 D9:D1048576 CQ29:CS1048576 AE1:AZ1048576 BG5:BH1048576" xr:uid="{84F31B0F-7F3B-4F81-91EF-CF6B135FACDA}">
      <formula1>-9999</formula1>
    </dataValidation>
    <dataValidation type="list" allowBlank="1" showInputMessage="1" showErrorMessage="1" sqref="E9:E1048576" xr:uid="{35E056E9-B255-4640-A1CD-89FC9799F9F0}">
      <formula1>"Covered,Green,Yellow,Red,Unknown"</formula1>
    </dataValidation>
    <dataValidation type="list" allowBlank="1" showInputMessage="1" showErrorMessage="1" sqref="H6:H1048576" xr:uid="{B00DB7FF-08BE-4744-94E4-579977534B2E}">
      <formula1>"Pre-Execution,Execution"</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32B62-19AB-4C9A-B978-A15C79CE03E0}">
  <sheetPr codeName="Sheet4"/>
  <dimension ref="A1:C13"/>
  <sheetViews>
    <sheetView workbookViewId="0"/>
  </sheetViews>
  <sheetFormatPr defaultRowHeight="14.5" x14ac:dyDescent="0.35"/>
  <cols>
    <col min="3" max="3" width="10.26953125" bestFit="1" customWidth="1"/>
  </cols>
  <sheetData>
    <row r="1" spans="1:3" x14ac:dyDescent="0.35">
      <c r="A1" s="14" t="s">
        <v>490</v>
      </c>
      <c r="B1" s="15" t="s">
        <v>491</v>
      </c>
      <c r="C1" s="15" t="s">
        <v>492</v>
      </c>
    </row>
    <row r="2" spans="1:3" x14ac:dyDescent="0.35">
      <c r="A2" t="s">
        <v>493</v>
      </c>
      <c r="C2" s="9">
        <v>45758</v>
      </c>
    </row>
    <row r="3" spans="1:3" x14ac:dyDescent="0.35">
      <c r="A3" t="s">
        <v>494</v>
      </c>
      <c r="B3">
        <v>5</v>
      </c>
      <c r="C3" s="9">
        <f>WORKDAY(C2,B3)</f>
        <v>45765</v>
      </c>
    </row>
    <row r="4" spans="1:3" x14ac:dyDescent="0.35">
      <c r="A4" t="s">
        <v>495</v>
      </c>
      <c r="B4">
        <v>10</v>
      </c>
      <c r="C4" s="9">
        <f t="shared" ref="C4:C13" si="0">WORKDAY(C3,B4)</f>
        <v>45779</v>
      </c>
    </row>
    <row r="5" spans="1:3" x14ac:dyDescent="0.35">
      <c r="A5" t="s">
        <v>496</v>
      </c>
      <c r="B5">
        <v>15</v>
      </c>
      <c r="C5" s="9">
        <f t="shared" si="0"/>
        <v>45800</v>
      </c>
    </row>
    <row r="6" spans="1:3" x14ac:dyDescent="0.35">
      <c r="A6" t="s">
        <v>497</v>
      </c>
      <c r="B6">
        <v>5</v>
      </c>
      <c r="C6" s="9">
        <f t="shared" si="0"/>
        <v>45807</v>
      </c>
    </row>
    <row r="7" spans="1:3" x14ac:dyDescent="0.35">
      <c r="A7" t="s">
        <v>498</v>
      </c>
      <c r="B7">
        <v>45</v>
      </c>
      <c r="C7" s="9">
        <f t="shared" si="0"/>
        <v>45870</v>
      </c>
    </row>
    <row r="8" spans="1:3" x14ac:dyDescent="0.35">
      <c r="A8" t="s">
        <v>499</v>
      </c>
      <c r="B8">
        <v>10</v>
      </c>
      <c r="C8" s="9">
        <f t="shared" si="0"/>
        <v>45884</v>
      </c>
    </row>
    <row r="9" spans="1:3" x14ac:dyDescent="0.35">
      <c r="A9" t="s">
        <v>500</v>
      </c>
      <c r="B9">
        <v>50</v>
      </c>
      <c r="C9" s="9">
        <f t="shared" si="0"/>
        <v>45954</v>
      </c>
    </row>
    <row r="10" spans="1:3" x14ac:dyDescent="0.35">
      <c r="A10" t="s">
        <v>501</v>
      </c>
      <c r="B10">
        <v>10</v>
      </c>
      <c r="C10" s="9">
        <f t="shared" si="0"/>
        <v>45968</v>
      </c>
    </row>
    <row r="11" spans="1:3" x14ac:dyDescent="0.35">
      <c r="A11" t="s">
        <v>502</v>
      </c>
      <c r="B11">
        <v>5</v>
      </c>
      <c r="C11" s="9">
        <f t="shared" si="0"/>
        <v>45975</v>
      </c>
    </row>
    <row r="12" spans="1:3" x14ac:dyDescent="0.35">
      <c r="A12" t="s">
        <v>503</v>
      </c>
      <c r="B12">
        <v>85</v>
      </c>
      <c r="C12" s="9">
        <f t="shared" si="0"/>
        <v>46094</v>
      </c>
    </row>
    <row r="13" spans="1:3" x14ac:dyDescent="0.35">
      <c r="A13" t="s">
        <v>504</v>
      </c>
      <c r="B13">
        <v>10</v>
      </c>
      <c r="C13" s="9">
        <f t="shared" si="0"/>
        <v>46108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5ED08968429F841957127518CBE11EB" ma:contentTypeVersion="3" ma:contentTypeDescription="Create a new document." ma:contentTypeScope="" ma:versionID="8b55102dfc24a116c3212cdb8818b1af">
  <xsd:schema xmlns:xsd="http://www.w3.org/2001/XMLSchema" xmlns:xs="http://www.w3.org/2001/XMLSchema" xmlns:p="http://schemas.microsoft.com/office/2006/metadata/properties" xmlns:ns2="d42d171d-8134-49e3-9261-5540650d98f6" targetNamespace="http://schemas.microsoft.com/office/2006/metadata/properties" ma:root="true" ma:fieldsID="deb8d1a803aea5bd36c220f7888e5f51" ns2:_="">
    <xsd:import namespace="d42d171d-8134-49e3-9261-5540650d98f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2d171d-8134-49e3-9261-5540650d98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C9E88C5-3946-4D40-BE5A-8B5FCF25A8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2d171d-8134-49e3-9261-5540650d98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04276B-22BA-48E5-8D2C-E35445855F0E}">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purl.org/dc/dcmitype/"/>
    <ds:schemaRef ds:uri="http://purl.org/dc/terms/"/>
    <ds:schemaRef ds:uri="http://schemas.openxmlformats.org/package/2006/metadata/core-properties"/>
    <ds:schemaRef ds:uri="d42d171d-8134-49e3-9261-5540650d98f6"/>
    <ds:schemaRef ds:uri="http://www.w3.org/XML/1998/namespace"/>
  </ds:schemaRefs>
</ds:datastoreItem>
</file>

<file path=customXml/itemProps3.xml><?xml version="1.0" encoding="utf-8"?>
<ds:datastoreItem xmlns:ds="http://schemas.openxmlformats.org/officeDocument/2006/customXml" ds:itemID="{E4DC704B-3B43-4446-949D-CF537C83CBE4}">
  <ds:schemaRefs>
    <ds:schemaRef ds:uri="http://schemas.microsoft.com/sharepoint/v3/contenttype/forms"/>
  </ds:schemaRefs>
</ds:datastoreItem>
</file>

<file path=docMetadata/LabelInfo.xml><?xml version="1.0" encoding="utf-8"?>
<clbl:labelList xmlns:clbl="http://schemas.microsoft.com/office/2020/mipLabelMetadata">
  <clbl:label id="{6ee0f640-a56a-42e2-b6b0-038f80e79f5c}" enabled="1" method="Standard" siteId="{088ba556-7df5-4286-96d5-06283c06d167}" removed="0"/>
  <clbl:label id="{d546e5e1-5d42-4630-bacd-c69bfdcbd5e8}" enabled="1" method="Standard" siteId="{96ece526-9c7d-48b0-8daf-8b93c90a5d1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SIMS_Template</vt:lpstr>
      <vt:lpstr>SIMS</vt:lpstr>
      <vt:lpstr>Inchstone Example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Vale, Walter (SR-Power Systems)</dc:creator>
  <cp:keywords/>
  <dc:description/>
  <cp:lastModifiedBy>G, Rathna</cp:lastModifiedBy>
  <cp:revision/>
  <dcterms:created xsi:type="dcterms:W3CDTF">2025-03-07T14:46:06Z</dcterms:created>
  <dcterms:modified xsi:type="dcterms:W3CDTF">2026-04-30T20:48:24Z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0x01010085ED08968429F841957127518CBE11EB</vt:lpwstr>
  </property>
  <property fmtid="{D5CDD505-2E9C-101B-9397-08002B2CF9AE}" pid="3" name="SGM_SYS_Server">
    <vt:lpwstr>https://accolade.honeywell.com:443</vt:lpwstr>
  </property>
  <property fmtid="{D5CDD505-2E9C-101B-9397-08002B2CF9AE}" pid="4" name="SGM_SYS_ProjectID">
    <vt:i4>0</vt:i4>
  </property>
  <property fmtid="{D5CDD505-2E9C-101B-9397-08002B2CF9AE}" pid="5" name="SGM_SYS_ActivityID">
    <vt:i4>0</vt:i4>
  </property>
  <property fmtid="{D5CDD505-2E9C-101B-9397-08002B2CF9AE}" pid="6" name="SGM_SYS_DeliverableID">
    <vt:i4>0</vt:i4>
  </property>
  <property fmtid="{D5CDD505-2E9C-101B-9397-08002B2CF9AE}" pid="7" name="SGM_SYS_RelatedFileID">
    <vt:i4>0</vt:i4>
  </property>
  <property fmtid="{D5CDD505-2E9C-101B-9397-08002B2CF9AE}" pid="8" name="SGM_SYS_GateDocumentID">
    <vt:i4>0</vt:i4>
  </property>
  <property fmtid="{D5CDD505-2E9C-101B-9397-08002B2CF9AE}" pid="9" name="SGM_SYS_TemplateLibraryID">
    <vt:i4>0</vt:i4>
  </property>
</Properties>
</file>