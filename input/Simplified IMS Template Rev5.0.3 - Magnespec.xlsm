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honaero.sharepoint.com/teams/DL_SR_ToW_India/Shared Documents/IMS/ELE/Sayee/"/>
    </mc:Choice>
  </mc:AlternateContent>
  <xr:revisionPtr revIDLastSave="968" documentId="13_ncr:1_{CE152B62-B260-4332-9BA4-B176FF67B67F}" xr6:coauthVersionLast="47" xr6:coauthVersionMax="47" xr10:uidLastSave="{6873B515-E9F8-4B9D-AB58-E6743CF2C5F5}"/>
  <bookViews>
    <workbookView xWindow="-110" yWindow="-110" windowWidth="19420" windowHeight="10300" tabRatio="587" firstSheet="2" activeTab="2" xr2:uid="{D3CD9099-DA27-4BA4-AFE1-4D3091A45DA0}"/>
  </bookViews>
  <sheets>
    <sheet name="Instructions" sheetId="7" r:id="rId1"/>
    <sheet name="SIMS_Template" sheetId="19" r:id="rId2"/>
    <sheet name="SIMS" sheetId="26" r:id="rId3"/>
    <sheet name="Inchstone Example" sheetId="17" r:id="rId4"/>
  </sheets>
  <definedNames>
    <definedName name="_xlnm._FilterDatabase" localSheetId="0" hidden="1">Instructions!$A$26:$B$26</definedName>
    <definedName name="_xlnm._FilterDatabase" localSheetId="2" hidden="1">SIMS!$A$8:$KY$8</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I56" i="26" l="1"/>
  <c r="EI54" i="26"/>
  <c r="EI52" i="26"/>
  <c r="EI50" i="26"/>
  <c r="EI48" i="26"/>
  <c r="EI46" i="26"/>
  <c r="EI44" i="26"/>
  <c r="EI42" i="26"/>
  <c r="EI40" i="26"/>
  <c r="EI38" i="26"/>
  <c r="EI36" i="26"/>
  <c r="EI34" i="26"/>
  <c r="EI32" i="26"/>
  <c r="EI30" i="26"/>
  <c r="EI28" i="26"/>
  <c r="EI26" i="26"/>
  <c r="EI24" i="26"/>
  <c r="EI22" i="26"/>
  <c r="EI20" i="26"/>
  <c r="EI18" i="26"/>
  <c r="EI16" i="26"/>
  <c r="EI14" i="26"/>
  <c r="EI12" i="26"/>
  <c r="EI10" i="26"/>
  <c r="EH56" i="26"/>
  <c r="EH54" i="26"/>
  <c r="EH52" i="26"/>
  <c r="EH50" i="26"/>
  <c r="EH48" i="26"/>
  <c r="EH46" i="26"/>
  <c r="EH44" i="26"/>
  <c r="EH42" i="26"/>
  <c r="EH40" i="26"/>
  <c r="EH38" i="26"/>
  <c r="EH36" i="26"/>
  <c r="EH34" i="26"/>
  <c r="EH32" i="26"/>
  <c r="EH30" i="26"/>
  <c r="EH28" i="26"/>
  <c r="EH26" i="26"/>
  <c r="EH24" i="26"/>
  <c r="EH22" i="26"/>
  <c r="EH20" i="26"/>
  <c r="EH18" i="26"/>
  <c r="EH16" i="26"/>
  <c r="EH14" i="26"/>
  <c r="EH12" i="26"/>
  <c r="EH10" i="26"/>
  <c r="AG10" i="26"/>
  <c r="AG12" i="26"/>
  <c r="AG14" i="26"/>
  <c r="AG16" i="26"/>
  <c r="AG18" i="26"/>
  <c r="AG20" i="26"/>
  <c r="AG22" i="26"/>
  <c r="AG24" i="26"/>
  <c r="AG26" i="26"/>
  <c r="AG28" i="26"/>
  <c r="AG30" i="26"/>
  <c r="AG32" i="26"/>
  <c r="AG34" i="26"/>
  <c r="AG36" i="26"/>
  <c r="AG38" i="26"/>
  <c r="AG40" i="26"/>
  <c r="AG42" i="26"/>
  <c r="AG44" i="26"/>
  <c r="AG46" i="26"/>
  <c r="AG48" i="26"/>
  <c r="AG50" i="26"/>
  <c r="AG52" i="26"/>
  <c r="AG54" i="26"/>
  <c r="AG56" i="26"/>
  <c r="R56" i="26"/>
  <c r="R54" i="26"/>
  <c r="R52" i="26"/>
  <c r="R50" i="26"/>
  <c r="R48" i="26"/>
  <c r="R46" i="26"/>
  <c r="R44" i="26"/>
  <c r="R42" i="26"/>
  <c r="R40" i="26"/>
  <c r="R38" i="26"/>
  <c r="R36" i="26"/>
  <c r="R34" i="26"/>
  <c r="R32" i="26"/>
  <c r="R30" i="26"/>
  <c r="R28" i="26"/>
  <c r="R26" i="26"/>
  <c r="R24" i="26"/>
  <c r="R22" i="26"/>
  <c r="R20" i="26"/>
  <c r="R18" i="26"/>
  <c r="R16" i="26"/>
  <c r="R14" i="26"/>
  <c r="R12" i="26"/>
  <c r="R10" i="26"/>
  <c r="O56" i="26"/>
  <c r="O54" i="26"/>
  <c r="O52" i="26"/>
  <c r="O50" i="26"/>
  <c r="O48" i="26"/>
  <c r="O46" i="26"/>
  <c r="O44" i="26"/>
  <c r="O42" i="26"/>
  <c r="O40" i="26"/>
  <c r="O38" i="26"/>
  <c r="O36" i="26"/>
  <c r="O34" i="26"/>
  <c r="O32" i="26"/>
  <c r="O30" i="26"/>
  <c r="O28" i="26"/>
  <c r="O26" i="26"/>
  <c r="O24" i="26"/>
  <c r="O22" i="26"/>
  <c r="O20" i="26"/>
  <c r="O18" i="26"/>
  <c r="O16" i="26"/>
  <c r="O14" i="26"/>
  <c r="O12" i="26"/>
  <c r="O10" i="26"/>
  <c r="AD36" i="26"/>
  <c r="AC56" i="26"/>
  <c r="N56" i="26"/>
  <c r="E56" i="26"/>
  <c r="AC54" i="26"/>
  <c r="N54" i="26"/>
  <c r="E54" i="26"/>
  <c r="AC52" i="26"/>
  <c r="N52" i="26"/>
  <c r="Q52" i="26" s="1"/>
  <c r="AA52" i="26"/>
  <c r="E52" i="26"/>
  <c r="AC50" i="26"/>
  <c r="N50" i="26"/>
  <c r="E50" i="26"/>
  <c r="AC48" i="26"/>
  <c r="N48" i="26"/>
  <c r="Q48" i="26" s="1"/>
  <c r="E48" i="26"/>
  <c r="AC46" i="26"/>
  <c r="N46" i="26"/>
  <c r="E46" i="26"/>
  <c r="AC44" i="26"/>
  <c r="N44" i="26"/>
  <c r="X44" i="26"/>
  <c r="E44" i="26"/>
  <c r="AC42" i="26"/>
  <c r="N42" i="26"/>
  <c r="X42" i="26"/>
  <c r="E42" i="26"/>
  <c r="AC40" i="26"/>
  <c r="N40" i="26"/>
  <c r="X40" i="26"/>
  <c r="E40" i="26"/>
  <c r="AC38" i="26"/>
  <c r="N38" i="26"/>
  <c r="E38" i="26"/>
  <c r="AC36" i="26"/>
  <c r="N36" i="26"/>
  <c r="Q36" i="26" s="1"/>
  <c r="E36" i="26"/>
  <c r="AC34" i="26"/>
  <c r="N34" i="26"/>
  <c r="AA34" i="26"/>
  <c r="E34" i="26"/>
  <c r="AC32" i="26"/>
  <c r="N32" i="26"/>
  <c r="E32" i="26"/>
  <c r="AC30" i="26"/>
  <c r="N30" i="26"/>
  <c r="E30" i="26"/>
  <c r="AC28" i="26"/>
  <c r="N28" i="26"/>
  <c r="E28" i="26"/>
  <c r="AC26" i="26"/>
  <c r="N26" i="26"/>
  <c r="E26" i="26"/>
  <c r="AC24" i="26"/>
  <c r="N24" i="26"/>
  <c r="E24" i="26"/>
  <c r="AC22" i="26"/>
  <c r="N22" i="26"/>
  <c r="E22" i="26"/>
  <c r="AC20" i="26"/>
  <c r="N20" i="26"/>
  <c r="Q20" i="26" s="1"/>
  <c r="Z20" i="26" s="1"/>
  <c r="E20" i="26"/>
  <c r="AC18" i="26"/>
  <c r="N18" i="26"/>
  <c r="E18" i="26"/>
  <c r="AC16" i="26"/>
  <c r="N16" i="26"/>
  <c r="Q16" i="26" s="1"/>
  <c r="E16" i="26"/>
  <c r="AC14" i="26"/>
  <c r="N14" i="26"/>
  <c r="Q14" i="26" s="1"/>
  <c r="E14" i="26"/>
  <c r="AC12" i="26"/>
  <c r="N12" i="26"/>
  <c r="Q12" i="26" s="1"/>
  <c r="E12" i="26"/>
  <c r="AC10" i="26"/>
  <c r="N10" i="26"/>
  <c r="E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Q32" i="26" l="1"/>
  <c r="W32" i="26" s="1"/>
  <c r="Q44" i="26"/>
  <c r="Q28" i="26"/>
  <c r="Q30" i="26"/>
  <c r="Q46" i="26"/>
  <c r="Z46" i="26" s="1"/>
  <c r="Z12" i="26"/>
  <c r="Q22" i="26"/>
  <c r="W22" i="26" s="1"/>
  <c r="Q54" i="26"/>
  <c r="Q26" i="26"/>
  <c r="Q42" i="26"/>
  <c r="Q38" i="26"/>
  <c r="Q24" i="26"/>
  <c r="W24" i="26" s="1"/>
  <c r="Q40" i="26"/>
  <c r="Q56" i="26"/>
  <c r="Q18" i="26"/>
  <c r="Z18" i="26" s="1"/>
  <c r="Q34" i="26"/>
  <c r="Q50" i="26"/>
  <c r="Q10" i="26"/>
  <c r="AD44" i="26"/>
  <c r="AD48" i="26"/>
  <c r="AD52" i="26"/>
  <c r="AF52" i="26" s="1"/>
  <c r="AF48" i="26"/>
  <c r="AD12" i="26"/>
  <c r="AF12" i="26" s="1"/>
  <c r="AD16" i="26"/>
  <c r="AF36" i="26"/>
  <c r="AD20" i="26"/>
  <c r="AF20" i="26" s="1"/>
  <c r="AD32" i="26"/>
  <c r="AD18" i="26"/>
  <c r="AF18" i="26" s="1"/>
  <c r="AD34" i="26"/>
  <c r="AF34" i="26" s="1"/>
  <c r="AD50" i="26"/>
  <c r="AF50" i="26" s="1"/>
  <c r="AD22" i="26"/>
  <c r="AF22" i="26" s="1"/>
  <c r="AD38" i="26"/>
  <c r="AD54" i="26"/>
  <c r="AF54" i="26" s="1"/>
  <c r="AF16" i="26"/>
  <c r="AD24" i="26"/>
  <c r="AF24" i="26" s="1"/>
  <c r="AD40" i="26"/>
  <c r="AF40" i="26" s="1"/>
  <c r="AD56" i="26"/>
  <c r="AF56" i="26" s="1"/>
  <c r="AF38" i="26"/>
  <c r="AF44" i="26"/>
  <c r="AD26" i="26"/>
  <c r="AF26" i="26" s="1"/>
  <c r="AD42" i="26"/>
  <c r="AF42" i="26" s="1"/>
  <c r="AD28" i="26"/>
  <c r="AF28" i="26" s="1"/>
  <c r="AD14" i="26"/>
  <c r="AF14" i="26" s="1"/>
  <c r="AD30" i="26"/>
  <c r="AF30" i="26" s="1"/>
  <c r="AD46" i="26"/>
  <c r="AF46" i="26" s="1"/>
  <c r="AD10" i="26"/>
  <c r="AF10" i="26" s="1"/>
  <c r="AF32" i="26"/>
  <c r="Z42" i="26"/>
  <c r="W42" i="26"/>
  <c r="X26" i="26"/>
  <c r="Z56" i="26"/>
  <c r="W56" i="26"/>
  <c r="X56" i="26"/>
  <c r="X54" i="26"/>
  <c r="W54" i="26"/>
  <c r="Z54" i="26"/>
  <c r="W52" i="26"/>
  <c r="Z52" i="26"/>
  <c r="AI52" i="26" s="1"/>
  <c r="X52" i="26"/>
  <c r="Z50" i="26"/>
  <c r="W50" i="26"/>
  <c r="X50" i="26"/>
  <c r="X48" i="26"/>
  <c r="Z48" i="26"/>
  <c r="W48" i="26"/>
  <c r="X46" i="26"/>
  <c r="W46" i="26"/>
  <c r="W44" i="26"/>
  <c r="Z44" i="26"/>
  <c r="W40" i="26"/>
  <c r="Z40" i="26"/>
  <c r="X38" i="26"/>
  <c r="W38" i="26"/>
  <c r="Z38" i="26"/>
  <c r="X36" i="26"/>
  <c r="W36" i="26"/>
  <c r="Z36" i="26"/>
  <c r="W34" i="26"/>
  <c r="Z34" i="26"/>
  <c r="AI34" i="26" s="1"/>
  <c r="X34" i="26"/>
  <c r="X32" i="26"/>
  <c r="Z32" i="26"/>
  <c r="W30" i="26"/>
  <c r="Z30" i="26"/>
  <c r="X30" i="26"/>
  <c r="X28" i="26"/>
  <c r="W28" i="26"/>
  <c r="Z28" i="26"/>
  <c r="W26" i="26"/>
  <c r="Z26" i="26"/>
  <c r="X24" i="26"/>
  <c r="Z24" i="26"/>
  <c r="X22" i="26"/>
  <c r="Z22" i="26"/>
  <c r="X20" i="26"/>
  <c r="W20" i="26"/>
  <c r="X18" i="26"/>
  <c r="W18" i="26"/>
  <c r="X16" i="26"/>
  <c r="W16" i="26"/>
  <c r="Z16" i="26"/>
  <c r="Z14" i="26"/>
  <c r="W14" i="26"/>
  <c r="X14" i="26"/>
  <c r="X12" i="26"/>
  <c r="W12" i="26"/>
  <c r="Z10" i="26"/>
  <c r="W10" i="26"/>
  <c r="X10" i="26"/>
  <c r="A4" i="7" a="1"/>
  <c r="A4" i="7" s="1"/>
  <c r="N12" i="19"/>
  <c r="AA24" i="26" l="1"/>
  <c r="AA32" i="26"/>
  <c r="AA44" i="26"/>
  <c r="AI44" i="26" s="1"/>
  <c r="AA46" i="26"/>
  <c r="AI46" i="26" s="1"/>
  <c r="AA56" i="26"/>
  <c r="AI56" i="26" s="1"/>
  <c r="AI24" i="26"/>
  <c r="AA12" i="26"/>
  <c r="AI12" i="26" s="1"/>
  <c r="AA16" i="26"/>
  <c r="AI16" i="26" s="1"/>
  <c r="AA20" i="26"/>
  <c r="AI20" i="26" s="1"/>
  <c r="AA30" i="26"/>
  <c r="AI30" i="26" s="1"/>
  <c r="AA38" i="26"/>
  <c r="AI38" i="26" s="1"/>
  <c r="AA40" i="26"/>
  <c r="AI40" i="26" s="1"/>
  <c r="AA48" i="26"/>
  <c r="AI48" i="26" s="1"/>
  <c r="AA26" i="26"/>
  <c r="AI26" i="26" s="1"/>
  <c r="AA22" i="26"/>
  <c r="AI22" i="26" s="1"/>
  <c r="AA42" i="26"/>
  <c r="AI42" i="26" s="1"/>
  <c r="AA28" i="26"/>
  <c r="AI28" i="26" s="1"/>
  <c r="AA14" i="26"/>
  <c r="AI14" i="26" s="1"/>
  <c r="AA50" i="26"/>
  <c r="AI50" i="26" s="1"/>
  <c r="AA18" i="26"/>
  <c r="AI18" i="26" s="1"/>
  <c r="AI32" i="26"/>
  <c r="AA36" i="26"/>
  <c r="AI36" i="26" s="1"/>
  <c r="AA54" i="26"/>
  <c r="AI54" i="26" s="1"/>
  <c r="AA10" i="26"/>
  <c r="AI10" i="26" s="1"/>
  <c r="H18" i="19"/>
  <c r="H16" i="19"/>
  <c r="H14" i="19"/>
  <c r="H12" i="19"/>
  <c r="H10" i="19"/>
  <c r="AL52" i="26" l="1"/>
  <c r="AL34" i="26"/>
  <c r="AL32" i="26"/>
  <c r="AL28" i="26"/>
  <c r="AL14" i="26"/>
  <c r="E10" i="19"/>
  <c r="E18" i="19"/>
  <c r="E16" i="19"/>
  <c r="E14" i="19"/>
  <c r="E12" i="19"/>
  <c r="AL12" i="26" l="1"/>
  <c r="AL24" i="26"/>
  <c r="AL40" i="26"/>
  <c r="CO34" i="26"/>
  <c r="CR34" i="26" s="1"/>
  <c r="AL20" i="26"/>
  <c r="AL16" i="26"/>
  <c r="AL10" i="26"/>
  <c r="AL26" i="26"/>
  <c r="AL42" i="26"/>
  <c r="AL56" i="26"/>
  <c r="AL46" i="26"/>
  <c r="AL30" i="26"/>
  <c r="AL36" i="26"/>
  <c r="AL44" i="26"/>
  <c r="AL38" i="26"/>
  <c r="AL48" i="26"/>
  <c r="AL54" i="26"/>
  <c r="AL18" i="26"/>
  <c r="AL22" i="26"/>
  <c r="AL50" i="26"/>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CO40" i="26" l="1"/>
  <c r="CO22" i="26"/>
  <c r="CR22" i="26" s="1"/>
  <c r="CO14" i="26"/>
  <c r="CR14" i="26" s="1"/>
  <c r="CU14" i="26" s="1"/>
  <c r="FT33" i="26"/>
  <c r="CV34" i="26"/>
  <c r="H34" i="26"/>
  <c r="CU34" i="26"/>
  <c r="DG34" i="26" s="1"/>
  <c r="DK34" i="26" s="1"/>
  <c r="EF34" i="26" s="1"/>
  <c r="FA34" i="26" s="1"/>
  <c r="FJ34" i="26" s="1"/>
  <c r="CU22" i="26"/>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CQ14" i="26" l="1"/>
  <c r="CR40" i="26"/>
  <c r="CQ40" i="26"/>
  <c r="CO52" i="26"/>
  <c r="CR52" i="26" s="1"/>
  <c r="CO16" i="26"/>
  <c r="CR16" i="26" s="1"/>
  <c r="CU16" i="26" s="1"/>
  <c r="CQ34" i="26"/>
  <c r="FU34" i="26" s="1"/>
  <c r="CO26" i="26"/>
  <c r="CO24" i="26"/>
  <c r="FT34" i="26"/>
  <c r="FT21" i="26"/>
  <c r="CV22" i="26"/>
  <c r="CO36" i="26"/>
  <c r="CR36" i="26" s="1"/>
  <c r="DG22" i="26"/>
  <c r="DK22" i="26" s="1"/>
  <c r="EF22" i="26" s="1"/>
  <c r="FA22" i="26" s="1"/>
  <c r="FJ22" i="26" s="1"/>
  <c r="CU40" i="26"/>
  <c r="H14" i="26"/>
  <c r="CO18" i="26"/>
  <c r="CR18" i="26" s="1"/>
  <c r="CQ16" i="26"/>
  <c r="CO32" i="26"/>
  <c r="CR32" i="26" s="1"/>
  <c r="CO48" i="26"/>
  <c r="CO46" i="26"/>
  <c r="CR46" i="26" s="1"/>
  <c r="CO12" i="26"/>
  <c r="CR12" i="26" s="1"/>
  <c r="CO42" i="26"/>
  <c r="CR42" i="26" s="1"/>
  <c r="CO44" i="26"/>
  <c r="H22" i="26"/>
  <c r="CO28" i="26"/>
  <c r="CR28" i="26" s="1"/>
  <c r="CO20" i="26"/>
  <c r="CR20" i="26" s="1"/>
  <c r="CO10" i="26"/>
  <c r="CR10" i="26" s="1"/>
  <c r="FR34" i="26"/>
  <c r="FM34" i="26"/>
  <c r="FP34" i="26" s="1"/>
  <c r="FV34" i="26"/>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H16" i="26" l="1"/>
  <c r="CQ22" i="26"/>
  <c r="FU22" i="26" s="1"/>
  <c r="CQ32" i="26"/>
  <c r="CO38" i="26"/>
  <c r="CR38" i="26" s="1"/>
  <c r="FT22" i="26"/>
  <c r="CQ28" i="26"/>
  <c r="CU28" i="26" s="1"/>
  <c r="H40" i="26"/>
  <c r="CO56" i="26"/>
  <c r="CR56" i="26" s="1"/>
  <c r="CQ46" i="26"/>
  <c r="CU52" i="26"/>
  <c r="H52" i="26"/>
  <c r="CQ52" i="26"/>
  <c r="CO50" i="26"/>
  <c r="FV22" i="26"/>
  <c r="FM22" i="26"/>
  <c r="FP22" i="26" s="1"/>
  <c r="FU21" i="26" s="1"/>
  <c r="FR22" i="26"/>
  <c r="H20" i="26"/>
  <c r="CR44" i="26"/>
  <c r="CQ44" i="26"/>
  <c r="H12" i="26"/>
  <c r="CU12" i="26"/>
  <c r="H32" i="26"/>
  <c r="CU32" i="26"/>
  <c r="CQ18" i="26"/>
  <c r="CQ12" i="26"/>
  <c r="CR24" i="26"/>
  <c r="CQ24" i="26"/>
  <c r="H18" i="26"/>
  <c r="CU18" i="26"/>
  <c r="CV40" i="26"/>
  <c r="DG40" i="26" s="1"/>
  <c r="DK40" i="26" s="1"/>
  <c r="EF40" i="26" s="1"/>
  <c r="FA40" i="26" s="1"/>
  <c r="FJ40" i="26" s="1"/>
  <c r="CQ20" i="26"/>
  <c r="CQ10" i="26"/>
  <c r="H28" i="26"/>
  <c r="CO30" i="26"/>
  <c r="H46" i="26"/>
  <c r="CU46" i="26"/>
  <c r="CR26" i="26"/>
  <c r="CQ26" i="26"/>
  <c r="CQ36" i="26"/>
  <c r="CQ42" i="26"/>
  <c r="CO54" i="26"/>
  <c r="H42" i="26"/>
  <c r="CU42" i="26"/>
  <c r="CR48" i="26"/>
  <c r="CQ48" i="26"/>
  <c r="CV14" i="26"/>
  <c r="DG14" i="26" s="1"/>
  <c r="DK14" i="26" s="1"/>
  <c r="EF14" i="26" s="1"/>
  <c r="FA14" i="26" s="1"/>
  <c r="FJ14" i="26" s="1"/>
  <c r="H36" i="26"/>
  <c r="CU36" i="26"/>
  <c r="CV16" i="26"/>
  <c r="DG16" i="26" s="1"/>
  <c r="DK16" i="26" s="1"/>
  <c r="EF16" i="26" s="1"/>
  <c r="FA16" i="26" s="1"/>
  <c r="FJ16" i="26" s="1"/>
  <c r="H10" i="26"/>
  <c r="CU10" i="26"/>
  <c r="FV33" i="26"/>
  <c r="FU33" i="26"/>
  <c r="AX12" i="19"/>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FV21" i="26" l="1"/>
  <c r="CU38" i="26"/>
  <c r="H38" i="26"/>
  <c r="CV56" i="26"/>
  <c r="DG56" i="26" s="1"/>
  <c r="DK56" i="26" s="1"/>
  <c r="EF56" i="26" s="1"/>
  <c r="FA56" i="26" s="1"/>
  <c r="FJ56" i="26" s="1"/>
  <c r="FT55" i="26"/>
  <c r="CR50" i="26"/>
  <c r="CQ50" i="26"/>
  <c r="CQ38" i="26"/>
  <c r="CV52" i="26"/>
  <c r="DG52" i="26" s="1"/>
  <c r="DK52" i="26" s="1"/>
  <c r="EF52" i="26" s="1"/>
  <c r="FA52" i="26" s="1"/>
  <c r="FJ52" i="26" s="1"/>
  <c r="FU52" i="26" s="1"/>
  <c r="CU56" i="26"/>
  <c r="H56" i="26"/>
  <c r="CQ56" i="26"/>
  <c r="FM40" i="26"/>
  <c r="FP40" i="26" s="1"/>
  <c r="FV40" i="26"/>
  <c r="FU40" i="26"/>
  <c r="H24" i="26"/>
  <c r="CU24" i="26"/>
  <c r="FV14" i="26"/>
  <c r="FU14" i="26"/>
  <c r="FM14" i="26"/>
  <c r="FP14" i="26" s="1"/>
  <c r="CV42" i="26"/>
  <c r="DG42" i="26" s="1"/>
  <c r="DK42" i="26" s="1"/>
  <c r="EF42" i="26" s="1"/>
  <c r="FA42" i="26" s="1"/>
  <c r="FJ42" i="26" s="1"/>
  <c r="FT13" i="26"/>
  <c r="FT14" i="26"/>
  <c r="CR30" i="26"/>
  <c r="CQ30" i="26"/>
  <c r="CV18" i="26"/>
  <c r="DG18" i="26" s="1"/>
  <c r="DK18" i="26" s="1"/>
  <c r="EF18" i="26" s="1"/>
  <c r="FA18" i="26" s="1"/>
  <c r="FJ18" i="26" s="1"/>
  <c r="H44" i="26"/>
  <c r="CU44" i="26"/>
  <c r="CV32" i="26"/>
  <c r="DG32" i="26" s="1"/>
  <c r="DK32" i="26" s="1"/>
  <c r="EF32" i="26" s="1"/>
  <c r="FA32" i="26" s="1"/>
  <c r="FJ32" i="26" s="1"/>
  <c r="FU16" i="26"/>
  <c r="FR16" i="26"/>
  <c r="FM16" i="26"/>
  <c r="FP16" i="26" s="1"/>
  <c r="FV16" i="26"/>
  <c r="FT15" i="26"/>
  <c r="FT16" i="26"/>
  <c r="CV20" i="26"/>
  <c r="H26" i="26"/>
  <c r="CU26" i="26"/>
  <c r="CV12" i="26"/>
  <c r="DG12" i="26" s="1"/>
  <c r="DK12" i="26" s="1"/>
  <c r="EF12" i="26" s="1"/>
  <c r="FA12" i="26" s="1"/>
  <c r="FJ12" i="26" s="1"/>
  <c r="CV46" i="26"/>
  <c r="DG46" i="26" s="1"/>
  <c r="DK46" i="26" s="1"/>
  <c r="EF46" i="26" s="1"/>
  <c r="FA46" i="26" s="1"/>
  <c r="FJ46" i="26" s="1"/>
  <c r="CR54" i="26"/>
  <c r="CQ54" i="26"/>
  <c r="CV36" i="26"/>
  <c r="DG36" i="26" s="1"/>
  <c r="DK36" i="26" s="1"/>
  <c r="EF36" i="26" s="1"/>
  <c r="FA36" i="26" s="1"/>
  <c r="FJ36" i="26" s="1"/>
  <c r="CV28" i="26"/>
  <c r="DG28" i="26" s="1"/>
  <c r="DK28" i="26" s="1"/>
  <c r="EF28" i="26" s="1"/>
  <c r="FA28" i="26" s="1"/>
  <c r="FJ28" i="26" s="1"/>
  <c r="CU20" i="26"/>
  <c r="H48" i="26"/>
  <c r="CU48" i="26"/>
  <c r="FT39" i="26"/>
  <c r="FT40" i="26"/>
  <c r="CV10" i="26"/>
  <c r="DG10" i="26" s="1"/>
  <c r="DK10" i="26" s="1"/>
  <c r="EF10" i="26" s="1"/>
  <c r="FA10" i="26" s="1"/>
  <c r="FJ10" i="26" s="1"/>
  <c r="AX10" i="19"/>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FV56" i="26" l="1"/>
  <c r="FM56" i="26"/>
  <c r="FP56" i="26" s="1"/>
  <c r="FM52" i="26"/>
  <c r="FP52" i="26" s="1"/>
  <c r="FV52" i="26"/>
  <c r="FT51" i="26"/>
  <c r="FT52" i="26"/>
  <c r="FT56" i="26"/>
  <c r="FU56" i="26"/>
  <c r="H50" i="26"/>
  <c r="CU50" i="26"/>
  <c r="FR56" i="26"/>
  <c r="CV38" i="26"/>
  <c r="DG38" i="26" s="1"/>
  <c r="DK38" i="26" s="1"/>
  <c r="EF38" i="26" s="1"/>
  <c r="FA38" i="26" s="1"/>
  <c r="FJ38" i="26" s="1"/>
  <c r="FM32" i="26"/>
  <c r="FP32" i="26" s="1"/>
  <c r="FV32" i="26"/>
  <c r="FR32" i="26"/>
  <c r="FU32" i="26"/>
  <c r="FU42" i="26"/>
  <c r="FM42" i="26"/>
  <c r="FP42" i="26" s="1"/>
  <c r="FV42" i="26"/>
  <c r="FU18" i="26"/>
  <c r="FM18" i="26"/>
  <c r="FP18" i="26" s="1"/>
  <c r="FV18" i="26"/>
  <c r="FM12" i="26"/>
  <c r="FP12" i="26" s="1"/>
  <c r="FV12" i="26"/>
  <c r="FU12" i="26"/>
  <c r="FM36" i="26"/>
  <c r="FP36" i="26" s="1"/>
  <c r="FV36" i="26"/>
  <c r="FU28" i="26"/>
  <c r="FM28" i="26"/>
  <c r="FP28" i="26" s="1"/>
  <c r="FV28" i="26"/>
  <c r="CV24" i="26"/>
  <c r="DG24" i="26" s="1"/>
  <c r="DK24" i="26" s="1"/>
  <c r="EF24" i="26" s="1"/>
  <c r="FA24" i="26" s="1"/>
  <c r="FJ24" i="26" s="1"/>
  <c r="CV26" i="26"/>
  <c r="DG26" i="26" s="1"/>
  <c r="DK26" i="26" s="1"/>
  <c r="EF26" i="26" s="1"/>
  <c r="FA26" i="26" s="1"/>
  <c r="FJ26" i="26" s="1"/>
  <c r="FT17" i="26"/>
  <c r="FT18" i="26"/>
  <c r="CV44" i="26"/>
  <c r="CU30" i="26"/>
  <c r="CV48" i="26"/>
  <c r="FT41" i="26"/>
  <c r="FT42" i="26"/>
  <c r="FT31" i="26"/>
  <c r="FT32" i="26"/>
  <c r="DG44" i="26"/>
  <c r="DK44" i="26" s="1"/>
  <c r="EF44" i="26" s="1"/>
  <c r="FA44" i="26" s="1"/>
  <c r="FJ44" i="26" s="1"/>
  <c r="H30" i="26"/>
  <c r="FV13" i="26"/>
  <c r="FU13" i="26"/>
  <c r="FT27" i="26"/>
  <c r="FT28" i="26"/>
  <c r="FT35" i="26"/>
  <c r="FT36" i="26"/>
  <c r="FT45" i="26"/>
  <c r="FT46" i="26"/>
  <c r="FU36" i="26"/>
  <c r="FR14" i="26"/>
  <c r="FU46" i="26"/>
  <c r="FM46" i="26"/>
  <c r="FP46" i="26" s="1"/>
  <c r="FV46" i="26"/>
  <c r="FU15" i="26"/>
  <c r="FV15" i="26"/>
  <c r="CV54" i="26"/>
  <c r="FV39" i="26"/>
  <c r="FU39" i="26"/>
  <c r="FT11" i="26"/>
  <c r="FT12" i="26"/>
  <c r="DG48" i="26"/>
  <c r="DK48" i="26" s="1"/>
  <c r="EF48" i="26" s="1"/>
  <c r="FA48" i="26" s="1"/>
  <c r="FJ48" i="26" s="1"/>
  <c r="DG20" i="26"/>
  <c r="DK20" i="26" s="1"/>
  <c r="EF20" i="26" s="1"/>
  <c r="FA20" i="26" s="1"/>
  <c r="FJ20" i="26" s="1"/>
  <c r="H54" i="26"/>
  <c r="CU54" i="26"/>
  <c r="FT19" i="26"/>
  <c r="FT20" i="26"/>
  <c r="FR40" i="26"/>
  <c r="FT9" i="26"/>
  <c r="FT10" i="26"/>
  <c r="FU10" i="26"/>
  <c r="FM10" i="26"/>
  <c r="FP10" i="26" s="1"/>
  <c r="FV10" i="26"/>
  <c r="CQ18" i="19"/>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DG54" i="26" l="1"/>
  <c r="DK54" i="26" s="1"/>
  <c r="EF54" i="26" s="1"/>
  <c r="FA54" i="26" s="1"/>
  <c r="FJ54" i="26" s="1"/>
  <c r="CV50" i="26"/>
  <c r="DG50" i="26" s="1"/>
  <c r="DK50" i="26" s="1"/>
  <c r="EF50" i="26" s="1"/>
  <c r="FA50" i="26" s="1"/>
  <c r="FJ50" i="26" s="1"/>
  <c r="FU51" i="26"/>
  <c r="FV51" i="26"/>
  <c r="FR46" i="26"/>
  <c r="FT37" i="26"/>
  <c r="FT38" i="26"/>
  <c r="FR52" i="26"/>
  <c r="FR38" i="26"/>
  <c r="FM38" i="26"/>
  <c r="FP38" i="26" s="1"/>
  <c r="FV38" i="26"/>
  <c r="FU55" i="26"/>
  <c r="FV55" i="26"/>
  <c r="FU38" i="26"/>
  <c r="FR10" i="26"/>
  <c r="FV26" i="26"/>
  <c r="FM26" i="26"/>
  <c r="FP26" i="26" s="1"/>
  <c r="FU26" i="26"/>
  <c r="FM44" i="26"/>
  <c r="FP44" i="26" s="1"/>
  <c r="FV44" i="26"/>
  <c r="FU44" i="26"/>
  <c r="FR12" i="26"/>
  <c r="FT43" i="26"/>
  <c r="FT44" i="26"/>
  <c r="FV27" i="26"/>
  <c r="FU27" i="26"/>
  <c r="FV41" i="26"/>
  <c r="FU41" i="26"/>
  <c r="FV35" i="26"/>
  <c r="FU35" i="26"/>
  <c r="FU45" i="26"/>
  <c r="FV45" i="26"/>
  <c r="FT23" i="26"/>
  <c r="FT24" i="26"/>
  <c r="FR42" i="26"/>
  <c r="FT53" i="26"/>
  <c r="FT54" i="26"/>
  <c r="FR28" i="26"/>
  <c r="FU11" i="26"/>
  <c r="FV11" i="26"/>
  <c r="FU54" i="26"/>
  <c r="FM54" i="26"/>
  <c r="FP54" i="26" s="1"/>
  <c r="FV54" i="26"/>
  <c r="FM20" i="26"/>
  <c r="FP20" i="26" s="1"/>
  <c r="FR20" i="26"/>
  <c r="FV20" i="26"/>
  <c r="FU20" i="26"/>
  <c r="FR18" i="26"/>
  <c r="FU48" i="26"/>
  <c r="FM48" i="26"/>
  <c r="FP48" i="26" s="1"/>
  <c r="FV48" i="26"/>
  <c r="FU24" i="26"/>
  <c r="FR24" i="26"/>
  <c r="FM24" i="26"/>
  <c r="FP24" i="26" s="1"/>
  <c r="FV24" i="26"/>
  <c r="CV30" i="26"/>
  <c r="DG30" i="26" s="1"/>
  <c r="DK30" i="26" s="1"/>
  <c r="EF30" i="26" s="1"/>
  <c r="FA30" i="26" s="1"/>
  <c r="FJ30" i="26" s="1"/>
  <c r="FT25" i="26"/>
  <c r="FT26" i="26"/>
  <c r="FR36" i="26"/>
  <c r="FV17" i="26"/>
  <c r="FU17" i="26"/>
  <c r="FT47" i="26"/>
  <c r="FT48" i="26"/>
  <c r="FV31" i="26"/>
  <c r="FU31" i="26"/>
  <c r="FU9" i="26"/>
  <c r="FV9" i="26"/>
  <c r="CU12" i="19"/>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FV50" i="26" l="1"/>
  <c r="FM50" i="26"/>
  <c r="FP50" i="26" s="1"/>
  <c r="FU50" i="26"/>
  <c r="FR48" i="26"/>
  <c r="FR44" i="26"/>
  <c r="FU37" i="26"/>
  <c r="FV37" i="26"/>
  <c r="FT49" i="26"/>
  <c r="FT50" i="26"/>
  <c r="FU30" i="26"/>
  <c r="FM30" i="26"/>
  <c r="FP30" i="26" s="1"/>
  <c r="FV30" i="26"/>
  <c r="FU47" i="26"/>
  <c r="FV47" i="26"/>
  <c r="FV43" i="26"/>
  <c r="FU43" i="26"/>
  <c r="FR54" i="26"/>
  <c r="FT29" i="26"/>
  <c r="FT30" i="26"/>
  <c r="FU23" i="26"/>
  <c r="FV23" i="26"/>
  <c r="FR26" i="26"/>
  <c r="FV53" i="26"/>
  <c r="FU53" i="26"/>
  <c r="FU25" i="26"/>
  <c r="FV25" i="26"/>
  <c r="FU19" i="26"/>
  <c r="FV19" i="26"/>
  <c r="CT12" i="19"/>
  <c r="CT16" i="19"/>
  <c r="CU16" i="19"/>
  <c r="DC16" i="19" s="1"/>
  <c r="DF16" i="19" s="1"/>
  <c r="DJ16" i="19" s="1"/>
  <c r="DM16" i="19" s="1"/>
  <c r="DP16" i="19" s="1"/>
  <c r="DT16" i="19" s="1"/>
  <c r="DX16" i="19" s="1"/>
  <c r="CT18" i="19"/>
  <c r="CT14" i="19"/>
  <c r="DF14" i="19" s="1"/>
  <c r="DT18" i="19"/>
  <c r="DX18" i="19" s="1"/>
  <c r="EB18" i="19" s="1"/>
  <c r="CQ14" i="19"/>
  <c r="FU49" i="26" l="1"/>
  <c r="FV49" i="26"/>
  <c r="FR50" i="26"/>
  <c r="FR30" i="26"/>
  <c r="FU29" i="26"/>
  <c r="FV29" i="26"/>
  <c r="DD16" i="19"/>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V10" i="19" l="1"/>
  <c r="FU10" i="19"/>
  <c r="FM10" i="19"/>
  <c r="EN12" i="19"/>
  <c r="ET12" i="19"/>
  <c r="EQ12" i="19"/>
  <c r="ER12" i="19"/>
  <c r="EO12" i="19"/>
  <c r="EU12" i="19"/>
  <c r="EC18" i="19"/>
  <c r="EF18" i="19" s="1"/>
  <c r="EX12" i="19" l="1"/>
  <c r="FA12" i="19" s="1"/>
  <c r="FJ12" i="19" s="1"/>
  <c r="EW12" i="19"/>
  <c r="EZ12" i="19" s="1"/>
  <c r="FI12" i="19" s="1"/>
  <c r="EO18" i="19"/>
  <c r="EU18" i="19"/>
  <c r="ER18" i="19"/>
  <c r="EB16" i="19"/>
  <c r="EE16" i="19" s="1"/>
  <c r="EC16" i="19"/>
  <c r="EF16" i="19" s="1"/>
  <c r="EC14" i="19"/>
  <c r="EF14" i="19" s="1"/>
  <c r="EB14" i="19"/>
  <c r="EE14" i="19" s="1"/>
  <c r="FL12" i="19" l="1"/>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11" i="19" l="1"/>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<sst xmlns="http://schemas.openxmlformats.org/spreadsheetml/2006/main" count="1075" uniqueCount="517">
  <si>
    <t>Mandatory Information</t>
  </si>
  <si>
    <t>Cells B3 to B6 are mandatory, make sure these are filled out before saving this file.
Please do not add rows or columns before this section. Do not rename the titles on column A either.</t>
  </si>
  <si>
    <t>Save SIMS by</t>
  </si>
  <si>
    <t>Project Name</t>
  </si>
  <si>
    <t>Magnespec</t>
  </si>
  <si>
    <t>Project Manager</t>
  </si>
  <si>
    <t>Sayee Thakare</t>
  </si>
  <si>
    <t>Supplier Transitions &amp; Repositions Team</t>
  </si>
  <si>
    <t>ELE</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</si>
  <si>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</si>
  <si>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</si>
  <si>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</si>
  <si>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</si>
  <si>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</si>
  <si>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</si>
  <si>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</si>
  <si>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</si>
  <si>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</si>
  <si>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</si>
  <si>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</si>
  <si>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</si>
  <si>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</si>
  <si>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</si>
  <si>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</si>
  <si>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</si>
  <si>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</si>
  <si>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</si>
  <si>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</si>
  <si>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</si>
  <si>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</si>
  <si>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</si>
  <si>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</si>
  <si>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</si>
  <si>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</si>
  <si>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</si>
  <si>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</si>
  <si>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</si>
  <si>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</si>
  <si>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</si>
  <si>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</si>
  <si>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</si>
  <si>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</si>
  <si>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</si>
  <si>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</si>
  <si>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</si>
  <si>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</si>
  <si>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</si>
  <si>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</si>
  <si>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</si>
  <si>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</si>
  <si>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</si>
  <si>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</si>
  <si>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</si>
  <si>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</si>
  <si>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</si>
  <si>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</si>
  <si>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</si>
  <si>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</si>
  <si>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</si>
  <si>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</si>
  <si>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</si>
  <si>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</si>
  <si>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</si>
  <si>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</si>
  <si>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</si>
  <si>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</si>
  <si>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</si>
  <si>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</si>
  <si>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</si>
  <si>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</si>
  <si>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</si>
  <si>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</si>
  <si>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</si>
  <si>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</si>
  <si>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</si>
  <si>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</si>
  <si>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</si>
  <si>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</si>
  <si>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</si>
  <si>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</si>
  <si>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</si>
  <si>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</si>
  <si>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</si>
  <si>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</si>
  <si>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</si>
  <si>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</si>
  <si>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</si>
  <si>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</si>
  <si>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</si>
  <si>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</si>
  <si>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</si>
  <si>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</si>
  <si>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</si>
  <si>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</si>
  <si>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</si>
  <si>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</si>
  <si>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</si>
  <si>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</si>
  <si>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</si>
  <si>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</si>
  <si>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</si>
  <si>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</si>
  <si>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</si>
  <si>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</si>
  <si>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</si>
  <si>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</si>
  <si>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</si>
  <si>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</si>
  <si>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</si>
  <si>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</si>
  <si>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</si>
  <si>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</si>
  <si>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</si>
  <si>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</si>
  <si>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</si>
  <si>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</si>
  <si>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</si>
  <si>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</si>
  <si>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</si>
  <si>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</si>
  <si>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</si>
  <si>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</si>
  <si>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</si>
  <si>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</si>
  <si>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</si>
  <si>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</si>
  <si>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</si>
  <si>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</si>
  <si>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</si>
  <si>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</si>
  <si>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</si>
  <si>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</si>
  <si>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</si>
  <si>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</si>
  <si>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</si>
  <si>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</si>
  <si>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</si>
  <si>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</si>
  <si>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</si>
  <si>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</si>
  <si>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</si>
  <si>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</si>
  <si>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</si>
  <si>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</si>
  <si>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</si>
  <si>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</si>
  <si>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</si>
  <si>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</si>
  <si>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</si>
  <si>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</si>
  <si>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</si>
  <si>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</si>
  <si>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</si>
  <si>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</si>
  <si>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</si>
  <si>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</si>
  <si>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</si>
  <si>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</si>
  <si>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</si>
  <si>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</si>
  <si>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</si>
  <si>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</si>
  <si>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</si>
  <si>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</si>
  <si>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</si>
  <si>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</si>
  <si>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</si>
  <si>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</si>
  <si>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</si>
  <si>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</si>
  <si>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</si>
  <si>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</si>
  <si>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</si>
  <si>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</si>
  <si>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</si>
  <si>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</si>
  <si>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</si>
  <si>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</si>
  <si>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</si>
  <si>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</si>
  <si>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</si>
  <si>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</si>
  <si>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</si>
  <si>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</si>
  <si>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</si>
  <si>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</si>
  <si>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</si>
  <si>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</si>
  <si>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</si>
  <si>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</si>
  <si>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</si>
  <si>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</si>
  <si>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</si>
  <si>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</si>
  <si>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</si>
  <si>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</si>
  <si>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</si>
  <si>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</si>
  <si>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</si>
  <si>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</si>
  <si>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</si>
  <si>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</si>
  <si>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</si>
  <si>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</si>
  <si>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</si>
  <si>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</si>
  <si>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</si>
  <si>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</si>
  <si>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</si>
  <si>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</si>
  <si>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</si>
  <si>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</si>
  <si>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</si>
  <si>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</si>
  <si>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</si>
  <si>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</si>
  <si>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</si>
  <si>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</si>
  <si>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</si>
  <si>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</si>
  <si>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</si>
  <si>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</si>
  <si>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</si>
  <si>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</si>
  <si>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</si>
  <si>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</si>
  <si>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</si>
  <si>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</si>
  <si>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</si>
  <si>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</si>
  <si>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</si>
  <si>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</si>
  <si>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</si>
  <si>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</si>
  <si>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</si>
  <si>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</si>
  <si>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</si>
  <si>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</si>
  <si>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</si>
  <si>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</si>
  <si>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</si>
  <si>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</si>
  <si>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</si>
  <si>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</si>
  <si>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</si>
  <si>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</si>
  <si>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</si>
  <si>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</si>
  <si>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</si>
  <si>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</si>
  <si>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</si>
  <si>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</si>
  <si>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</si>
  <si>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</si>
  <si>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</si>
  <si>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</si>
  <si>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</si>
  <si>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</si>
  <si>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</si>
  <si>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</si>
  <si>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</si>
  <si>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</si>
  <si>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</si>
  <si>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</si>
  <si>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</si>
  <si>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</si>
  <si>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</si>
  <si>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</si>
  <si>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</si>
  <si>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</si>
  <si>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</si>
  <si>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</si>
  <si>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</si>
  <si>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</si>
  <si>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</si>
  <si>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</si>
  <si>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</si>
  <si>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</si>
  <si>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</si>
  <si>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</si>
  <si>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</si>
  <si>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</si>
  <si>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</si>
  <si>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</si>
  <si>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</si>
  <si>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</si>
  <si>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</si>
  <si>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</si>
  <si>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</si>
  <si>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</si>
  <si>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</si>
  <si>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</si>
  <si>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</si>
  <si>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</si>
  <si>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</si>
  <si>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</si>
  <si>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</si>
  <si>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</si>
  <si>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</si>
  <si>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</si>
  <si>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</si>
  <si>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</si>
  <si>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</si>
  <si>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</si>
  <si>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</si>
  <si>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</si>
  <si>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</si>
  <si>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</si>
  <si>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</si>
  <si>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</si>
  <si>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</si>
  <si>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</si>
  <si>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</si>
  <si>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</si>
  <si>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</si>
  <si>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</si>
  <si>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</si>
  <si>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</si>
  <si>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</si>
  <si>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</si>
  <si>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</si>
  <si>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</si>
  <si>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</si>
  <si>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</si>
  <si>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</si>
  <si>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</si>
  <si>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</si>
  <si>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</si>
  <si>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</si>
  <si>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</si>
  <si>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</si>
  <si>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</si>
  <si>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</si>
  <si>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</si>
  <si>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</si>
  <si>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</si>
  <si>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</si>
  <si>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</si>
  <si>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</si>
  <si>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</si>
  <si>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</si>
  <si>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</si>
  <si>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</si>
  <si>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</si>
  <si>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</si>
  <si>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</si>
  <si>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</si>
  <si>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</si>
  <si>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</si>
  <si>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</si>
  <si>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</si>
  <si>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</si>
  <si>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</si>
  <si>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</si>
  <si>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</si>
  <si>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</si>
  <si>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</si>
  <si>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</si>
  <si>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</si>
  <si>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</si>
  <si>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</si>
  <si>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</si>
  <si>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</si>
  <si>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</si>
  <si>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</si>
  <si>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</si>
  <si>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</si>
  <si>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</si>
  <si>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</si>
  <si>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</si>
  <si>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</si>
  <si>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</si>
  <si>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</si>
  <si>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</si>
  <si>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</si>
  <si>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</si>
  <si>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</si>
  <si>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</si>
  <si>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</si>
  <si>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</si>
  <si>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</si>
  <si>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</si>
  <si>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</si>
  <si>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</si>
  <si>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</si>
  <si>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</si>
  <si>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</si>
  <si>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</si>
  <si>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</si>
  <si>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</si>
  <si>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</si>
  <si>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</si>
  <si>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</si>
  <si>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</si>
  <si>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</si>
  <si>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</si>
  <si>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</si>
  <si>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</si>
  <si>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</si>
  <si>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</si>
  <si>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</si>
  <si>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</si>
  <si>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</si>
  <si>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</si>
  <si>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</si>
  <si>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</si>
  <si>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</si>
  <si>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</si>
  <si>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</si>
  <si>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</si>
  <si>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</si>
  <si>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</si>
  <si>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</si>
  <si>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</si>
  <si>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</si>
  <si>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</si>
  <si>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</si>
  <si>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</si>
  <si>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</si>
  <si>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</si>
  <si>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</si>
  <si>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</si>
  <si>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</si>
  <si>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</si>
  <si>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</si>
  <si>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</si>
  <si>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</si>
  <si>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</si>
  <si>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</si>
  <si>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</si>
  <si>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</si>
  <si>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</si>
  <si>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</si>
  <si>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</si>
  <si>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</si>
  <si>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</si>
  <si>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</si>
  <si>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</si>
  <si>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</si>
  <si>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</si>
  <si>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</si>
  <si>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</si>
  <si>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</si>
  <si>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</si>
  <si>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</si>
  <si>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</si>
  <si>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</si>
  <si>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</si>
  <si>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</si>
  <si>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</si>
  <si>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</si>
  <si>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</si>
  <si>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</si>
  <si>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</si>
  <si>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</si>
  <si>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</si>
  <si>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</si>
  <si>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</si>
  <si>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</si>
  <si>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</si>
  <si>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</si>
  <si>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</si>
  <si>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</si>
  <si>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</si>
  <si>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</si>
  <si>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</si>
  <si>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</si>
  <si>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</si>
  <si>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</si>
  <si>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</si>
  <si>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</si>
  <si>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</si>
  <si>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</si>
  <si>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</si>
  <si>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</si>
  <si>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</si>
  <si>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</si>
  <si>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</si>
  <si>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Execution schedule has been re-baselined w/ FAIR PO Ack ACD. Validate your durations before publishing</t>
  </si>
  <si>
    <t>Execution Baseline Locked</t>
  </si>
  <si>
    <t>26684-17</t>
  </si>
  <si>
    <t>2708368-2</t>
  </si>
  <si>
    <t>2708609-1</t>
  </si>
  <si>
    <t>2710451-2</t>
  </si>
  <si>
    <t>4222127-1001</t>
  </si>
  <si>
    <t>65059503-2</t>
  </si>
  <si>
    <t>67621269-1</t>
  </si>
  <si>
    <t>804206-1</t>
  </si>
  <si>
    <t>805528-1</t>
  </si>
  <si>
    <t>805726-2</t>
  </si>
  <si>
    <t>8519870-1</t>
  </si>
  <si>
    <t>8521579-1</t>
  </si>
  <si>
    <t>8523386-1</t>
  </si>
  <si>
    <t>8523386-2</t>
  </si>
  <si>
    <t>8523386-4</t>
  </si>
  <si>
    <t>8523387-2</t>
  </si>
  <si>
    <t>8525312-1</t>
  </si>
  <si>
    <t>8527442-1</t>
  </si>
  <si>
    <t>8527442-2</t>
  </si>
  <si>
    <t>8528548-1</t>
  </si>
  <si>
    <t>8533384-1</t>
  </si>
  <si>
    <t>805795-1</t>
  </si>
  <si>
    <t>Task</t>
  </si>
  <si>
    <t>Days</t>
  </si>
  <si>
    <t>Date</t>
  </si>
  <si>
    <t>Start</t>
  </si>
  <si>
    <t>Task 1</t>
  </si>
  <si>
    <t>Task 2</t>
  </si>
  <si>
    <t>Task 3</t>
  </si>
  <si>
    <t>Task 4</t>
  </si>
  <si>
    <t>Task 5</t>
  </si>
  <si>
    <t>Task 6</t>
  </si>
  <si>
    <t>Task 7</t>
  </si>
  <si>
    <t>Task 8</t>
  </si>
  <si>
    <t>Task 9</t>
  </si>
  <si>
    <t>Task 10</t>
  </si>
  <si>
    <t>Task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</si>
</sst>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5">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vertical="center"/>
    </xf>
    <xf numFmtId="0" fontId="9" fillId="0" borderId="1" xfId="0" applyFont="1" applyBorder="1" applyAlignment="1">
      <alignment horizontal="center" vertical="center"/>
    </xf>
    <xf numFmtId="0" fontId="6" fillId="29" borderId="18" xfId="0" applyFont="1" applyFill="1" applyBorder="1" applyAlignment="1">
      <alignment horizontal="center" vertical="center" wrapText="1"/>
    </xf>
    <xf numFmtId="0" fontId="6" fillId="29" borderId="1"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6" fillId="14" borderId="1" xfId="0" applyFont="1" applyFill="1" applyBorder="1" applyAlignment="1">
      <alignment horizontal="center" vertical="center" wrapText="1"/>
    </xf>
    <xf numFmtId="0" fontId="6" fillId="13" borderId="0" xfId="0" applyFont="1" applyFill="1" applyAlignment="1">
      <alignment horizontal="center" vertical="center" wrapText="1"/>
    </xf>
    <xf numFmtId="0" fontId="6" fillId="14" borderId="2" xfId="0" applyFont="1" applyFill="1" applyBorder="1" applyAlignment="1">
      <alignment horizontal="center" vertical="center" wrapText="1"/>
    </xf>
    <xf numFmtId="0" fontId="6" fillId="14" borderId="18" xfId="0" applyFont="1" applyFill="1" applyBorder="1" applyAlignment="1">
      <alignment horizontal="center" vertical="center" wrapText="1"/>
    </xf>
    <xf numFmtId="0" fontId="6" fillId="14" borderId="0" xfId="0" applyFont="1" applyFill="1" applyAlignment="1">
      <alignment horizontal="center" vertical="center" wrapText="1"/>
    </xf>
    <xf numFmtId="0" fontId="6" fillId="29" borderId="0" xfId="0" applyFont="1" applyFill="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14" borderId="1"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6" fillId="29" borderId="2" xfId="0" applyFont="1" applyFill="1" applyBorder="1" applyAlignment="1">
      <alignment horizontal="center" vertical="center" wrapText="1"/>
    </xf>
    <xf numFmtId="9" fontId="6" fillId="14" borderId="1" xfId="1" applyFont="1" applyFill="1" applyBorder="1" applyAlignment="1">
      <alignment horizontal="center" vertical="center" wrapText="1"/>
    </xf>
    <xf numFmtId="14" fontId="6" fillId="13"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5" fillId="24" borderId="0" xfId="0" applyFont="1" applyFill="1" applyAlignment="1">
      <alignment horizontal="center" vertical="center"/>
    </xf>
    <xf numFmtId="0" fontId="5" fillId="9" borderId="9" xfId="0" applyFont="1" applyFill="1" applyBorder="1" applyAlignment="1">
      <alignment horizontal="center" vertical="center"/>
    </xf>
    <xf numFmtId="0" fontId="6" fillId="25" borderId="9" xfId="0" applyFont="1" applyFill="1" applyBorder="1" applyAlignment="1">
      <alignment horizontal="center" vertical="center"/>
    </xf>
    <xf numFmtId="14" fontId="6" fillId="26" borderId="9" xfId="0" applyNumberFormat="1" applyFont="1" applyFill="1" applyBorder="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11" fillId="13" borderId="0" xfId="0" applyFont="1" applyFill="1" applyAlignment="1">
      <alignment horizontal="center"/>
    </xf>
    <xf numFmtId="0" fontId="10" fillId="0" borderId="0" xfId="2" applyAlignment="1">
      <alignment horizontal="left"/>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0" fillId="4" borderId="0" xfId="2" applyFill="1" applyAlignment="1">
      <alignment horizontal="left"/>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2" fillId="0" borderId="0" xfId="0" applyFont="1" applyAlignment="1">
      <alignment horizont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30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patternType="solid">
          <fgColor rgb="FFF9D2BF"/>
          <bgColor rgb="FFFFFFFF"/>
        </patternFill>
      </fill>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B5" sqref="B5"/>
    </sheetView>
  </sheetViews>
  <sheetFormatPr defaultRowHeight="14.5" outlineLevelRow="1" x14ac:dyDescent="0.35"/>
  <cols>
    <col min="1" max="1" width="26.453125" customWidth="1"/>
    <col min="2" max="2" width="50.81640625" customWidth="1"/>
    <col min="3" max="5" width="10.26953125" customWidth="1"/>
    <col min="6" max="6" width="11.26953125" customWidth="1"/>
  </cols>
  <sheetData>
    <row r="1" spans="1:6" x14ac:dyDescent="0.35">
      <c r="A1" s="169" t="s">
        <v>0</v>
      </c>
      <c r="B1" s="169"/>
      <c r="C1" s="169"/>
      <c r="D1" s="169"/>
      <c r="E1" s="169"/>
      <c r="F1" s="169"/>
    </row>
    <row r="2" spans="1:6" x14ac:dyDescent="0.35">
      <c r="D2" s="174" t="s">
        <v>1</v>
      </c>
      <c r="E2" s="174"/>
      <c r="F2" s="174"/>
    </row>
    <row r="3" spans="1:6" ht="14.5" customHeight="1" x14ac:dyDescent="0.35">
      <c r="A3" s="81" t="s">
        <v>2</v>
      </c>
      <c r="B3" s="82" t="s">
        <v>3</v>
      </c>
      <c r="D3" s="174"/>
      <c r="E3" s="174"/>
      <c r="F3" s="174"/>
    </row>
    <row r="4" spans="1:6" x14ac:dyDescent="0.35">
      <c r="A4" s="83" t="str" cm="1">
        <f t="array" ref="A4">_xlfn.IFS($B$3="","",$B$3="Supplier Name","Supplier Name",$B$3="Project Name","Project Name",$B$3="Project Manager","")</f>
        <v>Project Name</v>
      </c>
      <c r="B4" s="85" t="s">
        <v>4</v>
      </c>
      <c r="C4" s="84"/>
      <c r="D4" s="174"/>
      <c r="E4" s="174"/>
      <c r="F4" s="174"/>
    </row>
    <row r="5" spans="1:6" x14ac:dyDescent="0.35">
      <c r="A5" s="81" t="s">
        <v>5</v>
      </c>
      <c r="B5" s="82" t="s">
        <v>6</v>
      </c>
      <c r="C5" s="49"/>
      <c r="D5" s="174"/>
      <c r="E5" s="174"/>
      <c r="F5" s="174"/>
    </row>
    <row r="6" spans="1:6" ht="29" x14ac:dyDescent="0.35">
      <c r="A6" s="81" t="s">
        <v>7</v>
      </c>
      <c r="B6" s="82" t="s">
        <v>8</v>
      </c>
      <c r="C6" s="49"/>
      <c r="D6" s="174"/>
      <c r="E6" s="174"/>
      <c r="F6" s="174"/>
    </row>
    <row r="8" spans="1:6" x14ac:dyDescent="0.35">
      <c r="A8" s="172" t="s">
        <v>9</v>
      </c>
      <c r="B8" s="172"/>
      <c r="C8" s="172"/>
      <c r="D8" s="172"/>
      <c r="E8" s="172"/>
      <c r="F8" s="172"/>
    </row>
    <row r="9" spans="1:6" ht="75.650000000000006" customHeight="1" x14ac:dyDescent="0.35">
      <c r="A9" s="173" t="s">
        <v>10</v>
      </c>
      <c r="B9" s="173"/>
      <c r="C9" s="173"/>
      <c r="D9" s="173"/>
      <c r="E9" s="173"/>
      <c r="F9" s="173"/>
    </row>
    <row r="10" spans="1:6" ht="52.9" customHeight="1" x14ac:dyDescent="0.35">
      <c r="A10" s="173"/>
      <c r="B10" s="173"/>
      <c r="C10" s="173"/>
      <c r="D10" s="173"/>
      <c r="E10" s="173"/>
      <c r="F10" s="173"/>
    </row>
    <row r="11" spans="1:6" ht="22.9" customHeight="1" x14ac:dyDescent="0.35">
      <c r="A11" s="173"/>
      <c r="B11" s="173"/>
      <c r="C11" s="173"/>
      <c r="D11" s="173"/>
      <c r="E11" s="173"/>
      <c r="F11" s="173"/>
    </row>
    <row r="12" spans="1:6" ht="67.150000000000006" customHeight="1" x14ac:dyDescent="0.35">
      <c r="A12" s="173"/>
      <c r="B12" s="173"/>
      <c r="C12" s="173"/>
      <c r="D12" s="173"/>
      <c r="E12" s="173"/>
      <c r="F12" s="173"/>
    </row>
    <row r="13" spans="1:6" x14ac:dyDescent="0.35">
      <c r="A13" s="73" t="s">
        <v>11</v>
      </c>
      <c r="B13" s="71"/>
      <c r="C13" s="71"/>
      <c r="D13" s="71"/>
      <c r="E13" s="71"/>
      <c r="F13" s="71"/>
    </row>
    <row r="14" spans="1:6" x14ac:dyDescent="0.35">
      <c r="A14" s="74" t="s">
        <v>12</v>
      </c>
      <c r="B14" s="71"/>
      <c r="C14" s="71"/>
      <c r="D14" s="71"/>
      <c r="E14" s="71"/>
      <c r="F14" s="71"/>
    </row>
    <row r="15" spans="1:6" x14ac:dyDescent="0.35">
      <c r="A15" s="72" t="s">
        <v>13</v>
      </c>
      <c r="B15" s="16"/>
      <c r="C15" s="16"/>
      <c r="D15" s="16"/>
      <c r="E15" s="16"/>
      <c r="F15" s="16"/>
    </row>
    <row r="16" spans="1:6" x14ac:dyDescent="0.35">
      <c r="A16" s="93" t="s">
        <v>14</v>
      </c>
      <c r="B16" s="16"/>
      <c r="C16" s="16"/>
      <c r="D16" s="16"/>
      <c r="E16" s="16"/>
      <c r="F16" s="16"/>
    </row>
    <row r="18" spans="1:6" x14ac:dyDescent="0.35">
      <c r="A18" s="171" t="s">
        <v>15</v>
      </c>
      <c r="B18" s="171"/>
      <c r="C18" s="171"/>
      <c r="D18" s="171"/>
      <c r="E18" s="171"/>
      <c r="F18" s="171"/>
    </row>
    <row r="19" spans="1:6" x14ac:dyDescent="0.35">
      <c r="A19" s="97" t="s">
        <v>16</v>
      </c>
      <c r="B19" s="97" t="s">
        <v>17</v>
      </c>
      <c r="C19" s="183" t="s">
        <v>18</v>
      </c>
      <c r="D19" s="183"/>
      <c r="E19" s="183"/>
      <c r="F19" s="97"/>
    </row>
    <row r="20" spans="1:6" ht="42" customHeight="1" outlineLevel="1" x14ac:dyDescent="0.35">
      <c r="A20" s="66" t="s">
        <v>19</v>
      </c>
      <c r="B20" s="67" t="s">
        <v>20</v>
      </c>
      <c r="C20" s="176" t="s">
        <v>21</v>
      </c>
      <c r="D20" s="181"/>
      <c r="E20" s="182"/>
    </row>
    <row r="21" spans="1:6" ht="72.5" outlineLevel="1" x14ac:dyDescent="0.35">
      <c r="A21" s="68" t="s">
        <v>22</v>
      </c>
      <c r="B21" s="67" t="s">
        <v>23</v>
      </c>
      <c r="C21" s="175" t="s">
        <v>24</v>
      </c>
      <c r="D21" s="175"/>
      <c r="E21" s="175"/>
    </row>
    <row r="22" spans="1:6" ht="101.5" outlineLevel="1" x14ac:dyDescent="0.35">
      <c r="A22" s="69" t="s">
        <v>25</v>
      </c>
      <c r="B22" s="67" t="s">
        <v>26</v>
      </c>
      <c r="C22" s="176" t="s">
        <v>27</v>
      </c>
      <c r="D22" s="177"/>
      <c r="E22" s="178"/>
    </row>
    <row r="23" spans="1:6" ht="57.65" customHeight="1" outlineLevel="1" x14ac:dyDescent="0.35">
      <c r="A23" s="70" t="s">
        <v>28</v>
      </c>
      <c r="B23" s="67" t="s">
        <v>29</v>
      </c>
      <c r="C23" s="176" t="s">
        <v>30</v>
      </c>
      <c r="D23" s="179"/>
      <c r="E23" s="180"/>
    </row>
    <row r="25" spans="1:6" x14ac:dyDescent="0.35">
      <c r="A25" s="171" t="s">
        <v>31</v>
      </c>
      <c r="B25" s="171"/>
      <c r="C25" s="171"/>
      <c r="D25" s="171"/>
      <c r="E25" s="171"/>
      <c r="F25" s="171"/>
    </row>
    <row r="26" spans="1:6" hidden="1" outlineLevel="1" x14ac:dyDescent="0.35">
      <c r="A26" s="14" t="s">
        <v>32</v>
      </c>
      <c r="B26" s="14" t="s">
        <v>33</v>
      </c>
    </row>
    <row r="27" spans="1:6" hidden="1" outlineLevel="1" x14ac:dyDescent="0.35">
      <c r="A27" s="63" t="s">
        <v>34</v>
      </c>
      <c r="B27" s="62" t="s">
        <v>35</v>
      </c>
    </row>
    <row r="28" spans="1:6" hidden="1" outlineLevel="1" x14ac:dyDescent="0.35">
      <c r="A28" s="63" t="s">
        <v>36</v>
      </c>
      <c r="B28" s="62" t="s">
        <v>37</v>
      </c>
    </row>
    <row r="29" spans="1:6" hidden="1" outlineLevel="1" x14ac:dyDescent="0.35">
      <c r="A29" s="63" t="s">
        <v>38</v>
      </c>
      <c r="B29" s="62" t="s">
        <v>39</v>
      </c>
    </row>
    <row r="30" spans="1:6" hidden="1" outlineLevel="1" x14ac:dyDescent="0.35">
      <c r="A30" s="63" t="s">
        <v>40</v>
      </c>
      <c r="B30" s="62" t="s">
        <v>41</v>
      </c>
    </row>
    <row r="31" spans="1:6" hidden="1" outlineLevel="1" x14ac:dyDescent="0.35">
      <c r="A31" s="63" t="s">
        <v>42</v>
      </c>
      <c r="B31" s="62" t="s">
        <v>43</v>
      </c>
    </row>
    <row r="32" spans="1:6" hidden="1" outlineLevel="1" x14ac:dyDescent="0.35">
      <c r="A32" s="63" t="s">
        <v>44</v>
      </c>
      <c r="B32" s="62" t="s">
        <v>45</v>
      </c>
    </row>
    <row r="33" spans="1:2" hidden="1" outlineLevel="1" x14ac:dyDescent="0.35">
      <c r="A33" s="63" t="s">
        <v>46</v>
      </c>
      <c r="B33" s="62" t="s">
        <v>47</v>
      </c>
    </row>
    <row r="34" spans="1:2" hidden="1" outlineLevel="1" x14ac:dyDescent="0.35">
      <c r="A34" s="63" t="s">
        <v>48</v>
      </c>
      <c r="B34" s="62" t="s">
        <v>49</v>
      </c>
    </row>
    <row r="35" spans="1:2" hidden="1" outlineLevel="1" x14ac:dyDescent="0.35">
      <c r="A35" s="63" t="s">
        <v>50</v>
      </c>
      <c r="B35" s="62" t="s">
        <v>51</v>
      </c>
    </row>
    <row r="36" spans="1:2" hidden="1" outlineLevel="1" x14ac:dyDescent="0.35">
      <c r="A36" s="63" t="s">
        <v>52</v>
      </c>
      <c r="B36" s="62" t="s">
        <v>53</v>
      </c>
    </row>
    <row r="37" spans="1:2" hidden="1" outlineLevel="1" x14ac:dyDescent="0.35">
      <c r="A37" s="63" t="s">
        <v>54</v>
      </c>
      <c r="B37" s="62" t="s">
        <v>55</v>
      </c>
    </row>
    <row r="38" spans="1:2" hidden="1" outlineLevel="1" x14ac:dyDescent="0.35">
      <c r="A38" s="63" t="s">
        <v>56</v>
      </c>
      <c r="B38" s="62" t="s">
        <v>57</v>
      </c>
    </row>
    <row r="39" spans="1:2" hidden="1" outlineLevel="1" x14ac:dyDescent="0.35">
      <c r="A39" s="63" t="s">
        <v>58</v>
      </c>
      <c r="B39" s="62" t="s">
        <v>57</v>
      </c>
    </row>
    <row r="40" spans="1:2" hidden="1" outlineLevel="1" x14ac:dyDescent="0.35">
      <c r="A40" s="63" t="s">
        <v>59</v>
      </c>
      <c r="B40" s="62" t="s">
        <v>60</v>
      </c>
    </row>
    <row r="41" spans="1:2" hidden="1" outlineLevel="1" x14ac:dyDescent="0.35">
      <c r="A41" s="63" t="s">
        <v>61</v>
      </c>
      <c r="B41" s="62" t="s">
        <v>62</v>
      </c>
    </row>
    <row r="42" spans="1:2" hidden="1" outlineLevel="1" x14ac:dyDescent="0.35">
      <c r="A42" s="63" t="s">
        <v>63</v>
      </c>
      <c r="B42" s="62" t="s">
        <v>64</v>
      </c>
    </row>
    <row r="43" spans="1:2" hidden="1" outlineLevel="1" x14ac:dyDescent="0.35">
      <c r="A43" s="63" t="s">
        <v>65</v>
      </c>
      <c r="B43" s="62" t="s">
        <v>66</v>
      </c>
    </row>
    <row r="44" spans="1:2" hidden="1" outlineLevel="1" x14ac:dyDescent="0.35">
      <c r="A44" s="63" t="s">
        <v>67</v>
      </c>
      <c r="B44" s="62" t="s">
        <v>68</v>
      </c>
    </row>
    <row r="45" spans="1:2" hidden="1" outlineLevel="1" x14ac:dyDescent="0.35">
      <c r="A45" s="63" t="s">
        <v>69</v>
      </c>
      <c r="B45" s="62" t="s">
        <v>70</v>
      </c>
    </row>
    <row r="46" spans="1:2" hidden="1" outlineLevel="1" x14ac:dyDescent="0.35">
      <c r="A46" s="63" t="s">
        <v>71</v>
      </c>
      <c r="B46" s="62" t="s">
        <v>72</v>
      </c>
    </row>
    <row r="47" spans="1:2" hidden="1" outlineLevel="1" x14ac:dyDescent="0.35">
      <c r="A47" s="63" t="s">
        <v>73</v>
      </c>
      <c r="B47" s="62" t="s">
        <v>74</v>
      </c>
    </row>
    <row r="48" spans="1:2" hidden="1" outlineLevel="1" x14ac:dyDescent="0.35">
      <c r="A48" s="63" t="s">
        <v>75</v>
      </c>
      <c r="B48" s="62" t="s">
        <v>76</v>
      </c>
    </row>
    <row r="49" spans="1:2" hidden="1" outlineLevel="1" x14ac:dyDescent="0.35">
      <c r="A49" s="63" t="s">
        <v>77</v>
      </c>
      <c r="B49" s="62" t="s">
        <v>78</v>
      </c>
    </row>
    <row r="50" spans="1:2" hidden="1" outlineLevel="1" x14ac:dyDescent="0.35">
      <c r="A50" s="63" t="s">
        <v>79</v>
      </c>
      <c r="B50" s="62" t="s">
        <v>80</v>
      </c>
    </row>
    <row r="51" spans="1:2" hidden="1" outlineLevel="1" x14ac:dyDescent="0.35">
      <c r="A51" s="63" t="s">
        <v>81</v>
      </c>
      <c r="B51" s="62" t="s">
        <v>82</v>
      </c>
    </row>
    <row r="52" spans="1:2" hidden="1" outlineLevel="1" x14ac:dyDescent="0.35">
      <c r="A52" s="63" t="s">
        <v>83</v>
      </c>
      <c r="B52" s="62" t="s">
        <v>84</v>
      </c>
    </row>
    <row r="53" spans="1:2" hidden="1" outlineLevel="1" x14ac:dyDescent="0.35">
      <c r="A53" s="63" t="s">
        <v>85</v>
      </c>
      <c r="B53" s="62" t="s">
        <v>86</v>
      </c>
    </row>
    <row r="54" spans="1:2" hidden="1" outlineLevel="1" x14ac:dyDescent="0.35">
      <c r="A54" s="63" t="s">
        <v>87</v>
      </c>
      <c r="B54" s="62" t="s">
        <v>88</v>
      </c>
    </row>
    <row r="55" spans="1:2" hidden="1" outlineLevel="1" x14ac:dyDescent="0.35">
      <c r="A55" s="64" t="s">
        <v>89</v>
      </c>
      <c r="B55" s="62" t="s">
        <v>90</v>
      </c>
    </row>
    <row r="56" spans="1:2" hidden="1" outlineLevel="1" x14ac:dyDescent="0.35">
      <c r="A56" s="63" t="s">
        <v>91</v>
      </c>
      <c r="B56" s="62" t="s">
        <v>92</v>
      </c>
    </row>
    <row r="57" spans="1:2" hidden="1" outlineLevel="1" x14ac:dyDescent="0.35">
      <c r="A57" s="63" t="s">
        <v>93</v>
      </c>
      <c r="B57" s="62" t="s">
        <v>94</v>
      </c>
    </row>
    <row r="58" spans="1:2" hidden="1" outlineLevel="1" x14ac:dyDescent="0.35">
      <c r="A58" s="63" t="s">
        <v>95</v>
      </c>
      <c r="B58" s="62" t="s">
        <v>96</v>
      </c>
    </row>
    <row r="59" spans="1:2" hidden="1" outlineLevel="1" x14ac:dyDescent="0.35">
      <c r="A59" s="63" t="s">
        <v>97</v>
      </c>
      <c r="B59" s="62" t="s">
        <v>98</v>
      </c>
    </row>
    <row r="60" spans="1:2" hidden="1" outlineLevel="1" x14ac:dyDescent="0.35">
      <c r="A60" s="63" t="s">
        <v>99</v>
      </c>
      <c r="B60" s="62" t="s">
        <v>100</v>
      </c>
    </row>
    <row r="61" spans="1:2" hidden="1" outlineLevel="1" x14ac:dyDescent="0.35">
      <c r="A61" s="63" t="s">
        <v>101</v>
      </c>
      <c r="B61" s="62" t="s">
        <v>102</v>
      </c>
    </row>
    <row r="62" spans="1:2" hidden="1" outlineLevel="1" x14ac:dyDescent="0.35">
      <c r="A62" s="63" t="s">
        <v>103</v>
      </c>
      <c r="B62" s="62" t="s">
        <v>104</v>
      </c>
    </row>
    <row r="63" spans="1:2" hidden="1" outlineLevel="1" x14ac:dyDescent="0.35">
      <c r="A63" s="63" t="s">
        <v>105</v>
      </c>
      <c r="B63" s="62" t="s">
        <v>106</v>
      </c>
    </row>
    <row r="64" spans="1:2" hidden="1" outlineLevel="1" x14ac:dyDescent="0.35">
      <c r="A64" s="63" t="s">
        <v>107</v>
      </c>
      <c r="B64" s="62" t="s">
        <v>108</v>
      </c>
    </row>
    <row r="65" spans="1:7" hidden="1" outlineLevel="1" x14ac:dyDescent="0.35">
      <c r="A65" s="63" t="s">
        <v>109</v>
      </c>
      <c r="B65" s="62" t="s">
        <v>110</v>
      </c>
    </row>
    <row r="66" spans="1:7" hidden="1" outlineLevel="1" x14ac:dyDescent="0.35">
      <c r="A66" s="63" t="s">
        <v>111</v>
      </c>
      <c r="B66" s="62" t="s">
        <v>112</v>
      </c>
    </row>
    <row r="67" spans="1:7" hidden="1" outlineLevel="1" x14ac:dyDescent="0.35">
      <c r="A67" s="63" t="s">
        <v>113</v>
      </c>
      <c r="B67" s="62" t="s">
        <v>114</v>
      </c>
    </row>
    <row r="68" spans="1:7" hidden="1" outlineLevel="1" x14ac:dyDescent="0.35">
      <c r="A68" s="63" t="s">
        <v>115</v>
      </c>
      <c r="B68" s="62" t="s">
        <v>116</v>
      </c>
    </row>
    <row r="69" spans="1:7" hidden="1" outlineLevel="1" x14ac:dyDescent="0.35">
      <c r="A69" s="63" t="s">
        <v>117</v>
      </c>
      <c r="B69" s="62" t="s">
        <v>118</v>
      </c>
    </row>
    <row r="70" spans="1:7" hidden="1" outlineLevel="1" x14ac:dyDescent="0.35">
      <c r="A70" s="63" t="s">
        <v>119</v>
      </c>
      <c r="B70" s="62" t="s">
        <v>120</v>
      </c>
    </row>
    <row r="71" spans="1:7" hidden="1" outlineLevel="1" x14ac:dyDescent="0.35">
      <c r="A71" s="63" t="s">
        <v>121</v>
      </c>
      <c r="B71" s="62" t="s">
        <v>122</v>
      </c>
    </row>
    <row r="72" spans="1:7" hidden="1" outlineLevel="1" x14ac:dyDescent="0.35">
      <c r="A72" s="63"/>
      <c r="B72" s="63"/>
    </row>
    <row r="73" spans="1:7" collapsed="1" x14ac:dyDescent="0.35"/>
    <row r="75" spans="1:7" x14ac:dyDescent="0.35">
      <c r="A75" s="171" t="s">
        <v>123</v>
      </c>
      <c r="B75" s="171"/>
      <c r="C75" s="171"/>
      <c r="D75" s="171"/>
      <c r="E75" s="171"/>
      <c r="F75" s="171"/>
    </row>
    <row r="76" spans="1:7" ht="43.5" hidden="1" outlineLevel="1" x14ac:dyDescent="0.35">
      <c r="A76" s="14" t="s">
        <v>124</v>
      </c>
      <c r="B76" s="14"/>
      <c r="C76" s="15" t="s">
        <v>125</v>
      </c>
      <c r="D76" s="15" t="s">
        <v>126</v>
      </c>
      <c r="E76" s="15" t="s">
        <v>127</v>
      </c>
      <c r="F76" s="15" t="s">
        <v>128</v>
      </c>
      <c r="G76" s="15" t="s">
        <v>129</v>
      </c>
    </row>
    <row r="77" spans="1:7" hidden="1" outlineLevel="1" x14ac:dyDescent="0.35">
      <c r="A77" s="170" t="s">
        <v>130</v>
      </c>
      <c r="B77" s="170"/>
      <c r="C77" s="7">
        <v>1</v>
      </c>
      <c r="D77" s="7">
        <v>1</v>
      </c>
      <c r="E77" s="7">
        <v>1</v>
      </c>
      <c r="F77" s="7">
        <v>1</v>
      </c>
      <c r="G77" s="7">
        <v>1</v>
      </c>
    </row>
    <row r="78" spans="1:7" hidden="1" outlineLevel="1" x14ac:dyDescent="0.35">
      <c r="A78" s="170" t="s">
        <v>131</v>
      </c>
      <c r="B78" s="170"/>
      <c r="C78" s="7">
        <v>1</v>
      </c>
      <c r="D78" s="7">
        <v>1</v>
      </c>
      <c r="E78" s="7">
        <v>1</v>
      </c>
      <c r="F78" s="7">
        <v>1</v>
      </c>
      <c r="G78" s="7">
        <v>1</v>
      </c>
    </row>
    <row r="79" spans="1:7" hidden="1" outlineLevel="1" x14ac:dyDescent="0.35">
      <c r="A79" s="170" t="s">
        <v>132</v>
      </c>
      <c r="B79" s="170"/>
      <c r="C79" s="7">
        <v>15</v>
      </c>
      <c r="D79" s="7">
        <v>15</v>
      </c>
      <c r="E79" s="7">
        <v>15</v>
      </c>
      <c r="F79" s="7">
        <v>15</v>
      </c>
      <c r="G79" s="7">
        <v>15</v>
      </c>
    </row>
    <row r="80" spans="1:7" hidden="1" outlineLevel="1" x14ac:dyDescent="0.35">
      <c r="A80" s="170" t="s">
        <v>133</v>
      </c>
      <c r="B80" s="170"/>
      <c r="C80" s="7">
        <v>25</v>
      </c>
      <c r="D80" s="7">
        <v>25</v>
      </c>
      <c r="E80" s="7">
        <v>0</v>
      </c>
      <c r="F80" s="7">
        <v>25</v>
      </c>
      <c r="G80" s="7">
        <v>25</v>
      </c>
    </row>
    <row r="81" spans="1:7" hidden="1" outlineLevel="1" x14ac:dyDescent="0.35">
      <c r="A81" s="170" t="s">
        <v>134</v>
      </c>
      <c r="B81" s="170"/>
      <c r="C81" s="8">
        <v>0</v>
      </c>
      <c r="D81" s="8">
        <v>0</v>
      </c>
      <c r="E81" s="7">
        <v>30</v>
      </c>
      <c r="F81" s="8">
        <v>0</v>
      </c>
      <c r="G81" s="8">
        <v>0</v>
      </c>
    </row>
    <row r="82" spans="1:7" hidden="1" outlineLevel="1" x14ac:dyDescent="0.35">
      <c r="A82" s="170" t="s">
        <v>135</v>
      </c>
      <c r="B82" s="170"/>
      <c r="C82" s="7">
        <v>3</v>
      </c>
      <c r="D82" s="7">
        <v>3</v>
      </c>
      <c r="E82" s="7">
        <v>3</v>
      </c>
      <c r="F82" s="7">
        <v>3</v>
      </c>
      <c r="G82" s="7">
        <v>3</v>
      </c>
    </row>
    <row r="83" spans="1:7" hidden="1" outlineLevel="1" x14ac:dyDescent="0.35">
      <c r="A83" s="170" t="s">
        <v>136</v>
      </c>
      <c r="B83" s="170"/>
      <c r="C83" s="7">
        <v>120</v>
      </c>
      <c r="D83" s="7">
        <v>120</v>
      </c>
      <c r="E83" s="8">
        <v>0</v>
      </c>
      <c r="F83" s="7">
        <v>120</v>
      </c>
      <c r="G83" s="8">
        <v>0</v>
      </c>
    </row>
    <row r="84" spans="1:7" hidden="1" outlineLevel="1" x14ac:dyDescent="0.35">
      <c r="A84" s="170" t="s">
        <v>137</v>
      </c>
      <c r="B84" s="170"/>
      <c r="C84" s="7">
        <v>60</v>
      </c>
      <c r="D84" s="7">
        <v>60</v>
      </c>
      <c r="E84" s="7">
        <v>60</v>
      </c>
      <c r="F84" s="7">
        <v>60</v>
      </c>
      <c r="G84" s="7">
        <v>60</v>
      </c>
    </row>
    <row r="85" spans="1:7" hidden="1" outlineLevel="1" x14ac:dyDescent="0.35">
      <c r="A85" s="170" t="s">
        <v>138</v>
      </c>
      <c r="B85" s="170"/>
      <c r="C85" s="7">
        <v>10</v>
      </c>
      <c r="D85" s="7">
        <v>10</v>
      </c>
      <c r="E85" s="7">
        <v>10</v>
      </c>
      <c r="F85" s="7">
        <v>10</v>
      </c>
      <c r="G85" s="7">
        <v>10</v>
      </c>
    </row>
    <row r="86" spans="1:7" hidden="1" outlineLevel="1" x14ac:dyDescent="0.35">
      <c r="A86" s="170" t="s">
        <v>139</v>
      </c>
      <c r="B86" s="170"/>
      <c r="C86" s="7">
        <v>5</v>
      </c>
      <c r="D86" s="7">
        <v>5</v>
      </c>
      <c r="E86" s="7">
        <v>5</v>
      </c>
      <c r="F86" s="7">
        <v>5</v>
      </c>
      <c r="G86" s="7">
        <v>5</v>
      </c>
    </row>
    <row r="87" spans="1:7" hidden="1" outlineLevel="1" x14ac:dyDescent="0.35">
      <c r="A87" s="170" t="s">
        <v>140</v>
      </c>
      <c r="B87" s="170"/>
      <c r="C87" s="7">
        <v>10</v>
      </c>
      <c r="D87" s="7">
        <v>10</v>
      </c>
      <c r="E87" s="8">
        <v>0</v>
      </c>
      <c r="F87" s="7">
        <v>10</v>
      </c>
      <c r="G87" s="7">
        <v>10</v>
      </c>
    </row>
    <row r="88" spans="1:7" hidden="1" outlineLevel="1" x14ac:dyDescent="0.35">
      <c r="A88" s="170" t="s">
        <v>141</v>
      </c>
      <c r="B88" s="170"/>
      <c r="C88" s="7">
        <v>5</v>
      </c>
      <c r="D88" s="7">
        <v>5</v>
      </c>
      <c r="E88" s="8">
        <v>0</v>
      </c>
      <c r="F88" s="7">
        <v>5</v>
      </c>
      <c r="G88" s="7">
        <v>5</v>
      </c>
    </row>
    <row r="89" spans="1:7" hidden="1" outlineLevel="1" x14ac:dyDescent="0.35">
      <c r="A89" s="170" t="s">
        <v>142</v>
      </c>
      <c r="B89" s="170"/>
      <c r="C89" s="7">
        <v>5</v>
      </c>
      <c r="D89" s="7">
        <v>5</v>
      </c>
      <c r="E89" s="7">
        <v>5</v>
      </c>
      <c r="F89" s="7">
        <v>5</v>
      </c>
      <c r="G89" s="7">
        <v>5</v>
      </c>
    </row>
    <row r="90" spans="1:7" hidden="1" outlineLevel="1" x14ac:dyDescent="0.35">
      <c r="A90" s="170" t="s">
        <v>143</v>
      </c>
      <c r="B90" s="170"/>
      <c r="C90" s="7">
        <v>10</v>
      </c>
      <c r="D90" s="7">
        <v>10</v>
      </c>
      <c r="E90" s="7">
        <v>10</v>
      </c>
      <c r="F90" s="7">
        <v>10</v>
      </c>
      <c r="G90" s="7">
        <v>10</v>
      </c>
    </row>
    <row r="91" spans="1:7" hidden="1" outlineLevel="1" x14ac:dyDescent="0.35">
      <c r="A91" s="170" t="s">
        <v>144</v>
      </c>
      <c r="B91" s="170"/>
      <c r="C91" s="7">
        <v>10</v>
      </c>
      <c r="D91" s="7">
        <v>10</v>
      </c>
      <c r="E91" s="7">
        <v>10</v>
      </c>
      <c r="F91" s="7">
        <v>10</v>
      </c>
      <c r="G91" s="7">
        <v>10</v>
      </c>
    </row>
    <row r="92" spans="1:7" hidden="1" outlineLevel="1" x14ac:dyDescent="0.35">
      <c r="A92" s="170" t="s">
        <v>145</v>
      </c>
      <c r="B92" s="170"/>
      <c r="C92" s="7">
        <v>0</v>
      </c>
      <c r="D92" s="7">
        <v>0</v>
      </c>
      <c r="E92" s="7">
        <v>30</v>
      </c>
      <c r="F92" s="7">
        <v>0</v>
      </c>
      <c r="G92" s="7">
        <v>0</v>
      </c>
    </row>
    <row r="93" spans="1:7" hidden="1" outlineLevel="1" x14ac:dyDescent="0.35">
      <c r="A93" s="170" t="s">
        <v>146</v>
      </c>
      <c r="B93" s="170"/>
      <c r="C93" s="7">
        <v>5</v>
      </c>
      <c r="D93" s="7">
        <v>5</v>
      </c>
      <c r="E93" s="7">
        <v>5</v>
      </c>
      <c r="F93" s="7">
        <v>5</v>
      </c>
      <c r="G93" s="7">
        <v>5</v>
      </c>
    </row>
    <row r="94" spans="1:7" hidden="1" outlineLevel="1" x14ac:dyDescent="0.35">
      <c r="A94" s="170" t="s">
        <v>147</v>
      </c>
      <c r="B94" s="170"/>
      <c r="C94" s="7">
        <v>20</v>
      </c>
      <c r="D94" s="7">
        <v>20</v>
      </c>
      <c r="E94" s="7">
        <v>20</v>
      </c>
      <c r="F94" s="7">
        <v>20</v>
      </c>
      <c r="G94" s="7">
        <v>20</v>
      </c>
    </row>
    <row r="95" spans="1:7" hidden="1" outlineLevel="1" x14ac:dyDescent="0.35">
      <c r="A95" s="170" t="s">
        <v>148</v>
      </c>
      <c r="B95" s="170"/>
      <c r="C95" s="7">
        <v>0</v>
      </c>
      <c r="D95" s="7">
        <v>0</v>
      </c>
      <c r="E95" s="7">
        <v>0</v>
      </c>
      <c r="F95" s="7">
        <v>0</v>
      </c>
      <c r="G95" s="7">
        <v>0</v>
      </c>
    </row>
    <row r="96" spans="1:7" hidden="1" outlineLevel="1" x14ac:dyDescent="0.35">
      <c r="A96" s="170" t="s">
        <v>149</v>
      </c>
      <c r="B96" s="170"/>
      <c r="C96" s="7">
        <v>5</v>
      </c>
      <c r="D96" s="7">
        <v>5</v>
      </c>
      <c r="E96" s="7">
        <v>5</v>
      </c>
      <c r="F96" s="7">
        <v>5</v>
      </c>
      <c r="G96" s="7">
        <v>5</v>
      </c>
    </row>
    <row r="97" spans="1:7" hidden="1" outlineLevel="1" x14ac:dyDescent="0.35">
      <c r="A97" s="184" t="s">
        <v>150</v>
      </c>
      <c r="B97" s="184"/>
      <c r="C97" s="7">
        <v>10</v>
      </c>
      <c r="D97" s="7">
        <v>10</v>
      </c>
      <c r="E97" s="7">
        <v>20</v>
      </c>
      <c r="F97" s="7">
        <v>10</v>
      </c>
      <c r="G97" s="7">
        <v>10</v>
      </c>
    </row>
    <row r="98" spans="1:7" hidden="1" outlineLevel="1" x14ac:dyDescent="0.35">
      <c r="A98" s="170" t="s">
        <v>151</v>
      </c>
      <c r="B98" s="170"/>
      <c r="C98" s="7">
        <v>5</v>
      </c>
      <c r="D98" s="7">
        <v>5</v>
      </c>
      <c r="E98" s="7">
        <v>5</v>
      </c>
      <c r="F98" s="7">
        <v>5</v>
      </c>
      <c r="G98" s="7">
        <v>5</v>
      </c>
    </row>
    <row r="99" spans="1:7" hidden="1" outlineLevel="1" x14ac:dyDescent="0.35">
      <c r="A99" s="170" t="s">
        <v>152</v>
      </c>
      <c r="B99" s="170"/>
      <c r="C99" s="7">
        <v>5</v>
      </c>
      <c r="D99" s="7">
        <v>5</v>
      </c>
      <c r="E99" s="7">
        <v>5</v>
      </c>
      <c r="F99" s="7">
        <v>5</v>
      </c>
      <c r="G99" s="7">
        <v>5</v>
      </c>
    </row>
    <row r="100" spans="1:7" hidden="1" outlineLevel="1" x14ac:dyDescent="0.35">
      <c r="A100" s="170" t="s">
        <v>153</v>
      </c>
      <c r="B100" s="170"/>
      <c r="C100" s="7">
        <v>10</v>
      </c>
      <c r="D100" s="7">
        <v>10</v>
      </c>
      <c r="E100" s="7">
        <v>10</v>
      </c>
      <c r="F100" s="7">
        <v>10</v>
      </c>
      <c r="G100" s="7">
        <v>10</v>
      </c>
    </row>
    <row r="101" spans="1:7" hidden="1" outlineLevel="1" x14ac:dyDescent="0.35">
      <c r="A101" s="170" t="s">
        <v>154</v>
      </c>
      <c r="B101" s="170"/>
      <c r="C101" s="7">
        <v>5</v>
      </c>
      <c r="D101" s="7">
        <v>5</v>
      </c>
      <c r="E101" s="7">
        <v>5</v>
      </c>
      <c r="F101" s="7">
        <v>5</v>
      </c>
      <c r="G101" s="7">
        <v>5</v>
      </c>
    </row>
    <row r="102" spans="1:7" hidden="1" outlineLevel="1" x14ac:dyDescent="0.35">
      <c r="A102" s="170" t="s">
        <v>155</v>
      </c>
      <c r="B102" s="170"/>
      <c r="C102" s="7">
        <v>90</v>
      </c>
      <c r="D102" s="7">
        <v>90</v>
      </c>
      <c r="E102" s="7">
        <v>90</v>
      </c>
      <c r="F102" s="7">
        <v>90</v>
      </c>
      <c r="G102" s="7">
        <v>90</v>
      </c>
    </row>
    <row r="103" spans="1:7" hidden="1" outlineLevel="1" x14ac:dyDescent="0.35">
      <c r="A103" s="170" t="s">
        <v>156</v>
      </c>
      <c r="B103" s="170"/>
      <c r="C103" s="7">
        <v>3</v>
      </c>
      <c r="D103" s="7">
        <v>3</v>
      </c>
      <c r="E103" s="7">
        <v>3</v>
      </c>
      <c r="F103" s="7">
        <v>3</v>
      </c>
      <c r="G103" s="7">
        <v>3</v>
      </c>
    </row>
    <row r="104" spans="1:7" hidden="1" outlineLevel="1" x14ac:dyDescent="0.35">
      <c r="A104" s="170" t="s">
        <v>157</v>
      </c>
      <c r="B104" s="170"/>
      <c r="C104" s="7">
        <v>5</v>
      </c>
      <c r="D104" s="7">
        <v>5</v>
      </c>
      <c r="E104" s="7">
        <v>5</v>
      </c>
      <c r="F104" s="7">
        <v>5</v>
      </c>
      <c r="G104" s="7">
        <v>5</v>
      </c>
    </row>
    <row r="105" spans="1:7" hidden="1" outlineLevel="1" x14ac:dyDescent="0.35">
      <c r="A105" s="170" t="s">
        <v>158</v>
      </c>
      <c r="B105" s="170"/>
      <c r="C105" s="7">
        <v>5</v>
      </c>
      <c r="D105" s="7">
        <v>5</v>
      </c>
      <c r="E105" s="7">
        <v>0</v>
      </c>
      <c r="F105" s="7">
        <v>5</v>
      </c>
      <c r="G105" s="7">
        <v>5</v>
      </c>
    </row>
    <row r="106" spans="1:7" hidden="1" outlineLevel="1" x14ac:dyDescent="0.35">
      <c r="A106" s="170" t="s">
        <v>159</v>
      </c>
      <c r="B106" s="170"/>
      <c r="C106" s="7">
        <v>5</v>
      </c>
      <c r="D106" s="7">
        <v>5</v>
      </c>
      <c r="E106" s="7">
        <v>0</v>
      </c>
      <c r="F106" s="7">
        <v>5</v>
      </c>
      <c r="G106" s="7">
        <v>5</v>
      </c>
    </row>
    <row r="107" spans="1:7" hidden="1" outlineLevel="1" x14ac:dyDescent="0.35">
      <c r="A107" s="170" t="s">
        <v>160</v>
      </c>
      <c r="B107" s="170"/>
      <c r="C107" s="7">
        <v>3</v>
      </c>
      <c r="D107" s="7">
        <v>3</v>
      </c>
      <c r="E107" s="7">
        <v>3</v>
      </c>
      <c r="F107" s="7">
        <v>3</v>
      </c>
      <c r="G107" s="7">
        <v>3</v>
      </c>
    </row>
    <row r="108" spans="1:7" hidden="1" outlineLevel="1" x14ac:dyDescent="0.35">
      <c r="A108" s="184" t="s">
        <v>161</v>
      </c>
      <c r="B108" s="184"/>
      <c r="C108" s="7">
        <v>40</v>
      </c>
      <c r="D108" s="7">
        <v>40</v>
      </c>
      <c r="E108" s="7">
        <v>40</v>
      </c>
      <c r="F108" s="7">
        <v>40</v>
      </c>
      <c r="G108" s="7">
        <v>40</v>
      </c>
    </row>
    <row r="109" spans="1:7" hidden="1" outlineLevel="1" x14ac:dyDescent="0.35">
      <c r="A109" s="170" t="s">
        <v>162</v>
      </c>
      <c r="B109" s="170"/>
      <c r="C109" s="7">
        <v>3</v>
      </c>
      <c r="D109" s="7">
        <v>3</v>
      </c>
      <c r="E109" s="7">
        <v>3</v>
      </c>
      <c r="F109" s="7">
        <v>3</v>
      </c>
      <c r="G109" s="7">
        <v>3</v>
      </c>
    </row>
    <row r="110" spans="1:7" hidden="1" outlineLevel="1" x14ac:dyDescent="0.35">
      <c r="A110" s="170" t="s">
        <v>163</v>
      </c>
      <c r="B110" s="170"/>
      <c r="C110" s="7">
        <v>3</v>
      </c>
      <c r="D110" s="7">
        <v>3</v>
      </c>
      <c r="E110" s="7">
        <v>3</v>
      </c>
      <c r="F110" s="7">
        <v>3</v>
      </c>
      <c r="G110" s="7">
        <v>3</v>
      </c>
    </row>
    <row r="111" spans="1:7" hidden="1" outlineLevel="1" x14ac:dyDescent="0.35">
      <c r="A111" s="170" t="s">
        <v>164</v>
      </c>
      <c r="B111" s="170"/>
      <c r="C111" s="7">
        <v>0</v>
      </c>
      <c r="D111" s="7">
        <v>0</v>
      </c>
      <c r="E111" s="7">
        <v>20</v>
      </c>
      <c r="F111" s="7">
        <v>0</v>
      </c>
      <c r="G111" s="7">
        <v>0</v>
      </c>
    </row>
    <row r="112" spans="1:7" hidden="1" outlineLevel="1" x14ac:dyDescent="0.35">
      <c r="A112" s="170" t="s">
        <v>165</v>
      </c>
      <c r="B112" s="170"/>
      <c r="C112" s="7">
        <v>0</v>
      </c>
      <c r="D112" s="7">
        <v>0</v>
      </c>
      <c r="E112" s="7">
        <v>30</v>
      </c>
      <c r="F112" s="7">
        <v>0</v>
      </c>
      <c r="G112" s="7">
        <v>0</v>
      </c>
    </row>
    <row r="113" spans="1:7" hidden="1" outlineLevel="1" x14ac:dyDescent="0.35">
      <c r="A113" s="170" t="s">
        <v>166</v>
      </c>
      <c r="B113" s="170"/>
      <c r="C113" s="7">
        <v>0</v>
      </c>
      <c r="D113" s="7">
        <v>0</v>
      </c>
      <c r="E113" s="7">
        <v>60</v>
      </c>
      <c r="F113" s="7">
        <v>0</v>
      </c>
      <c r="G113" s="7">
        <v>0</v>
      </c>
    </row>
    <row r="114" spans="1:7" hidden="1" outlineLevel="1" x14ac:dyDescent="0.35">
      <c r="A114" s="170" t="s">
        <v>167</v>
      </c>
      <c r="B114" s="170"/>
      <c r="C114" s="7">
        <v>0</v>
      </c>
      <c r="D114" s="7">
        <v>0</v>
      </c>
      <c r="E114" s="7">
        <v>60</v>
      </c>
      <c r="F114" s="7">
        <v>0</v>
      </c>
      <c r="G114" s="7">
        <v>0</v>
      </c>
    </row>
    <row r="115" spans="1:7" hidden="1" outlineLevel="1" x14ac:dyDescent="0.35">
      <c r="A115" s="184" t="s">
        <v>168</v>
      </c>
      <c r="B115" s="184"/>
      <c r="C115" s="7">
        <v>15</v>
      </c>
      <c r="D115" s="7">
        <v>0</v>
      </c>
      <c r="E115" s="7">
        <v>0</v>
      </c>
      <c r="F115" s="7">
        <v>0</v>
      </c>
      <c r="G115" s="7">
        <v>0</v>
      </c>
    </row>
    <row r="116" spans="1:7" hidden="1" outlineLevel="1" x14ac:dyDescent="0.35">
      <c r="A116" s="170" t="s">
        <v>169</v>
      </c>
      <c r="B116" s="170"/>
      <c r="C116" s="7">
        <v>0</v>
      </c>
      <c r="D116" s="7">
        <v>0</v>
      </c>
      <c r="E116" s="7">
        <v>30</v>
      </c>
      <c r="F116" s="7">
        <v>0</v>
      </c>
      <c r="G116" s="7">
        <v>0</v>
      </c>
    </row>
    <row r="117" spans="1:7" hidden="1" outlineLevel="1" x14ac:dyDescent="0.35">
      <c r="A117" s="170" t="s">
        <v>170</v>
      </c>
      <c r="B117" s="170"/>
      <c r="C117" s="7">
        <v>30</v>
      </c>
      <c r="D117" s="7">
        <v>30</v>
      </c>
      <c r="E117" s="8">
        <v>0</v>
      </c>
      <c r="F117" s="7">
        <v>30</v>
      </c>
      <c r="G117" s="7">
        <v>30</v>
      </c>
    </row>
    <row r="118" spans="1:7" hidden="1" outlineLevel="1" x14ac:dyDescent="0.35">
      <c r="A118" s="170" t="s">
        <v>171</v>
      </c>
      <c r="B118" s="170"/>
      <c r="C118" s="7">
        <v>30</v>
      </c>
      <c r="D118" s="7">
        <v>30</v>
      </c>
      <c r="E118" s="7">
        <v>30</v>
      </c>
      <c r="F118" s="7">
        <v>30</v>
      </c>
      <c r="G118" s="7">
        <v>30</v>
      </c>
    </row>
    <row r="119" spans="1:7" hidden="1" outlineLevel="1" x14ac:dyDescent="0.35">
      <c r="A119" s="170" t="s">
        <v>172</v>
      </c>
      <c r="B119" s="170"/>
      <c r="C119" s="7">
        <v>5</v>
      </c>
      <c r="D119" s="7">
        <v>5</v>
      </c>
      <c r="E119" s="7">
        <v>5</v>
      </c>
      <c r="F119" s="7">
        <v>5</v>
      </c>
      <c r="G119" s="7">
        <v>5</v>
      </c>
    </row>
    <row r="120" spans="1:7" hidden="1" outlineLevel="1" x14ac:dyDescent="0.35">
      <c r="A120" s="170" t="s">
        <v>173</v>
      </c>
      <c r="B120" s="170"/>
      <c r="C120" s="7">
        <v>30</v>
      </c>
      <c r="D120" s="7">
        <v>30</v>
      </c>
      <c r="E120" s="8">
        <v>0</v>
      </c>
      <c r="F120" s="7">
        <v>30</v>
      </c>
      <c r="G120" s="7">
        <v>30</v>
      </c>
    </row>
    <row r="121" spans="1:7" hidden="1" outlineLevel="1" x14ac:dyDescent="0.35">
      <c r="A121" s="170" t="s">
        <v>174</v>
      </c>
      <c r="B121" s="170"/>
      <c r="C121" s="7">
        <v>80</v>
      </c>
      <c r="D121" s="7">
        <v>60</v>
      </c>
      <c r="E121" s="7">
        <v>120</v>
      </c>
      <c r="F121" s="7">
        <v>60</v>
      </c>
      <c r="G121" s="7">
        <v>60</v>
      </c>
    </row>
    <row r="122" spans="1:7" hidden="1" outlineLevel="1" x14ac:dyDescent="0.35">
      <c r="A122" s="170" t="s">
        <v>175</v>
      </c>
      <c r="B122" s="170"/>
      <c r="C122" s="7">
        <v>90</v>
      </c>
      <c r="D122" s="8">
        <v>0</v>
      </c>
      <c r="E122" s="7">
        <v>0</v>
      </c>
      <c r="F122" s="8">
        <v>0</v>
      </c>
      <c r="G122" s="7">
        <v>0</v>
      </c>
    </row>
    <row r="123" spans="1:7" hidden="1" outlineLevel="1" x14ac:dyDescent="0.35">
      <c r="A123" s="170" t="s">
        <v>176</v>
      </c>
      <c r="B123" s="170"/>
      <c r="C123" s="7">
        <v>20</v>
      </c>
      <c r="D123" s="7">
        <v>20</v>
      </c>
      <c r="E123" s="7">
        <v>0</v>
      </c>
      <c r="F123" s="7">
        <v>20</v>
      </c>
      <c r="G123" s="7">
        <v>20</v>
      </c>
    </row>
    <row r="124" spans="1:7" hidden="1" outlineLevel="1" x14ac:dyDescent="0.35">
      <c r="A124" s="170" t="s">
        <v>177</v>
      </c>
      <c r="B124" s="170"/>
      <c r="C124" s="7">
        <v>30</v>
      </c>
      <c r="D124" s="7">
        <v>30</v>
      </c>
      <c r="E124" s="7">
        <v>0</v>
      </c>
      <c r="F124" s="7">
        <v>30</v>
      </c>
      <c r="G124" s="7">
        <v>30</v>
      </c>
    </row>
    <row r="125" spans="1:7" hidden="1" outlineLevel="1" x14ac:dyDescent="0.35">
      <c r="A125" s="170" t="s">
        <v>178</v>
      </c>
      <c r="B125" s="170"/>
      <c r="C125" s="7">
        <v>30</v>
      </c>
      <c r="D125" s="7">
        <v>30</v>
      </c>
      <c r="E125" s="7">
        <v>30</v>
      </c>
      <c r="F125" s="7">
        <v>30</v>
      </c>
      <c r="G125" s="7">
        <v>30</v>
      </c>
    </row>
    <row r="126" spans="1:7" hidden="1" outlineLevel="1" x14ac:dyDescent="0.35">
      <c r="A126" s="170" t="s">
        <v>179</v>
      </c>
      <c r="B126" s="170"/>
      <c r="C126" s="7">
        <v>5</v>
      </c>
      <c r="D126" s="7">
        <v>5</v>
      </c>
      <c r="E126" s="7">
        <v>5</v>
      </c>
      <c r="F126" s="7">
        <v>5</v>
      </c>
      <c r="G126" s="7">
        <v>5</v>
      </c>
    </row>
    <row r="127" spans="1:7" hidden="1" outlineLevel="1" x14ac:dyDescent="0.35">
      <c r="A127" s="170" t="s">
        <v>180</v>
      </c>
      <c r="B127" s="170"/>
      <c r="C127" s="8">
        <v>0</v>
      </c>
      <c r="D127" s="8">
        <v>0</v>
      </c>
      <c r="E127" s="7">
        <v>5</v>
      </c>
      <c r="F127" s="8">
        <v>0</v>
      </c>
      <c r="G127" s="8">
        <v>0</v>
      </c>
    </row>
    <row r="128" spans="1:7" hidden="1" outlineLevel="1" x14ac:dyDescent="0.35">
      <c r="A128" s="170" t="s">
        <v>181</v>
      </c>
      <c r="B128" s="170"/>
      <c r="C128" s="7">
        <v>120</v>
      </c>
      <c r="D128" s="8">
        <v>0</v>
      </c>
      <c r="E128" s="7">
        <v>0</v>
      </c>
      <c r="F128" s="8">
        <v>0</v>
      </c>
      <c r="G128" s="8">
        <v>0</v>
      </c>
    </row>
    <row r="129" spans="1:7" hidden="1" outlineLevel="1" x14ac:dyDescent="0.35">
      <c r="A129" s="170" t="s">
        <v>182</v>
      </c>
      <c r="B129" s="170"/>
      <c r="C129" s="7">
        <v>20</v>
      </c>
      <c r="D129" s="8">
        <v>0</v>
      </c>
      <c r="E129" s="7">
        <v>0</v>
      </c>
      <c r="F129" s="8">
        <v>0</v>
      </c>
      <c r="G129" s="7">
        <v>0</v>
      </c>
    </row>
    <row r="130" spans="1:7" hidden="1" outlineLevel="1" x14ac:dyDescent="0.35">
      <c r="A130" s="170" t="s">
        <v>183</v>
      </c>
      <c r="B130" s="170"/>
      <c r="C130" s="7">
        <v>20</v>
      </c>
      <c r="D130" s="7">
        <v>20</v>
      </c>
      <c r="E130" s="7">
        <v>0</v>
      </c>
      <c r="F130" s="7">
        <v>60</v>
      </c>
      <c r="G130" s="7">
        <v>20</v>
      </c>
    </row>
    <row r="131" spans="1:7" hidden="1" outlineLevel="1" x14ac:dyDescent="0.35">
      <c r="A131" s="170" t="s">
        <v>184</v>
      </c>
      <c r="B131" s="170"/>
      <c r="C131" s="7">
        <v>0</v>
      </c>
      <c r="D131" s="7">
        <v>0</v>
      </c>
      <c r="E131" s="7">
        <v>60</v>
      </c>
      <c r="F131" s="7">
        <v>0</v>
      </c>
      <c r="G131" s="7">
        <v>0</v>
      </c>
    </row>
    <row r="132" spans="1:7" hidden="1" outlineLevel="1" x14ac:dyDescent="0.35">
      <c r="A132" s="170" t="s">
        <v>185</v>
      </c>
      <c r="B132" s="170"/>
      <c r="C132" s="7">
        <v>0</v>
      </c>
      <c r="D132" s="7">
        <v>0</v>
      </c>
      <c r="E132" s="7">
        <v>30</v>
      </c>
      <c r="F132" s="7">
        <v>0</v>
      </c>
      <c r="G132" s="7">
        <v>0</v>
      </c>
    </row>
    <row r="133" spans="1:7" hidden="1" outlineLevel="1" x14ac:dyDescent="0.35">
      <c r="A133" s="170" t="s">
        <v>186</v>
      </c>
      <c r="B133" s="170"/>
      <c r="C133" s="7">
        <v>30</v>
      </c>
      <c r="D133" s="7">
        <v>30</v>
      </c>
      <c r="E133" s="7">
        <v>30</v>
      </c>
      <c r="F133" s="7">
        <v>30</v>
      </c>
      <c r="G133" s="7">
        <v>30</v>
      </c>
    </row>
    <row r="134" spans="1:7" hidden="1" outlineLevel="1" x14ac:dyDescent="0.35">
      <c r="A134" s="170" t="s">
        <v>187</v>
      </c>
      <c r="B134" s="170"/>
      <c r="C134" s="7">
        <v>10</v>
      </c>
      <c r="D134" s="7">
        <v>10</v>
      </c>
      <c r="E134" s="7">
        <v>10</v>
      </c>
      <c r="F134" s="7">
        <v>10</v>
      </c>
      <c r="G134" s="7">
        <v>10</v>
      </c>
    </row>
    <row r="135" spans="1:7" hidden="1" outlineLevel="1" x14ac:dyDescent="0.35">
      <c r="A135" s="170" t="s">
        <v>188</v>
      </c>
      <c r="B135" s="170"/>
      <c r="C135" s="7">
        <v>5</v>
      </c>
      <c r="D135" s="7">
        <v>5</v>
      </c>
      <c r="E135" s="7">
        <v>5</v>
      </c>
      <c r="F135" s="7">
        <v>5</v>
      </c>
      <c r="G135" s="7">
        <v>5</v>
      </c>
    </row>
    <row r="136" spans="1:7" hidden="1" outlineLevel="1" x14ac:dyDescent="0.35">
      <c r="A136" s="170" t="s">
        <v>189</v>
      </c>
      <c r="B136" s="170"/>
      <c r="C136" s="7">
        <v>60</v>
      </c>
      <c r="D136" s="7">
        <v>60</v>
      </c>
      <c r="E136" s="7">
        <v>60</v>
      </c>
      <c r="F136" s="7">
        <v>60</v>
      </c>
      <c r="G136" s="7">
        <v>60</v>
      </c>
    </row>
    <row r="137" spans="1:7" hidden="1" outlineLevel="1" x14ac:dyDescent="0.35">
      <c r="A137" s="170" t="s">
        <v>190</v>
      </c>
      <c r="B137" s="170"/>
      <c r="C137" s="7">
        <v>45</v>
      </c>
      <c r="D137" s="7">
        <v>45</v>
      </c>
      <c r="E137" s="7">
        <v>45</v>
      </c>
      <c r="F137" s="7">
        <v>45</v>
      </c>
      <c r="G137" s="7">
        <v>45</v>
      </c>
    </row>
    <row r="138" spans="1:7" hidden="1" outlineLevel="1" x14ac:dyDescent="0.35">
      <c r="A138" s="170" t="s">
        <v>191</v>
      </c>
      <c r="B138" s="170"/>
      <c r="C138" s="7">
        <v>3</v>
      </c>
      <c r="D138" s="7">
        <v>3</v>
      </c>
      <c r="E138" s="7">
        <v>3</v>
      </c>
      <c r="F138" s="7">
        <v>3</v>
      </c>
      <c r="G138" s="7">
        <v>3</v>
      </c>
    </row>
    <row r="139" spans="1:7" hidden="1" outlineLevel="1" x14ac:dyDescent="0.35">
      <c r="A139" s="170" t="s">
        <v>192</v>
      </c>
      <c r="B139" s="170"/>
      <c r="C139" s="7">
        <v>10</v>
      </c>
      <c r="D139" s="7">
        <v>10</v>
      </c>
      <c r="E139" s="7">
        <v>10</v>
      </c>
      <c r="F139" s="7">
        <v>10</v>
      </c>
      <c r="G139" s="7">
        <v>10</v>
      </c>
    </row>
    <row r="140" spans="1:7" hidden="1" outlineLevel="1" x14ac:dyDescent="0.35">
      <c r="A140" s="170" t="s">
        <v>193</v>
      </c>
      <c r="B140" s="170"/>
      <c r="C140" s="7">
        <v>5</v>
      </c>
      <c r="D140" s="7">
        <v>5</v>
      </c>
      <c r="E140" s="7">
        <v>0</v>
      </c>
      <c r="F140" s="7">
        <v>5</v>
      </c>
      <c r="G140" s="7">
        <v>5</v>
      </c>
    </row>
    <row r="141" spans="1:7" hidden="1" outlineLevel="1" x14ac:dyDescent="0.35">
      <c r="A141" s="170" t="s">
        <v>194</v>
      </c>
      <c r="B141" s="170"/>
      <c r="C141" s="7">
        <v>5</v>
      </c>
      <c r="D141" s="7">
        <v>5</v>
      </c>
      <c r="E141" s="7">
        <v>5</v>
      </c>
      <c r="F141" s="7">
        <v>5</v>
      </c>
      <c r="G141" s="7">
        <v>5</v>
      </c>
    </row>
    <row r="142" spans="1:7" hidden="1" outlineLevel="1" x14ac:dyDescent="0.35">
      <c r="A142" s="170" t="s">
        <v>195</v>
      </c>
      <c r="B142" s="170"/>
      <c r="C142" s="8">
        <v>0</v>
      </c>
      <c r="D142" s="8">
        <v>0</v>
      </c>
      <c r="E142" s="7">
        <v>30</v>
      </c>
      <c r="F142" s="8">
        <v>0</v>
      </c>
      <c r="G142" s="8">
        <v>0</v>
      </c>
    </row>
    <row r="143" spans="1:7" hidden="1" outlineLevel="1" x14ac:dyDescent="0.35">
      <c r="A143" s="170" t="s">
        <v>196</v>
      </c>
      <c r="B143" s="170"/>
      <c r="C143" s="8">
        <v>0</v>
      </c>
      <c r="D143" s="8">
        <v>0</v>
      </c>
      <c r="E143" s="7">
        <v>30</v>
      </c>
      <c r="F143" s="8">
        <v>0</v>
      </c>
      <c r="G143" s="8">
        <v>0</v>
      </c>
    </row>
    <row r="144" spans="1:7" hidden="1" outlineLevel="1" x14ac:dyDescent="0.35">
      <c r="A144" s="170" t="s">
        <v>197</v>
      </c>
      <c r="B144" s="170"/>
      <c r="C144" s="7">
        <v>5</v>
      </c>
      <c r="D144" s="7">
        <v>5</v>
      </c>
      <c r="E144" s="7">
        <v>5</v>
      </c>
      <c r="F144" s="7">
        <v>5</v>
      </c>
      <c r="G144" s="7">
        <v>5</v>
      </c>
    </row>
    <row r="145" spans="1:7" hidden="1" outlineLevel="1" x14ac:dyDescent="0.35">
      <c r="A145" s="170" t="s">
        <v>198</v>
      </c>
      <c r="B145" s="170"/>
      <c r="C145" s="7">
        <v>5</v>
      </c>
      <c r="D145" s="7">
        <v>5</v>
      </c>
      <c r="E145" s="7">
        <v>5</v>
      </c>
      <c r="F145" s="7">
        <v>5</v>
      </c>
      <c r="G145" s="7">
        <v>5</v>
      </c>
    </row>
    <row r="146" spans="1:7" hidden="1" outlineLevel="1" x14ac:dyDescent="0.35">
      <c r="A146" s="170" t="s">
        <v>199</v>
      </c>
      <c r="B146" s="170"/>
      <c r="C146" s="7">
        <v>3</v>
      </c>
      <c r="D146" s="7">
        <v>3</v>
      </c>
      <c r="E146" s="7">
        <v>3</v>
      </c>
      <c r="F146" s="7">
        <v>3</v>
      </c>
      <c r="G146" s="7">
        <v>3</v>
      </c>
    </row>
    <row r="147" spans="1:7" hidden="1" outlineLevel="1" x14ac:dyDescent="0.35">
      <c r="A147" s="170" t="s">
        <v>200</v>
      </c>
      <c r="B147" s="170"/>
      <c r="C147" s="7">
        <v>0</v>
      </c>
      <c r="D147" s="7">
        <v>0</v>
      </c>
      <c r="E147" s="7">
        <v>0</v>
      </c>
      <c r="F147" s="7">
        <v>0</v>
      </c>
      <c r="G147" s="7">
        <v>0</v>
      </c>
    </row>
    <row r="148" spans="1:7" collapsed="1" x14ac:dyDescent="0.35"/>
  </sheetData>
  <autoFilter ref="A26:B26" xr:uid="{C67C8D8E-E5E2-4882-9088-647078EC0BDF}">
    <sortState xmlns:xlrd2="http://schemas.microsoft.com/office/spreadsheetml/2017/richdata2" ref="A27:B71">
      <sortCondition ref="A26"/>
    </sortState>
  </autoFilter>
  <mergeCells count="83">
    <mergeCell ref="A129:B129"/>
    <mergeCell ref="A130:B130"/>
    <mergeCell ref="A131:B131"/>
    <mergeCell ref="A132:B132"/>
    <mergeCell ref="A133:B133"/>
    <mergeCell ref="A134:B134"/>
    <mergeCell ref="A135:B135"/>
    <mergeCell ref="A136:B136"/>
    <mergeCell ref="A137:B137"/>
    <mergeCell ref="A138:B138"/>
    <mergeCell ref="A146:B146"/>
    <mergeCell ref="A147:B147"/>
    <mergeCell ref="A139:B139"/>
    <mergeCell ref="A140:B140"/>
    <mergeCell ref="A141:B141"/>
    <mergeCell ref="A142:B142"/>
    <mergeCell ref="A143:B143"/>
    <mergeCell ref="A144:B144"/>
    <mergeCell ref="A145:B145"/>
    <mergeCell ref="A125:B125"/>
    <mergeCell ref="A126:B126"/>
    <mergeCell ref="A127:B127"/>
    <mergeCell ref="A128:B128"/>
    <mergeCell ref="A119:B119"/>
    <mergeCell ref="A120:B120"/>
    <mergeCell ref="A121:B121"/>
    <mergeCell ref="A122:B122"/>
    <mergeCell ref="A123:B123"/>
    <mergeCell ref="A124:B124"/>
    <mergeCell ref="A113:B113"/>
    <mergeCell ref="A114:B114"/>
    <mergeCell ref="A116:B116"/>
    <mergeCell ref="A117:B117"/>
    <mergeCell ref="A118:B118"/>
    <mergeCell ref="A115:B115"/>
    <mergeCell ref="A107:B107"/>
    <mergeCell ref="A109:B109"/>
    <mergeCell ref="A110:B110"/>
    <mergeCell ref="A111:B111"/>
    <mergeCell ref="A112:B112"/>
    <mergeCell ref="A108:B108"/>
    <mergeCell ref="A102:B102"/>
    <mergeCell ref="A103:B103"/>
    <mergeCell ref="A104:B104"/>
    <mergeCell ref="A105:B105"/>
    <mergeCell ref="A106:B106"/>
    <mergeCell ref="A96:B96"/>
    <mergeCell ref="A98:B98"/>
    <mergeCell ref="A99:B99"/>
    <mergeCell ref="A100:B100"/>
    <mergeCell ref="A101:B101"/>
    <mergeCell ref="A97:B97"/>
    <mergeCell ref="A91:B91"/>
    <mergeCell ref="A92:B92"/>
    <mergeCell ref="A93:B93"/>
    <mergeCell ref="A94:B94"/>
    <mergeCell ref="A95:B95"/>
    <mergeCell ref="A86:B86"/>
    <mergeCell ref="A87:B87"/>
    <mergeCell ref="A88:B88"/>
    <mergeCell ref="A89:B89"/>
    <mergeCell ref="A90:B90"/>
    <mergeCell ref="A81:B81"/>
    <mergeCell ref="A82:B82"/>
    <mergeCell ref="A83:B83"/>
    <mergeCell ref="A84:B84"/>
    <mergeCell ref="A85:B85"/>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s>
  <conditionalFormatting sqref="A3:A6">
    <cfRule type="expression" dxfId="35" priority="6">
      <formula>$B3=""</formula>
    </cfRule>
  </conditionalFormatting>
  <conditionalFormatting sqref="B5:B6">
    <cfRule type="containsBlanks" dxfId="34" priority="3">
      <formula>LEN(TRIM(B5))=0</formula>
    </cfRule>
  </conditionalFormatting>
  <conditionalFormatting sqref="B3">
    <cfRule type="containsBlanks" dxfId="33" priority="7">
      <formula>LEN(TRIM(B3))=0</formula>
    </cfRule>
  </conditionalFormatting>
  <conditionalFormatting sqref="B4">
    <cfRule type="notContainsBlanks" dxfId="32" priority="1">
      <formula>LEN(TRIM(B4))&gt;0</formula>
    </cfRule>
    <cfRule type="expression" dxfId="31"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CG9" activePane="bottomRight" state="frozen"/>
      <selection pane="topRight" activeCell="H1" sqref="H1"/>
      <selection pane="bottomLeft" activeCell="A9" sqref="A9"/>
      <selection pane="bottomRight" activeCell="A9" sqref="A9:XFD10"/>
    </sheetView>
  </sheetViews>
  <sheetFormatPr defaultRowHeight="14.5" outlineLevelRow="1" outlineLevelCol="1" x14ac:dyDescent="0.35"/>
  <cols>
    <col min="1" max="1" width="20.81640625" customWidth="1"/>
    <col min="2" max="2" width="9.81640625" customWidth="1"/>
    <col min="3" max="3" width="16.81640625" bestFit="1" customWidth="1"/>
    <col min="4" max="4" width="12.1796875" style="104" customWidth="1"/>
    <col min="5" max="5" width="11.7265625" customWidth="1"/>
    <col min="6" max="6" width="23" customWidth="1"/>
    <col min="7" max="7" width="21" bestFit="1" customWidth="1"/>
    <col min="8" max="8" width="14.26953125" customWidth="1"/>
    <col min="9" max="9" width="11.7265625"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3.179687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0.7265625" customWidth="1"/>
    <col min="37" max="38" width="10.7265625" customWidth="1" outlineLevel="1"/>
    <col min="39" max="39" width="10.7265625" customWidth="1"/>
    <col min="40" max="41" width="10.7265625" customWidth="1" outlineLevel="1"/>
    <col min="42" max="42" width="10.7265625" customWidth="1"/>
    <col min="43" max="44" width="10.7265625" customWidth="1" outlineLevel="1"/>
    <col min="45" max="45" width="10.7265625"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5" width="12.54296875" customWidth="1" outlineLevel="1"/>
    <col min="56" max="56" width="13.453125" customWidth="1" outlineLevel="1"/>
    <col min="57" max="57" width="10.81640625"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0.7265625"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1" width="10.7265625"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7" width="10.7265625" customWidth="1" outlineLevel="1"/>
    <col min="158" max="158" width="10.7265625"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3.26953125"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61"/>
      <c r="H1" s="161" t="s">
        <v>203</v>
      </c>
      <c r="I1" s="162" t="s">
        <v>204</v>
      </c>
      <c r="J1" s="162"/>
      <c r="K1" s="163"/>
      <c r="L1" s="163"/>
      <c r="M1" s="163"/>
      <c r="N1" s="163"/>
      <c r="O1" s="163"/>
      <c r="P1" s="163"/>
      <c r="Q1" s="163"/>
      <c r="R1" s="163"/>
      <c r="S1" s="163"/>
      <c r="T1" s="163"/>
      <c r="U1" s="163"/>
      <c r="V1" s="163"/>
      <c r="W1" s="163"/>
      <c r="X1" s="163"/>
      <c r="Y1" s="163"/>
      <c r="Z1" s="163"/>
      <c r="AA1" s="163"/>
      <c r="AB1" s="163"/>
      <c r="AC1" s="163"/>
      <c r="AD1" s="163"/>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163"/>
      <c r="BG1" s="163"/>
      <c r="BH1" s="163"/>
      <c r="BI1" s="163"/>
      <c r="BJ1" s="163"/>
      <c r="BK1" s="163"/>
      <c r="BL1" s="163"/>
      <c r="BM1" s="163"/>
      <c r="BN1" s="163"/>
      <c r="BO1" s="163"/>
      <c r="BP1" s="163"/>
      <c r="BQ1" s="163"/>
      <c r="BR1" s="163"/>
      <c r="BS1" s="163"/>
      <c r="BT1" s="163"/>
      <c r="BU1" s="163"/>
      <c r="BV1" s="163"/>
      <c r="BW1" s="163"/>
      <c r="BX1" s="163"/>
      <c r="BY1" s="163"/>
      <c r="BZ1" s="163"/>
      <c r="CA1" s="163"/>
      <c r="CB1" s="163"/>
      <c r="CC1" s="163"/>
      <c r="CD1" s="163"/>
      <c r="CE1" s="163"/>
      <c r="CF1" s="163"/>
      <c r="CG1" s="163"/>
      <c r="CH1" s="163"/>
      <c r="CI1" s="163"/>
      <c r="CJ1" s="163"/>
      <c r="CK1" s="163"/>
      <c r="CL1" s="163"/>
      <c r="CM1" s="163"/>
      <c r="CN1" s="163"/>
      <c r="CO1" s="163"/>
      <c r="CP1" s="163"/>
      <c r="CQ1" s="163"/>
      <c r="CR1" s="163"/>
      <c r="CS1" s="163"/>
      <c r="CT1" s="163"/>
      <c r="CU1" s="163"/>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61"/>
      <c r="H2" s="161"/>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c r="CU2" s="163"/>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64" t="s">
        <v>209</v>
      </c>
      <c r="K3" s="164"/>
      <c r="L3" s="164"/>
      <c r="M3" s="164"/>
      <c r="N3" s="164"/>
      <c r="O3" s="164"/>
      <c r="P3" s="164"/>
      <c r="Q3" s="164"/>
      <c r="R3" s="164"/>
      <c r="S3" s="164"/>
      <c r="T3" s="164"/>
      <c r="U3" s="164"/>
      <c r="V3" s="164"/>
      <c r="W3" s="164"/>
      <c r="X3" s="164"/>
      <c r="Y3" s="164"/>
      <c r="Z3" s="164"/>
      <c r="AA3" s="164"/>
      <c r="AB3" s="96"/>
      <c r="AC3" s="96"/>
      <c r="AD3" s="96"/>
      <c r="AE3" s="165" t="s">
        <v>210</v>
      </c>
      <c r="AF3" s="165"/>
      <c r="AG3" s="165"/>
      <c r="AH3" s="166" t="s">
        <v>211</v>
      </c>
      <c r="AI3" s="166"/>
      <c r="AJ3" s="166"/>
      <c r="AK3" s="166"/>
      <c r="AL3" s="166"/>
      <c r="AM3" s="166"/>
      <c r="AN3" s="166"/>
      <c r="AO3" s="166"/>
      <c r="AP3" s="166"/>
      <c r="AQ3" s="167" t="s">
        <v>212</v>
      </c>
      <c r="AR3" s="167"/>
      <c r="AS3" s="167"/>
      <c r="AT3" s="167"/>
      <c r="AU3" s="167"/>
      <c r="AV3" s="167"/>
      <c r="AW3" s="167"/>
      <c r="AX3" s="167"/>
      <c r="AY3" s="167"/>
      <c r="AZ3" s="167"/>
      <c r="BA3" s="167"/>
      <c r="BB3" s="50"/>
      <c r="BC3" s="168" t="s">
        <v>213</v>
      </c>
      <c r="BD3" s="168"/>
      <c r="BE3" s="168"/>
      <c r="BF3" s="168"/>
      <c r="BG3" s="168"/>
      <c r="BH3" s="168"/>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41" t="s">
        <v>218</v>
      </c>
      <c r="K4" s="141"/>
      <c r="L4" s="141"/>
      <c r="M4" s="141"/>
      <c r="N4" s="141"/>
      <c r="O4" s="141"/>
      <c r="P4" s="141"/>
      <c r="Q4" s="141"/>
      <c r="R4" s="141"/>
      <c r="S4" s="141"/>
      <c r="T4" s="141"/>
      <c r="U4" s="141"/>
      <c r="V4" s="141"/>
      <c r="W4" s="141"/>
      <c r="X4" s="141"/>
      <c r="Y4" s="141"/>
      <c r="Z4" s="141"/>
      <c r="AA4" s="141"/>
      <c r="AB4" s="141"/>
      <c r="AC4" s="141"/>
      <c r="AD4" s="141"/>
      <c r="AE4" s="141"/>
      <c r="AF4" s="141"/>
      <c r="AG4" s="141"/>
      <c r="AH4" s="141"/>
      <c r="AI4" s="141"/>
      <c r="AJ4" s="141"/>
      <c r="AK4" s="141"/>
      <c r="AL4" s="141"/>
      <c r="AM4" s="141"/>
      <c r="AN4" s="141"/>
      <c r="AO4" s="141"/>
      <c r="AP4" s="141"/>
      <c r="AQ4" s="141"/>
      <c r="AR4" s="141"/>
      <c r="AS4" s="141"/>
      <c r="AT4" s="141"/>
      <c r="AU4" s="141"/>
      <c r="AV4" s="141"/>
      <c r="AW4" s="141"/>
      <c r="AX4" s="141"/>
      <c r="AY4" s="141"/>
      <c r="AZ4" s="141"/>
      <c r="BA4" s="141"/>
      <c r="BB4" s="141"/>
      <c r="BC4" s="141"/>
      <c r="BD4" s="141"/>
      <c r="BE4" s="141"/>
      <c r="BF4" s="142" t="s">
        <v>219</v>
      </c>
      <c r="BG4" s="142"/>
      <c r="BH4" s="142"/>
      <c r="BI4" s="142"/>
      <c r="BJ4" s="142"/>
      <c r="BK4" s="142"/>
      <c r="BL4" s="142"/>
      <c r="BM4" s="142"/>
      <c r="BN4" s="142"/>
      <c r="BO4" s="142"/>
      <c r="BP4" s="142"/>
      <c r="BQ4" s="142"/>
      <c r="BR4" s="142"/>
      <c r="BS4" s="142"/>
      <c r="BT4" s="142"/>
      <c r="BU4" s="142"/>
      <c r="BV4" s="142"/>
      <c r="BW4" s="142"/>
      <c r="BX4" s="142"/>
      <c r="BY4" s="142"/>
      <c r="BZ4" s="142"/>
      <c r="CA4" s="142"/>
      <c r="CB4" s="142"/>
      <c r="CC4" s="142"/>
      <c r="CD4" s="142"/>
      <c r="CE4" s="142"/>
      <c r="CF4" s="142"/>
      <c r="CG4" s="142"/>
      <c r="CH4" s="142"/>
      <c r="CI4" s="142"/>
      <c r="CJ4" s="142"/>
      <c r="CK4" s="142"/>
      <c r="CL4" s="142"/>
      <c r="CM4" s="143" t="s">
        <v>220</v>
      </c>
      <c r="CN4" s="143"/>
      <c r="CO4" s="143"/>
      <c r="CP4" s="143"/>
      <c r="CQ4" s="143"/>
      <c r="CR4" s="143"/>
      <c r="CS4" s="143"/>
      <c r="CT4" s="143"/>
      <c r="CU4" s="143"/>
      <c r="CV4" s="143"/>
      <c r="CW4" s="143"/>
      <c r="CX4" s="143"/>
      <c r="CY4" s="143"/>
      <c r="CZ4" s="143"/>
      <c r="DA4" s="143"/>
      <c r="DB4" s="143"/>
      <c r="DC4" s="143"/>
      <c r="DD4" s="143"/>
      <c r="DE4" s="143"/>
      <c r="DF4" s="143"/>
      <c r="DG4" s="143"/>
      <c r="DH4" s="143"/>
      <c r="DI4" s="143"/>
      <c r="DJ4" s="143"/>
      <c r="DK4" s="143"/>
      <c r="DL4" s="143"/>
      <c r="DM4" s="143"/>
      <c r="DN4" s="143"/>
      <c r="DO4" s="143"/>
      <c r="DP4" s="143"/>
      <c r="DQ4" s="143"/>
      <c r="DR4" s="143"/>
      <c r="DS4" s="143"/>
      <c r="DT4" s="143"/>
      <c r="DU4" s="143"/>
      <c r="DV4" s="143"/>
      <c r="DW4" s="143"/>
      <c r="DX4" s="143"/>
      <c r="DY4" s="143"/>
      <c r="DZ4" s="143"/>
      <c r="EA4" s="143"/>
      <c r="EB4" s="143"/>
      <c r="EC4" s="143"/>
      <c r="ED4" s="143"/>
      <c r="EE4" s="143"/>
      <c r="EF4" s="143"/>
      <c r="EG4" s="143"/>
      <c r="EH4" s="143"/>
      <c r="EI4" s="143"/>
      <c r="EJ4" s="143"/>
      <c r="EK4" s="143"/>
      <c r="EL4" s="143"/>
      <c r="EM4" s="143"/>
      <c r="EN4" s="143"/>
      <c r="EO4" s="143"/>
      <c r="EP4" s="143"/>
      <c r="EQ4" s="143"/>
      <c r="ER4" s="143"/>
      <c r="ES4" s="143"/>
      <c r="ET4" s="143"/>
      <c r="EU4" s="143"/>
      <c r="EV4" s="143"/>
      <c r="EW4" s="143"/>
      <c r="EX4" s="143"/>
      <c r="EY4" s="143"/>
      <c r="EZ4" s="144" t="s">
        <v>221</v>
      </c>
      <c r="FA4" s="144"/>
      <c r="FB4" s="144"/>
      <c r="FC4" s="144"/>
      <c r="FD4" s="144"/>
      <c r="FE4" s="144"/>
      <c r="FF4" s="144"/>
      <c r="FG4" s="144"/>
      <c r="FH4" s="144"/>
      <c r="FI4" s="144"/>
      <c r="FJ4" s="144"/>
      <c r="FK4" s="144"/>
      <c r="FL4" s="144"/>
      <c r="FM4" s="144"/>
      <c r="FN4" s="144"/>
      <c r="FO4" s="144"/>
      <c r="FP4" s="144"/>
      <c r="FQ4" s="144"/>
      <c r="FR4" s="144"/>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45" t="s">
        <v>224</v>
      </c>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46"/>
      <c r="AL5" s="146"/>
      <c r="AM5" s="146"/>
      <c r="AN5" s="146"/>
      <c r="AO5" s="146"/>
      <c r="AP5" s="146"/>
      <c r="AQ5" s="146"/>
      <c r="AR5" s="146"/>
      <c r="AS5" s="146"/>
      <c r="AT5" s="146"/>
      <c r="AU5" s="146"/>
      <c r="AV5" s="146"/>
      <c r="AW5" s="146"/>
      <c r="AX5" s="146"/>
      <c r="AY5" s="146"/>
      <c r="AZ5" s="146"/>
      <c r="BA5" s="146"/>
      <c r="BB5" s="146"/>
      <c r="BC5" s="146"/>
      <c r="BD5" s="146"/>
      <c r="BE5" s="146"/>
      <c r="BF5" s="146"/>
      <c r="BG5" s="146"/>
      <c r="BH5" s="146"/>
      <c r="BI5" s="149" t="s">
        <v>225</v>
      </c>
      <c r="BJ5" s="150"/>
      <c r="BK5" s="150"/>
      <c r="BL5" s="150"/>
      <c r="BM5" s="150"/>
      <c r="BN5" s="150"/>
      <c r="BO5" s="150"/>
      <c r="BP5" s="150"/>
      <c r="BQ5" s="150"/>
      <c r="BR5" s="150"/>
      <c r="BS5" s="150"/>
      <c r="BT5" s="150"/>
      <c r="BU5" s="150"/>
      <c r="BV5" s="150"/>
      <c r="BW5" s="150"/>
      <c r="BX5" s="150"/>
      <c r="BY5" s="150"/>
      <c r="BZ5" s="150"/>
      <c r="CA5" s="150"/>
      <c r="CB5" s="150"/>
      <c r="CC5" s="150"/>
      <c r="CD5" s="150"/>
      <c r="CE5" s="150"/>
      <c r="CF5" s="150"/>
      <c r="CG5" s="150"/>
      <c r="CH5" s="150"/>
      <c r="CI5" s="150"/>
      <c r="CJ5" s="150"/>
      <c r="CK5" s="150"/>
      <c r="CL5" s="150"/>
      <c r="CM5" s="150"/>
      <c r="CN5" s="150"/>
      <c r="CO5" s="150"/>
      <c r="CP5" s="150"/>
      <c r="CQ5" s="150"/>
      <c r="CR5" s="150"/>
      <c r="CS5" s="150"/>
      <c r="CT5" s="150"/>
      <c r="CU5" s="150"/>
      <c r="CV5" s="150"/>
      <c r="CW5" s="150"/>
      <c r="CX5" s="150"/>
      <c r="CY5" s="150"/>
      <c r="CZ5" s="150"/>
      <c r="DA5" s="150"/>
      <c r="DB5" s="150"/>
      <c r="DC5" s="150"/>
      <c r="DD5" s="150"/>
      <c r="DE5" s="150"/>
      <c r="DF5" s="150"/>
      <c r="DG5" s="150"/>
      <c r="DH5" s="150"/>
      <c r="DI5" s="150"/>
      <c r="DJ5" s="150"/>
      <c r="DK5" s="150"/>
      <c r="DL5" s="150"/>
      <c r="DM5" s="150"/>
      <c r="DN5" s="150"/>
      <c r="DO5" s="150"/>
      <c r="DP5" s="150"/>
      <c r="DQ5" s="150"/>
      <c r="DR5" s="150"/>
      <c r="DS5" s="150"/>
      <c r="DT5" s="150"/>
      <c r="DU5" s="150"/>
      <c r="DV5" s="150"/>
      <c r="DW5" s="150"/>
      <c r="DX5" s="150"/>
      <c r="DY5" s="150"/>
      <c r="DZ5" s="150"/>
      <c r="EA5" s="150"/>
      <c r="EB5" s="150"/>
      <c r="EC5" s="150"/>
      <c r="ED5" s="150"/>
      <c r="EE5" s="150"/>
      <c r="EF5" s="150"/>
      <c r="EG5" s="150"/>
      <c r="EH5" s="150"/>
      <c r="EI5" s="150"/>
      <c r="EJ5" s="150"/>
      <c r="EK5" s="150"/>
      <c r="EL5" s="150"/>
      <c r="EM5" s="150"/>
      <c r="EN5" s="150"/>
      <c r="EO5" s="150"/>
      <c r="EP5" s="150"/>
      <c r="EQ5" s="150"/>
      <c r="ER5" s="150"/>
      <c r="ES5" s="150"/>
      <c r="ET5" s="150"/>
      <c r="EU5" s="150"/>
      <c r="EV5" s="150"/>
      <c r="EW5" s="150"/>
      <c r="EX5" s="150"/>
      <c r="EY5" s="150"/>
      <c r="EZ5" s="150"/>
      <c r="FA5" s="150"/>
      <c r="FB5" s="150"/>
      <c r="FC5" s="150"/>
      <c r="FD5" s="150"/>
      <c r="FE5" s="150"/>
      <c r="FF5" s="150"/>
      <c r="FG5" s="150"/>
      <c r="FH5" s="150"/>
      <c r="FI5" s="150"/>
      <c r="FJ5" s="150"/>
      <c r="FK5" s="151"/>
      <c r="FL5" s="155" t="s">
        <v>226</v>
      </c>
      <c r="FM5" s="156"/>
      <c r="FN5" s="156"/>
      <c r="FO5" s="156"/>
      <c r="FP5" s="156"/>
      <c r="FQ5" s="156"/>
      <c r="FR5" s="157"/>
      <c r="FS5" s="107"/>
      <c r="FT5" s="139" t="s">
        <v>227</v>
      </c>
      <c r="FU5" s="139"/>
      <c r="FV5" s="139"/>
      <c r="FW5" s="139"/>
      <c r="FX5" s="36"/>
      <c r="FY5" s="36"/>
      <c r="FZ5" s="36"/>
      <c r="GA5" s="36"/>
      <c r="GB5" s="36"/>
      <c r="GC5" s="36"/>
      <c r="GD5" s="36"/>
    </row>
    <row r="6" spans="1:311" x14ac:dyDescent="0.35">
      <c r="A6" s="22"/>
      <c r="B6" s="92"/>
      <c r="C6" s="17" t="s">
        <v>228</v>
      </c>
      <c r="D6" s="94"/>
      <c r="E6" s="17"/>
      <c r="F6" s="20"/>
      <c r="G6" s="20"/>
      <c r="H6" s="20"/>
      <c r="I6" s="147"/>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48"/>
      <c r="BH6" s="148"/>
      <c r="BI6" s="152"/>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153"/>
      <c r="EI6" s="153"/>
      <c r="EJ6" s="153"/>
      <c r="EK6" s="153"/>
      <c r="EL6" s="153"/>
      <c r="EM6" s="153"/>
      <c r="EN6" s="153"/>
      <c r="EO6" s="153"/>
      <c r="EP6" s="153"/>
      <c r="EQ6" s="153"/>
      <c r="ER6" s="153"/>
      <c r="ES6" s="153"/>
      <c r="ET6" s="153"/>
      <c r="EU6" s="153"/>
      <c r="EV6" s="153"/>
      <c r="EW6" s="153"/>
      <c r="EX6" s="153"/>
      <c r="EY6" s="153"/>
      <c r="EZ6" s="153"/>
      <c r="FA6" s="153"/>
      <c r="FB6" s="153"/>
      <c r="FC6" s="153"/>
      <c r="FD6" s="153"/>
      <c r="FE6" s="153"/>
      <c r="FF6" s="153"/>
      <c r="FG6" s="153"/>
      <c r="FH6" s="153"/>
      <c r="FI6" s="153"/>
      <c r="FJ6" s="153"/>
      <c r="FK6" s="154"/>
      <c r="FL6" s="158"/>
      <c r="FM6" s="159"/>
      <c r="FN6" s="159"/>
      <c r="FO6" s="159"/>
      <c r="FP6" s="159"/>
      <c r="FQ6" s="159"/>
      <c r="FR6" s="160"/>
      <c r="FS6" s="108"/>
      <c r="FT6" s="139"/>
      <c r="FU6" s="139"/>
      <c r="FV6" s="139"/>
      <c r="FW6" s="139"/>
      <c r="FX6" s="36"/>
      <c r="FY6" s="36"/>
      <c r="FZ6" s="36"/>
      <c r="GA6" s="36"/>
      <c r="GB6" s="36"/>
      <c r="GC6" s="36"/>
      <c r="GD6" s="36"/>
    </row>
    <row r="7" spans="1:311" s="23" customFormat="1" ht="38.25" customHeight="1" x14ac:dyDescent="0.35">
      <c r="A7" s="140" t="s">
        <v>229</v>
      </c>
      <c r="B7" s="140"/>
      <c r="C7" s="140"/>
      <c r="D7" s="140"/>
      <c r="E7" s="140"/>
      <c r="F7" s="140"/>
      <c r="G7" s="140"/>
      <c r="H7" s="52"/>
      <c r="I7" s="37" t="s">
        <v>230</v>
      </c>
      <c r="J7" s="118" t="s">
        <v>231</v>
      </c>
      <c r="K7" s="118"/>
      <c r="L7" s="118"/>
      <c r="M7" s="131" t="s">
        <v>232</v>
      </c>
      <c r="N7" s="131"/>
      <c r="O7" s="131"/>
      <c r="P7" s="131" t="s">
        <v>233</v>
      </c>
      <c r="Q7" s="131"/>
      <c r="R7" s="132"/>
      <c r="S7" s="118" t="s">
        <v>234</v>
      </c>
      <c r="T7" s="118"/>
      <c r="U7" s="118"/>
      <c r="V7" s="118" t="s">
        <v>235</v>
      </c>
      <c r="W7" s="118" t="s">
        <v>235</v>
      </c>
      <c r="X7" s="118"/>
      <c r="Y7" s="118" t="s">
        <v>236</v>
      </c>
      <c r="Z7" s="118" t="s">
        <v>236</v>
      </c>
      <c r="AA7" s="120"/>
      <c r="AB7" s="118" t="s">
        <v>237</v>
      </c>
      <c r="AC7" s="118"/>
      <c r="AD7" s="118"/>
      <c r="AE7" s="118" t="s">
        <v>238</v>
      </c>
      <c r="AF7" s="118" t="s">
        <v>239</v>
      </c>
      <c r="AG7" s="118"/>
      <c r="AH7" s="116" t="s">
        <v>240</v>
      </c>
      <c r="AI7" s="116" t="s">
        <v>241</v>
      </c>
      <c r="AJ7" s="137"/>
      <c r="AK7" s="118" t="s">
        <v>242</v>
      </c>
      <c r="AL7" s="118" t="s">
        <v>243</v>
      </c>
      <c r="AM7" s="118"/>
      <c r="AN7" s="118" t="s">
        <v>244</v>
      </c>
      <c r="AO7" s="118" t="s">
        <v>244</v>
      </c>
      <c r="AP7" s="118"/>
      <c r="AQ7" s="116" t="s">
        <v>245</v>
      </c>
      <c r="AR7" s="116" t="s">
        <v>245</v>
      </c>
      <c r="AS7" s="137"/>
      <c r="AT7" s="118" t="s">
        <v>246</v>
      </c>
      <c r="AU7" s="118" t="s">
        <v>246</v>
      </c>
      <c r="AV7" s="118"/>
      <c r="AW7" s="118" t="s">
        <v>247</v>
      </c>
      <c r="AX7" s="118" t="s">
        <v>247</v>
      </c>
      <c r="AY7" s="118"/>
      <c r="AZ7" s="138" t="s">
        <v>248</v>
      </c>
      <c r="BA7" s="138"/>
      <c r="BB7" s="138"/>
      <c r="BC7" s="116" t="s">
        <v>249</v>
      </c>
      <c r="BD7" s="116"/>
      <c r="BE7" s="137"/>
      <c r="BF7" s="118" t="s">
        <v>250</v>
      </c>
      <c r="BG7" s="118" t="s">
        <v>250</v>
      </c>
      <c r="BH7" s="118"/>
      <c r="BI7" s="118" t="s">
        <v>251</v>
      </c>
      <c r="BJ7" s="118" t="s">
        <v>251</v>
      </c>
      <c r="BK7" s="118"/>
      <c r="BL7" s="118" t="s">
        <v>252</v>
      </c>
      <c r="BM7" s="118" t="s">
        <v>252</v>
      </c>
      <c r="BN7" s="118"/>
      <c r="BO7" s="118" t="s">
        <v>253</v>
      </c>
      <c r="BP7" s="118" t="s">
        <v>253</v>
      </c>
      <c r="BQ7" s="118"/>
      <c r="BR7" s="118" t="s">
        <v>254</v>
      </c>
      <c r="BS7" s="118" t="s">
        <v>254</v>
      </c>
      <c r="BT7" s="118"/>
      <c r="BU7" s="118" t="s">
        <v>255</v>
      </c>
      <c r="BV7" s="118" t="s">
        <v>255</v>
      </c>
      <c r="BW7" s="118"/>
      <c r="BX7" s="118" t="s">
        <v>256</v>
      </c>
      <c r="BY7" s="118" t="s">
        <v>256</v>
      </c>
      <c r="BZ7" s="118"/>
      <c r="CA7" s="118" t="s">
        <v>257</v>
      </c>
      <c r="CB7" s="118" t="s">
        <v>257</v>
      </c>
      <c r="CC7" s="118"/>
      <c r="CD7" s="118" t="s">
        <v>258</v>
      </c>
      <c r="CE7" s="118" t="s">
        <v>258</v>
      </c>
      <c r="CF7" s="118"/>
      <c r="CG7" s="118" t="s">
        <v>259</v>
      </c>
      <c r="CH7" s="118" t="s">
        <v>259</v>
      </c>
      <c r="CI7" s="118"/>
      <c r="CJ7" s="118" t="s">
        <v>260</v>
      </c>
      <c r="CK7" s="118" t="s">
        <v>260</v>
      </c>
      <c r="CL7" s="118"/>
      <c r="CM7" s="133" t="s">
        <v>261</v>
      </c>
      <c r="CN7" s="133"/>
      <c r="CO7" s="134"/>
      <c r="CP7" s="134" t="s">
        <v>262</v>
      </c>
      <c r="CQ7" s="135"/>
      <c r="CR7" s="135"/>
      <c r="CS7" s="136"/>
      <c r="CT7" s="116" t="s">
        <v>263</v>
      </c>
      <c r="CU7" s="116"/>
      <c r="CV7" s="137"/>
      <c r="CW7" s="127" t="s">
        <v>264</v>
      </c>
      <c r="CX7" s="127"/>
      <c r="CY7" s="127"/>
      <c r="CZ7" s="118" t="s">
        <v>265</v>
      </c>
      <c r="DA7" s="118"/>
      <c r="DB7" s="118"/>
      <c r="DC7" s="122" t="s">
        <v>266</v>
      </c>
      <c r="DD7" s="122"/>
      <c r="DE7" s="122"/>
      <c r="DF7" s="123" t="s">
        <v>267</v>
      </c>
      <c r="DG7" s="123"/>
      <c r="DH7" s="123"/>
      <c r="DI7" s="124" t="s">
        <v>268</v>
      </c>
      <c r="DJ7" s="125"/>
      <c r="DK7" s="125"/>
      <c r="DL7" s="126"/>
      <c r="DM7" s="127" t="s">
        <v>269</v>
      </c>
      <c r="DN7" s="127"/>
      <c r="DO7" s="127"/>
      <c r="DP7" s="118" t="s">
        <v>270</v>
      </c>
      <c r="DQ7" s="118"/>
      <c r="DR7" s="118"/>
      <c r="DS7" s="128" t="s">
        <v>271</v>
      </c>
      <c r="DT7" s="129"/>
      <c r="DU7" s="129"/>
      <c r="DV7" s="130"/>
      <c r="DW7" s="128" t="s">
        <v>272</v>
      </c>
      <c r="DX7" s="129"/>
      <c r="DY7" s="129"/>
      <c r="DZ7" s="130"/>
      <c r="EA7" s="128" t="s">
        <v>273</v>
      </c>
      <c r="EB7" s="129"/>
      <c r="EC7" s="129"/>
      <c r="ED7" s="130"/>
      <c r="EE7" s="131" t="s">
        <v>274</v>
      </c>
      <c r="EF7" s="131"/>
      <c r="EG7" s="131"/>
      <c r="EH7" s="131" t="s">
        <v>275</v>
      </c>
      <c r="EI7" s="131"/>
      <c r="EJ7" s="132"/>
      <c r="EK7" s="127" t="s">
        <v>276</v>
      </c>
      <c r="EL7" s="127"/>
      <c r="EM7" s="127"/>
      <c r="EN7" s="118" t="s">
        <v>277</v>
      </c>
      <c r="EO7" s="118"/>
      <c r="EP7" s="118"/>
      <c r="EQ7" s="118" t="s">
        <v>278</v>
      </c>
      <c r="ER7" s="118"/>
      <c r="ES7" s="118"/>
      <c r="ET7" s="118" t="s">
        <v>279</v>
      </c>
      <c r="EU7" s="118"/>
      <c r="EV7" s="118"/>
      <c r="EW7" s="118" t="s">
        <v>280</v>
      </c>
      <c r="EX7" s="118"/>
      <c r="EY7" s="118"/>
      <c r="EZ7" s="119" t="s">
        <v>281</v>
      </c>
      <c r="FA7" s="119" t="s">
        <v>281</v>
      </c>
      <c r="FB7" s="119"/>
      <c r="FC7" s="118" t="s">
        <v>282</v>
      </c>
      <c r="FD7" s="118"/>
      <c r="FE7" s="118"/>
      <c r="FF7" s="120" t="s">
        <v>283</v>
      </c>
      <c r="FG7" s="121"/>
      <c r="FH7" s="121"/>
      <c r="FI7" s="115" t="s">
        <v>284</v>
      </c>
      <c r="FJ7" s="115"/>
      <c r="FK7" s="115"/>
      <c r="FL7" s="116" t="s">
        <v>285</v>
      </c>
      <c r="FM7" s="116"/>
      <c r="FN7" s="116"/>
      <c r="FO7" s="117" t="s">
        <v>286</v>
      </c>
      <c r="FP7" s="117"/>
      <c r="FQ7" s="117"/>
      <c r="FR7" s="75" t="s">
        <v>287</v>
      </c>
      <c r="FS7" s="75" t="s">
        <v>288</v>
      </c>
      <c r="FT7" s="139"/>
      <c r="FU7" s="139"/>
      <c r="FV7" s="139"/>
      <c r="FW7" s="139"/>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35">
      <c r="A9" s="23"/>
      <c r="B9" s="23"/>
      <c r="C9" s="24"/>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464</v>
      </c>
    </row>
    <row r="10" spans="1:311" x14ac:dyDescent="0.35">
      <c r="A10" s="23" t="s">
        <v>465</v>
      </c>
      <c r="B10" s="23">
        <v>100000</v>
      </c>
      <c r="C10" s="23">
        <v>111</v>
      </c>
      <c r="D10" s="65"/>
      <c r="E10" s="23" t="str">
        <f>IF(D10="","Unknown",IF(D10&lt;=FM10+90,"Red",IF(AND(D10&gt;FM10+90,D10&lt;=FM10+180),"Yellow",IF(AND(D10&gt;FM10+180,D10&lt;=FM10+690),"Green","Covered"))))</f>
        <v>Unknown</v>
      </c>
      <c r="F10" s="25" t="s">
        <v>466</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467</v>
      </c>
    </row>
    <row r="11" spans="1:311" outlineLevel="1" x14ac:dyDescent="0.35">
      <c r="A11" s="23"/>
      <c r="B11" s="23"/>
      <c r="C11" s="24"/>
      <c r="D11" s="95"/>
      <c r="E11" s="24"/>
      <c r="F11" s="25" t="s">
        <v>463</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464</v>
      </c>
    </row>
    <row r="12" spans="1:311" x14ac:dyDescent="0.35">
      <c r="A12" s="23" t="s">
        <v>465</v>
      </c>
      <c r="B12" s="23">
        <v>100001</v>
      </c>
      <c r="C12" s="23">
        <v>222</v>
      </c>
      <c r="D12" s="65"/>
      <c r="E12" s="23" t="str">
        <f>IF(D12="","Unknown",IF(D12&lt;=FM12+90,"Red",IF(AND(D12&gt;FM12+90,D12&lt;=FM12+180),"Yellow",IF(AND(D12&gt;FM12+180,D12&lt;=FM12+690),"Green","Covered"))))</f>
        <v>Unknown</v>
      </c>
      <c r="F12" s="25" t="s">
        <v>468</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467</v>
      </c>
    </row>
    <row r="13" spans="1:311" outlineLevel="1" x14ac:dyDescent="0.35">
      <c r="A13" s="23"/>
      <c r="B13" s="23"/>
      <c r="C13" s="24"/>
      <c r="D13" s="95"/>
      <c r="E13" s="24"/>
      <c r="F13" s="25" t="s">
        <v>463</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464</v>
      </c>
    </row>
    <row r="14" spans="1:311" x14ac:dyDescent="0.35">
      <c r="A14" s="23" t="s">
        <v>465</v>
      </c>
      <c r="B14" s="23">
        <v>100002</v>
      </c>
      <c r="C14" s="23">
        <v>333</v>
      </c>
      <c r="D14" s="65"/>
      <c r="E14" s="23" t="str">
        <f>IF(D14="","Unknown",IF(D14&lt;=FM14+90,"Red",IF(AND(D14&gt;FM14+90,D14&lt;=FM14+180),"Yellow",IF(AND(D14&gt;FM14+180,D14&lt;=FM14+690),"Green","Covered"))))</f>
        <v>Unknown</v>
      </c>
      <c r="F14" s="25" t="s">
        <v>469</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467</v>
      </c>
    </row>
    <row r="15" spans="1:311" outlineLevel="1" x14ac:dyDescent="0.35">
      <c r="A15" s="23"/>
      <c r="B15" s="23"/>
      <c r="C15" s="24"/>
      <c r="D15" s="95"/>
      <c r="E15" s="24"/>
      <c r="F15" s="25" t="s">
        <v>463</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464</v>
      </c>
    </row>
    <row r="16" spans="1:311" x14ac:dyDescent="0.35">
      <c r="A16" s="23" t="s">
        <v>465</v>
      </c>
      <c r="B16" s="23">
        <v>100003</v>
      </c>
      <c r="C16" s="23">
        <v>444</v>
      </c>
      <c r="D16" s="65"/>
      <c r="E16" s="23" t="str">
        <f>IF(D16="","Unknown",IF(D16&lt;=FM16+90,"Red",IF(AND(D16&gt;FM16+90,D16&lt;=FM16+180),"Yellow",IF(AND(D16&gt;FM16+180,D16&lt;=FM16+690),"Green","Covered"))))</f>
        <v>Unknown</v>
      </c>
      <c r="F16" s="25" t="s">
        <v>470</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467</v>
      </c>
    </row>
    <row r="17" spans="1:179" outlineLevel="1" x14ac:dyDescent="0.35">
      <c r="A17" s="23"/>
      <c r="B17" s="23"/>
      <c r="C17" s="24"/>
      <c r="D17" s="95"/>
      <c r="E17" s="24"/>
      <c r="F17" s="25" t="s">
        <v>463</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464</v>
      </c>
    </row>
    <row r="18" spans="1:179" ht="15" thickBot="1" x14ac:dyDescent="0.4">
      <c r="A18" s="23" t="s">
        <v>465</v>
      </c>
      <c r="B18" s="23">
        <v>100004</v>
      </c>
      <c r="C18" s="23">
        <v>555</v>
      </c>
      <c r="D18" s="65"/>
      <c r="E18" s="23" t="str">
        <f>IF(D18="","Unknown",IF(D18&lt;=FM18+90,"Red",IF(AND(D18&gt;FM18+90,D18&lt;=FM18+180),"Yellow",IF(AND(D18&gt;FM18+180,D18&lt;=FM18+690),"Green","Covered"))))</f>
        <v>Unknown</v>
      </c>
      <c r="F18" s="25" t="s">
        <v>471</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467</v>
      </c>
    </row>
    <row r="19" spans="1:179" ht="15" thickBot="1" x14ac:dyDescent="0.4">
      <c r="A19" t="s">
        <v>472</v>
      </c>
      <c r="D19" s="9"/>
      <c r="I19" s="76" t="s">
        <v>473</v>
      </c>
      <c r="J19" s="30"/>
      <c r="M19" s="193" t="s">
        <v>474</v>
      </c>
      <c r="N19" s="194"/>
      <c r="O19" s="194"/>
      <c r="P19" s="193" t="s">
        <v>474</v>
      </c>
      <c r="Q19" s="194"/>
      <c r="R19" s="195"/>
      <c r="Y19" s="6"/>
      <c r="AH19" s="189" t="s">
        <v>475</v>
      </c>
      <c r="AI19" s="190"/>
      <c r="AJ19" s="191"/>
      <c r="AQ19" s="189" t="s">
        <v>475</v>
      </c>
      <c r="AR19" s="190"/>
      <c r="AS19" s="191"/>
      <c r="BA19" s="6"/>
      <c r="BB19" s="6"/>
      <c r="BC19" s="189" t="s">
        <v>475</v>
      </c>
      <c r="BD19" s="190"/>
      <c r="BE19" s="191"/>
      <c r="BF19" s="43"/>
      <c r="BG19" s="44"/>
      <c r="BH19" s="44"/>
      <c r="CM19" s="186" t="s">
        <v>473</v>
      </c>
      <c r="CN19" s="187"/>
      <c r="CO19" s="187"/>
      <c r="CP19" s="186" t="s">
        <v>473</v>
      </c>
      <c r="CQ19" s="187"/>
      <c r="CR19" s="187"/>
      <c r="CS19" s="188"/>
      <c r="CT19" s="189" t="s">
        <v>475</v>
      </c>
      <c r="CU19" s="190"/>
      <c r="CV19" s="191"/>
      <c r="DC19" s="192"/>
      <c r="DD19" s="192"/>
      <c r="DE19" s="192"/>
      <c r="DF19" s="189" t="s">
        <v>475</v>
      </c>
      <c r="DG19" s="190"/>
      <c r="DH19" s="191"/>
      <c r="DI19" s="196" t="s">
        <v>28</v>
      </c>
      <c r="DJ19" s="197"/>
      <c r="DK19" s="197"/>
      <c r="DL19" s="198"/>
      <c r="DS19" s="196" t="s">
        <v>28</v>
      </c>
      <c r="DT19" s="197"/>
      <c r="DU19" s="197"/>
      <c r="DV19" s="198"/>
      <c r="DW19" s="196" t="s">
        <v>28</v>
      </c>
      <c r="DX19" s="197"/>
      <c r="DY19" s="197"/>
      <c r="DZ19" s="198"/>
      <c r="EA19" s="196" t="s">
        <v>28</v>
      </c>
      <c r="EB19" s="197"/>
      <c r="EC19" s="197"/>
      <c r="ED19" s="198"/>
      <c r="EE19" s="199" t="s">
        <v>474</v>
      </c>
      <c r="EF19" s="200"/>
      <c r="EG19" s="200"/>
      <c r="EH19" s="199" t="s">
        <v>474</v>
      </c>
      <c r="EI19" s="200"/>
      <c r="EJ19" s="201"/>
      <c r="EZ19" s="199" t="s">
        <v>474</v>
      </c>
      <c r="FA19" s="200"/>
      <c r="FB19" s="201"/>
      <c r="FI19" s="202" t="s">
        <v>475</v>
      </c>
      <c r="FJ19" s="203"/>
      <c r="FK19" s="204"/>
      <c r="FL19" s="202" t="s">
        <v>475</v>
      </c>
      <c r="FM19" s="203"/>
      <c r="FN19" s="204"/>
      <c r="FO19" s="199" t="s">
        <v>474</v>
      </c>
      <c r="FP19" s="200"/>
      <c r="FQ19" s="201"/>
      <c r="FR19" s="79"/>
      <c r="FS19" s="111"/>
    </row>
    <row r="20" spans="1:179" x14ac:dyDescent="0.35">
      <c r="D20" s="9"/>
      <c r="Y20" s="6"/>
      <c r="BA20" s="6"/>
      <c r="BB20" s="6"/>
    </row>
    <row r="21" spans="1:179" x14ac:dyDescent="0.35">
      <c r="D21" s="9"/>
      <c r="F21" s="97"/>
    </row>
    <row r="22" spans="1:179" x14ac:dyDescent="0.35">
      <c r="D22" s="9"/>
      <c r="F22" s="97"/>
      <c r="Y22" s="6"/>
      <c r="BA22" s="6"/>
      <c r="BB22" s="6"/>
    </row>
    <row r="23" spans="1:179" ht="14.5" customHeight="1" x14ac:dyDescent="0.35">
      <c r="A23" s="185" t="s">
        <v>476</v>
      </c>
      <c r="B23" s="185"/>
      <c r="C23" s="185"/>
      <c r="D23" s="185"/>
      <c r="E23" s="185"/>
      <c r="Y23" s="6"/>
      <c r="BA23" s="6"/>
      <c r="BB23" s="6"/>
    </row>
    <row r="24" spans="1:179" ht="14.5" customHeight="1" x14ac:dyDescent="0.35">
      <c r="A24" s="185"/>
      <c r="B24" s="185"/>
      <c r="C24" s="185"/>
      <c r="D24" s="185"/>
      <c r="E24" s="185"/>
    </row>
    <row r="25" spans="1:179" x14ac:dyDescent="0.35">
      <c r="D25" s="9"/>
    </row>
    <row r="26" spans="1:179" ht="43.5" x14ac:dyDescent="0.35">
      <c r="A26" s="99" t="s">
        <v>466</v>
      </c>
      <c r="B26" s="100" t="s">
        <v>468</v>
      </c>
      <c r="C26" s="100" t="s">
        <v>469</v>
      </c>
      <c r="D26" s="100" t="s">
        <v>470</v>
      </c>
      <c r="E26" s="101" t="s">
        <v>471</v>
      </c>
    </row>
    <row r="27" spans="1:179" x14ac:dyDescent="0.35">
      <c r="A27" s="113"/>
      <c r="B27" s="102"/>
      <c r="C27" s="102"/>
      <c r="D27" s="103"/>
      <c r="E27" s="102"/>
    </row>
    <row r="28" spans="1:179" x14ac:dyDescent="0.35">
      <c r="A28" s="113"/>
      <c r="B28" s="102"/>
      <c r="C28" s="102"/>
      <c r="D28" s="103"/>
      <c r="E28" s="102"/>
    </row>
    <row r="29" spans="1:179" x14ac:dyDescent="0.35">
      <c r="A29" s="113"/>
      <c r="B29" s="102"/>
      <c r="C29" s="102"/>
      <c r="D29" s="103"/>
      <c r="E29" s="102"/>
    </row>
    <row r="30" spans="1:179" x14ac:dyDescent="0.35">
      <c r="A30" s="113"/>
      <c r="B30" s="102"/>
      <c r="C30" s="102"/>
      <c r="D30" s="103"/>
      <c r="E30" s="102"/>
    </row>
    <row r="31" spans="1:179" x14ac:dyDescent="0.35">
      <c r="A31" s="113"/>
      <c r="B31" s="102"/>
      <c r="C31" s="102"/>
      <c r="D31" s="103"/>
      <c r="E31" s="102"/>
    </row>
    <row r="32" spans="1:179" x14ac:dyDescent="0.35">
      <c r="A32" s="114"/>
      <c r="B32" s="102"/>
      <c r="C32" s="102"/>
      <c r="D32" s="103"/>
      <c r="E32" s="102"/>
    </row>
    <row r="33" spans="1:5" x14ac:dyDescent="0.35">
      <c r="A33" s="113"/>
      <c r="B33" s="102"/>
      <c r="C33" s="102"/>
      <c r="D33" s="103"/>
      <c r="E33" s="102"/>
    </row>
    <row r="34" spans="1:5" x14ac:dyDescent="0.35">
      <c r="A34" s="113"/>
      <c r="B34" s="102"/>
      <c r="C34" s="102"/>
      <c r="D34" s="103"/>
      <c r="E34" s="102"/>
    </row>
    <row r="35" spans="1:5" x14ac:dyDescent="0.35">
      <c r="A35" s="113"/>
      <c r="B35" s="102"/>
      <c r="C35" s="102"/>
      <c r="D35" s="103"/>
      <c r="E35" s="102"/>
    </row>
    <row r="36" spans="1:5" x14ac:dyDescent="0.35">
      <c r="A36" s="113"/>
      <c r="B36" s="102"/>
      <c r="C36" s="102"/>
      <c r="D36" s="103"/>
      <c r="E36" s="102"/>
    </row>
    <row r="37" spans="1:5" x14ac:dyDescent="0.35">
      <c r="A37" s="113"/>
      <c r="B37" s="102"/>
      <c r="C37" s="102"/>
      <c r="D37" s="103"/>
      <c r="E37" s="102"/>
    </row>
    <row r="38" spans="1:5" x14ac:dyDescent="0.35">
      <c r="A38" s="113"/>
      <c r="B38" s="102"/>
      <c r="C38" s="102"/>
      <c r="D38" s="103"/>
      <c r="E38" s="102"/>
    </row>
    <row r="39" spans="1:5" x14ac:dyDescent="0.35">
      <c r="A39" s="113"/>
      <c r="B39" s="102"/>
      <c r="C39" s="102"/>
      <c r="D39" s="103"/>
      <c r="E39" s="102"/>
    </row>
    <row r="40" spans="1:5" x14ac:dyDescent="0.35">
      <c r="A40" s="113"/>
      <c r="B40" s="102"/>
      <c r="C40" s="102"/>
      <c r="D40" s="103"/>
      <c r="E40" s="102"/>
    </row>
    <row r="41" spans="1:5" x14ac:dyDescent="0.35">
      <c r="A41" s="113"/>
      <c r="B41" s="102"/>
      <c r="C41" s="102"/>
      <c r="D41" s="103"/>
      <c r="E41" s="102"/>
    </row>
    <row r="42" spans="1:5" x14ac:dyDescent="0.35">
      <c r="A42" s="113"/>
      <c r="B42" s="102"/>
      <c r="C42" s="102"/>
      <c r="D42" s="103"/>
      <c r="E42" s="102"/>
    </row>
    <row r="43" spans="1:5" x14ac:dyDescent="0.35">
      <c r="A43" s="113"/>
      <c r="B43" s="102"/>
      <c r="C43" s="102"/>
      <c r="D43" s="103"/>
      <c r="E43" s="102"/>
    </row>
    <row r="44" spans="1:5" x14ac:dyDescent="0.35">
      <c r="A44" s="113"/>
      <c r="B44" s="102"/>
      <c r="C44" s="102"/>
      <c r="D44" s="103"/>
      <c r="E44" s="102"/>
    </row>
    <row r="45" spans="1:5" x14ac:dyDescent="0.35">
      <c r="A45" s="113"/>
      <c r="B45" s="102"/>
      <c r="C45" s="102"/>
      <c r="D45" s="103"/>
      <c r="E45" s="102"/>
    </row>
    <row r="46" spans="1:5" x14ac:dyDescent="0.35">
      <c r="A46" s="114"/>
      <c r="B46" s="102"/>
      <c r="C46" s="102"/>
      <c r="D46" s="103"/>
      <c r="E46" s="102"/>
    </row>
    <row r="47" spans="1:5" x14ac:dyDescent="0.35">
      <c r="A47" s="113"/>
      <c r="B47" s="102"/>
      <c r="C47" s="102"/>
      <c r="D47" s="103"/>
      <c r="E47" s="102"/>
    </row>
    <row r="48" spans="1:5" x14ac:dyDescent="0.35">
      <c r="A48" s="114"/>
      <c r="B48" s="102"/>
      <c r="C48" s="102"/>
      <c r="D48" s="103"/>
      <c r="E48" s="102"/>
    </row>
    <row r="49" spans="1:5" x14ac:dyDescent="0.35">
      <c r="A49" s="113"/>
      <c r="B49" s="102"/>
      <c r="C49" s="102"/>
      <c r="D49" s="103"/>
      <c r="E49" s="102"/>
    </row>
    <row r="50" spans="1:5" x14ac:dyDescent="0.35">
      <c r="A50" s="114"/>
      <c r="B50" s="102"/>
      <c r="C50" s="102"/>
      <c r="D50" s="103"/>
      <c r="E50" s="102"/>
    </row>
    <row r="51" spans="1:5" x14ac:dyDescent="0.35">
      <c r="A51" s="102"/>
      <c r="B51" s="102"/>
      <c r="C51" s="102"/>
      <c r="D51" s="103"/>
      <c r="E51" s="102"/>
    </row>
    <row r="52" spans="1:5" x14ac:dyDescent="0.35">
      <c r="A52" s="102"/>
      <c r="B52" s="102"/>
      <c r="C52" s="102"/>
      <c r="D52" s="103"/>
      <c r="E52" s="102"/>
    </row>
    <row r="53" spans="1:5" x14ac:dyDescent="0.35">
      <c r="A53" s="102"/>
      <c r="B53" s="102"/>
      <c r="C53" s="102"/>
      <c r="D53" s="103"/>
      <c r="E53" s="102"/>
    </row>
    <row r="54" spans="1:5" x14ac:dyDescent="0.35">
      <c r="A54" s="102"/>
      <c r="B54" s="102"/>
      <c r="C54" s="102"/>
      <c r="D54" s="103"/>
      <c r="E54" s="102"/>
    </row>
    <row r="55" spans="1:5" x14ac:dyDescent="0.35">
      <c r="A55" s="102"/>
      <c r="B55" s="102"/>
      <c r="C55" s="102"/>
      <c r="D55" s="103"/>
      <c r="E55" s="102"/>
    </row>
    <row r="56" spans="1:5" x14ac:dyDescent="0.35">
      <c r="A56" s="102"/>
      <c r="B56" s="102"/>
      <c r="C56" s="102"/>
      <c r="D56" s="103"/>
      <c r="E56" s="102"/>
    </row>
    <row r="57" spans="1:5" x14ac:dyDescent="0.35">
      <c r="A57" s="102"/>
      <c r="B57" s="102"/>
      <c r="C57" s="102"/>
      <c r="D57" s="103"/>
      <c r="E57" s="102"/>
    </row>
    <row r="58" spans="1:5" x14ac:dyDescent="0.35">
      <c r="A58" s="102"/>
      <c r="B58" s="102"/>
      <c r="C58" s="102"/>
      <c r="D58" s="103"/>
      <c r="E58" s="102"/>
    </row>
    <row r="59" spans="1:5" x14ac:dyDescent="0.35">
      <c r="A59" s="102"/>
      <c r="B59" s="102"/>
      <c r="C59" s="102"/>
      <c r="D59" s="103"/>
      <c r="E59" s="102"/>
    </row>
    <row r="60" spans="1:5" x14ac:dyDescent="0.35">
      <c r="A60" s="102"/>
      <c r="B60" s="102"/>
      <c r="C60" s="102"/>
      <c r="D60" s="103"/>
      <c r="E60" s="102"/>
    </row>
    <row r="61" spans="1:5" x14ac:dyDescent="0.35">
      <c r="A61" s="102"/>
      <c r="B61" s="102"/>
      <c r="C61" s="102"/>
      <c r="D61" s="103"/>
      <c r="E61" s="102"/>
    </row>
    <row r="62" spans="1:5" x14ac:dyDescent="0.35">
      <c r="A62" s="102"/>
      <c r="B62" s="102"/>
      <c r="C62" s="102"/>
      <c r="D62" s="103"/>
      <c r="E62" s="102"/>
    </row>
    <row r="63" spans="1:5" x14ac:dyDescent="0.35">
      <c r="A63" s="102"/>
      <c r="B63" s="102"/>
      <c r="C63" s="102"/>
      <c r="D63" s="103"/>
      <c r="E63" s="102"/>
    </row>
    <row r="64" spans="1:5" x14ac:dyDescent="0.35">
      <c r="A64" s="102"/>
      <c r="B64" s="102"/>
      <c r="C64" s="102"/>
      <c r="D64" s="103"/>
      <c r="E64" s="102"/>
    </row>
    <row r="65" spans="1:5" x14ac:dyDescent="0.35">
      <c r="A65" s="102"/>
      <c r="B65" s="102"/>
      <c r="C65" s="102"/>
      <c r="D65" s="103"/>
      <c r="E65" s="102"/>
    </row>
    <row r="66" spans="1:5" x14ac:dyDescent="0.35">
      <c r="A66" s="102"/>
      <c r="B66" s="102"/>
      <c r="C66" s="102"/>
      <c r="D66" s="103"/>
      <c r="E66" s="102"/>
    </row>
    <row r="67" spans="1:5" x14ac:dyDescent="0.35">
      <c r="A67" s="102"/>
      <c r="B67" s="102"/>
      <c r="C67" s="102"/>
      <c r="D67" s="103"/>
      <c r="E67" s="102"/>
    </row>
    <row r="68" spans="1:5" x14ac:dyDescent="0.35">
      <c r="A68" s="102"/>
      <c r="B68" s="102"/>
      <c r="C68" s="102"/>
      <c r="D68" s="103"/>
      <c r="E68" s="102"/>
    </row>
    <row r="69" spans="1:5" x14ac:dyDescent="0.35">
      <c r="A69" s="102"/>
      <c r="B69" s="102"/>
      <c r="C69" s="102"/>
      <c r="D69" s="103"/>
      <c r="E69" s="102"/>
    </row>
    <row r="70" spans="1:5" x14ac:dyDescent="0.35">
      <c r="A70" s="102"/>
      <c r="B70" s="102"/>
      <c r="C70" s="102"/>
      <c r="D70" s="103"/>
      <c r="E70" s="102"/>
    </row>
    <row r="71" spans="1:5" x14ac:dyDescent="0.35">
      <c r="A71" s="102"/>
      <c r="B71" s="102"/>
      <c r="C71" s="102"/>
      <c r="D71" s="103"/>
      <c r="E71" s="102"/>
    </row>
    <row r="72" spans="1:5" x14ac:dyDescent="0.35">
      <c r="A72" s="102"/>
      <c r="B72" s="102"/>
      <c r="C72" s="102"/>
      <c r="D72" s="103"/>
      <c r="E72" s="102"/>
    </row>
    <row r="73" spans="1:5" x14ac:dyDescent="0.35">
      <c r="A73" s="102"/>
      <c r="B73" s="102"/>
      <c r="C73" s="102"/>
      <c r="D73" s="103"/>
      <c r="E73" s="102"/>
    </row>
    <row r="74" spans="1:5" x14ac:dyDescent="0.35">
      <c r="A74" s="102"/>
      <c r="B74" s="102"/>
      <c r="C74" s="102"/>
      <c r="D74" s="103"/>
      <c r="E74" s="102"/>
    </row>
    <row r="75" spans="1:5" x14ac:dyDescent="0.35">
      <c r="A75" s="102"/>
      <c r="B75" s="102"/>
      <c r="C75" s="102"/>
      <c r="D75" s="103"/>
      <c r="E75" s="102"/>
    </row>
    <row r="76" spans="1:5" x14ac:dyDescent="0.35">
      <c r="A76" s="102"/>
      <c r="B76" s="102"/>
      <c r="C76" s="102"/>
      <c r="D76" s="103"/>
      <c r="E76" s="102"/>
    </row>
    <row r="77" spans="1:5" x14ac:dyDescent="0.35">
      <c r="A77" s="102"/>
      <c r="B77" s="102"/>
      <c r="C77" s="102"/>
      <c r="D77" s="103"/>
      <c r="E77" s="102"/>
    </row>
    <row r="78" spans="1:5" x14ac:dyDescent="0.35">
      <c r="A78" s="102"/>
      <c r="B78" s="102"/>
      <c r="C78" s="102"/>
      <c r="D78" s="103"/>
      <c r="E78" s="102"/>
    </row>
    <row r="79" spans="1:5" x14ac:dyDescent="0.35">
      <c r="A79" s="102"/>
      <c r="B79" s="102"/>
      <c r="C79" s="102"/>
      <c r="D79" s="103"/>
      <c r="E79" s="102"/>
    </row>
    <row r="80" spans="1:5" x14ac:dyDescent="0.35">
      <c r="A80" s="102"/>
      <c r="B80" s="102"/>
      <c r="C80" s="102"/>
      <c r="D80" s="103"/>
      <c r="E80" s="102"/>
    </row>
    <row r="81" spans="1:5" x14ac:dyDescent="0.35">
      <c r="A81" s="102"/>
      <c r="B81" s="102"/>
      <c r="C81" s="102"/>
      <c r="D81" s="103"/>
      <c r="E81" s="102"/>
    </row>
    <row r="82" spans="1:5" x14ac:dyDescent="0.35">
      <c r="A82" s="102"/>
      <c r="B82" s="102"/>
      <c r="C82" s="102"/>
      <c r="D82" s="103"/>
      <c r="E82" s="102"/>
    </row>
    <row r="83" spans="1:5" x14ac:dyDescent="0.35">
      <c r="A83" s="102"/>
      <c r="B83" s="102"/>
      <c r="C83" s="102"/>
      <c r="D83" s="103"/>
      <c r="E83" s="102"/>
    </row>
    <row r="84" spans="1:5" x14ac:dyDescent="0.35">
      <c r="A84" s="102"/>
      <c r="B84" s="102"/>
      <c r="C84" s="102"/>
      <c r="D84" s="103"/>
      <c r="E84" s="102"/>
    </row>
    <row r="85" spans="1:5" x14ac:dyDescent="0.35">
      <c r="A85" s="102"/>
      <c r="B85" s="102"/>
      <c r="C85" s="102"/>
      <c r="D85" s="103"/>
      <c r="E85" s="102"/>
    </row>
    <row r="86" spans="1:5" x14ac:dyDescent="0.35">
      <c r="A86" s="102"/>
      <c r="B86" s="102"/>
      <c r="C86" s="102"/>
      <c r="D86" s="103"/>
      <c r="E86" s="102"/>
    </row>
    <row r="87" spans="1:5" x14ac:dyDescent="0.35">
      <c r="A87" s="102"/>
      <c r="B87" s="102"/>
      <c r="C87" s="102"/>
      <c r="D87" s="103"/>
      <c r="E87" s="102"/>
    </row>
    <row r="88" spans="1:5" x14ac:dyDescent="0.35">
      <c r="A88" s="102"/>
      <c r="B88" s="102"/>
      <c r="C88" s="102"/>
      <c r="D88" s="103"/>
      <c r="E88" s="102"/>
    </row>
    <row r="89" spans="1:5" x14ac:dyDescent="0.35">
      <c r="A89" s="102"/>
      <c r="B89" s="102"/>
      <c r="C89" s="102"/>
      <c r="D89" s="103"/>
      <c r="E89" s="102"/>
    </row>
    <row r="90" spans="1:5" x14ac:dyDescent="0.35">
      <c r="A90" s="102"/>
      <c r="B90" s="102"/>
      <c r="C90" s="102"/>
      <c r="D90" s="103"/>
      <c r="E90" s="102"/>
    </row>
    <row r="91" spans="1:5" x14ac:dyDescent="0.35">
      <c r="A91" s="102"/>
      <c r="B91" s="102"/>
      <c r="C91" s="102"/>
      <c r="D91" s="103"/>
      <c r="E91" s="102"/>
    </row>
    <row r="92" spans="1:5" x14ac:dyDescent="0.35">
      <c r="A92" s="102"/>
      <c r="B92" s="102"/>
      <c r="C92" s="102"/>
      <c r="D92" s="103"/>
      <c r="E92" s="102"/>
    </row>
    <row r="93" spans="1:5" x14ac:dyDescent="0.35">
      <c r="A93" s="102"/>
      <c r="B93" s="102"/>
      <c r="C93" s="102"/>
      <c r="D93" s="103"/>
      <c r="E93" s="102"/>
    </row>
    <row r="94" spans="1:5" x14ac:dyDescent="0.35">
      <c r="A94" s="102"/>
      <c r="B94" s="102"/>
      <c r="C94" s="102"/>
      <c r="D94" s="103"/>
      <c r="E94" s="102"/>
    </row>
    <row r="95" spans="1:5" x14ac:dyDescent="0.35">
      <c r="A95" s="102"/>
      <c r="B95" s="102"/>
      <c r="C95" s="102"/>
      <c r="D95" s="103"/>
      <c r="E95" s="102"/>
    </row>
    <row r="96" spans="1:5" x14ac:dyDescent="0.35">
      <c r="A96" s="102"/>
      <c r="B96" s="102"/>
      <c r="C96" s="102"/>
      <c r="D96" s="103"/>
      <c r="E96" s="102"/>
    </row>
    <row r="97" spans="1:5" x14ac:dyDescent="0.35">
      <c r="A97" s="102"/>
      <c r="B97" s="102"/>
      <c r="C97" s="102"/>
      <c r="D97" s="103"/>
      <c r="E97" s="102"/>
    </row>
    <row r="98" spans="1:5" x14ac:dyDescent="0.35">
      <c r="A98" s="102"/>
      <c r="B98" s="102"/>
      <c r="C98" s="102"/>
      <c r="D98" s="103"/>
      <c r="E98" s="102"/>
    </row>
    <row r="99" spans="1:5" x14ac:dyDescent="0.35">
      <c r="A99" s="102"/>
      <c r="B99" s="102"/>
      <c r="C99" s="102"/>
      <c r="D99" s="103"/>
      <c r="E99" s="102"/>
    </row>
    <row r="100" spans="1:5" x14ac:dyDescent="0.35">
      <c r="A100" s="102"/>
      <c r="B100" s="102"/>
      <c r="C100" s="102"/>
      <c r="D100" s="103"/>
      <c r="E100" s="102"/>
    </row>
    <row r="101" spans="1:5" x14ac:dyDescent="0.35">
      <c r="A101" s="102"/>
      <c r="B101" s="102"/>
      <c r="C101" s="102"/>
      <c r="D101" s="103"/>
      <c r="E101" s="102"/>
    </row>
    <row r="102" spans="1:5" x14ac:dyDescent="0.35">
      <c r="A102" s="102"/>
      <c r="B102" s="102"/>
      <c r="C102" s="102"/>
      <c r="D102" s="103"/>
      <c r="E102" s="102"/>
    </row>
    <row r="103" spans="1:5" x14ac:dyDescent="0.35">
      <c r="A103" s="102"/>
      <c r="B103" s="102"/>
      <c r="C103" s="102"/>
      <c r="D103" s="103"/>
      <c r="E103" s="102"/>
    </row>
    <row r="104" spans="1:5" x14ac:dyDescent="0.35">
      <c r="A104" s="102"/>
      <c r="B104" s="102"/>
      <c r="C104" s="102"/>
      <c r="D104" s="103"/>
      <c r="E104" s="102"/>
    </row>
    <row r="105" spans="1:5" x14ac:dyDescent="0.35">
      <c r="A105" s="102"/>
      <c r="B105" s="102"/>
      <c r="C105" s="102"/>
      <c r="D105" s="103"/>
      <c r="E105" s="102"/>
    </row>
    <row r="106" spans="1:5" x14ac:dyDescent="0.35">
      <c r="A106" s="102"/>
      <c r="B106" s="102"/>
      <c r="C106" s="102"/>
      <c r="D106" s="103"/>
      <c r="E106" s="102"/>
    </row>
    <row r="107" spans="1:5" x14ac:dyDescent="0.35">
      <c r="A107" s="102"/>
      <c r="B107" s="102"/>
      <c r="C107" s="102"/>
      <c r="D107" s="103"/>
      <c r="E107" s="102"/>
    </row>
    <row r="108" spans="1:5" x14ac:dyDescent="0.35">
      <c r="A108" s="102"/>
      <c r="B108" s="102"/>
      <c r="C108" s="102"/>
      <c r="D108" s="103"/>
      <c r="E108" s="102"/>
    </row>
    <row r="109" spans="1:5" x14ac:dyDescent="0.35">
      <c r="A109" s="102"/>
      <c r="B109" s="102"/>
      <c r="C109" s="102"/>
      <c r="D109" s="103"/>
      <c r="E109" s="102"/>
    </row>
    <row r="110" spans="1:5" x14ac:dyDescent="0.35">
      <c r="A110" s="102"/>
      <c r="B110" s="102"/>
      <c r="C110" s="102"/>
      <c r="D110" s="103"/>
      <c r="E110" s="102"/>
    </row>
    <row r="111" spans="1:5" x14ac:dyDescent="0.35">
      <c r="A111" s="102"/>
      <c r="B111" s="102"/>
      <c r="C111" s="102"/>
      <c r="D111" s="103"/>
      <c r="E111" s="102"/>
    </row>
    <row r="112" spans="1:5" x14ac:dyDescent="0.35">
      <c r="A112" s="102"/>
      <c r="B112" s="102"/>
      <c r="C112" s="102"/>
      <c r="D112" s="103"/>
      <c r="E112" s="102"/>
    </row>
    <row r="113" spans="1:5" x14ac:dyDescent="0.35">
      <c r="A113" s="102"/>
      <c r="B113" s="102"/>
      <c r="C113" s="102"/>
      <c r="D113" s="103"/>
      <c r="E113" s="102"/>
    </row>
    <row r="114" spans="1:5" x14ac:dyDescent="0.35">
      <c r="A114" s="102"/>
      <c r="B114" s="102"/>
      <c r="C114" s="102"/>
      <c r="D114" s="103"/>
      <c r="E114" s="102"/>
    </row>
    <row r="115" spans="1:5" x14ac:dyDescent="0.35">
      <c r="A115" s="102"/>
      <c r="B115" s="102"/>
      <c r="C115" s="102"/>
      <c r="D115" s="103"/>
      <c r="E115" s="102"/>
    </row>
    <row r="116" spans="1:5" x14ac:dyDescent="0.35">
      <c r="A116" s="102"/>
      <c r="B116" s="102"/>
      <c r="C116" s="102"/>
      <c r="D116" s="103"/>
      <c r="E116" s="102"/>
    </row>
    <row r="117" spans="1:5" x14ac:dyDescent="0.35">
      <c r="A117" s="102"/>
      <c r="B117" s="102"/>
      <c r="C117" s="102"/>
      <c r="D117" s="103"/>
      <c r="E117" s="102"/>
    </row>
    <row r="118" spans="1:5" x14ac:dyDescent="0.35">
      <c r="A118" s="102"/>
      <c r="B118" s="102"/>
      <c r="C118" s="102"/>
      <c r="D118" s="103"/>
      <c r="E118" s="102"/>
    </row>
    <row r="119" spans="1:5" x14ac:dyDescent="0.35">
      <c r="A119" s="102"/>
      <c r="B119" s="102"/>
      <c r="C119" s="102"/>
      <c r="D119" s="103"/>
      <c r="E119" s="102"/>
    </row>
    <row r="120" spans="1:5" x14ac:dyDescent="0.35">
      <c r="A120" s="102"/>
      <c r="B120" s="102"/>
      <c r="C120" s="102"/>
      <c r="D120" s="103"/>
      <c r="E120" s="102"/>
    </row>
    <row r="121" spans="1:5" x14ac:dyDescent="0.35">
      <c r="A121" s="102"/>
      <c r="B121" s="102"/>
      <c r="C121" s="102"/>
      <c r="D121" s="103"/>
      <c r="E121" s="102"/>
    </row>
    <row r="122" spans="1:5" x14ac:dyDescent="0.35">
      <c r="A122" s="102"/>
      <c r="B122" s="102"/>
      <c r="C122" s="102"/>
      <c r="D122" s="103"/>
      <c r="E122" s="102"/>
    </row>
    <row r="123" spans="1:5" x14ac:dyDescent="0.35">
      <c r="A123" s="102"/>
      <c r="B123" s="102"/>
      <c r="C123" s="102"/>
      <c r="D123" s="103"/>
      <c r="E123" s="102"/>
    </row>
    <row r="124" spans="1:5" x14ac:dyDescent="0.35">
      <c r="A124" s="102"/>
      <c r="B124" s="102"/>
      <c r="C124" s="102"/>
      <c r="D124" s="103"/>
      <c r="E124" s="102"/>
    </row>
    <row r="125" spans="1:5" x14ac:dyDescent="0.35">
      <c r="A125" s="102"/>
      <c r="B125" s="102"/>
      <c r="C125" s="102"/>
      <c r="D125" s="103"/>
      <c r="E125" s="102"/>
    </row>
    <row r="126" spans="1:5" x14ac:dyDescent="0.35">
      <c r="A126" s="102"/>
      <c r="B126" s="102"/>
      <c r="C126" s="102"/>
      <c r="D126" s="103"/>
      <c r="E126" s="102"/>
    </row>
  </sheetData>
  <protectedRanges>
    <protectedRange sqref="A27" name="Range1_5" securityDescriptor="O:WDG:WDD:(A;;CC;;;S-1-5-21-3588447096-1463914-869570945-3636980)"/>
    <protectedRange sqref="A28:A30" name="Range1_6" securityDescriptor="O:WDG:WDD:(A;;CC;;;S-1-5-21-3588447096-1463914-869570945-3636980)"/>
    <protectedRange sqref="A31" name="Range1_7" securityDescriptor="O:WDG:WDD:(A;;CC;;;S-1-5-21-3588447096-1463914-869570945-3636980)"/>
    <protectedRange sqref="A32" name="Range1_8" securityDescriptor="O:WDG:WDD:(A;;CC;;;S-1-5-21-3588447096-1463914-869570945-3636980)"/>
    <protectedRange sqref="A33" name="Range1_9" securityDescriptor="O:WDG:WDD:(A;;CC;;;S-1-5-21-3588447096-1463914-869570945-3636980)"/>
    <protectedRange sqref="A34:A36" name="Range1_10" securityDescriptor="O:WDG:WDD:(A;;CC;;;S-1-5-21-3588447096-1463914-869570945-3636980)"/>
    <protectedRange sqref="A37:A38" name="Range1_11" securityDescriptor="O:WDG:WDD:(A;;CC;;;S-1-5-21-3588447096-1463914-869570945-3636980)"/>
    <protectedRange sqref="A39" name="Range1_12" securityDescriptor="O:WDG:WDD:(A;;CC;;;S-1-5-21-3588447096-1463914-869570945-3636980)"/>
    <protectedRange sqref="A40:A45" name="Range1_13" securityDescriptor="O:WDG:WDD:(A;;CC;;;S-1-5-21-3588447096-1463914-869570945-3636980)"/>
    <protectedRange sqref="A46:A49" name="Range1_14" securityDescriptor="O:WDG:WDD:(A;;CC;;;S-1-5-21-3588447096-1463914-869570945-3636980)"/>
    <protectedRange sqref="A50" name="Range1_15" securityDescriptor="O:WDG:WDD:(A;;CC;;;S-1-5-21-3588447096-1463914-869570945-3636980)"/>
  </protectedRanges>
  <autoFilter ref="A8:FW19" xr:uid="{7988B55A-02E0-4163-AAFE-D6E093B4BA9A}"/>
  <mergeCells count="91">
    <mergeCell ref="FO19:FQ19"/>
    <mergeCell ref="FL19:FN19"/>
    <mergeCell ref="DF19:DH19"/>
    <mergeCell ref="DI19:DL19"/>
    <mergeCell ref="EE19:EG19"/>
    <mergeCell ref="EH19:EJ19"/>
    <mergeCell ref="EZ19:FB19"/>
    <mergeCell ref="FI19:FK19"/>
    <mergeCell ref="EA19:ED19"/>
    <mergeCell ref="DI7:DL7"/>
    <mergeCell ref="DS19:DV19"/>
    <mergeCell ref="DW19:DZ19"/>
    <mergeCell ref="DM7:DO7"/>
    <mergeCell ref="EA7:ED7"/>
    <mergeCell ref="CM7:CO7"/>
    <mergeCell ref="CT7:CV7"/>
    <mergeCell ref="CW7:CY7"/>
    <mergeCell ref="CZ7:DB7"/>
    <mergeCell ref="DC7:DE7"/>
    <mergeCell ref="M19:O19"/>
    <mergeCell ref="P19:R19"/>
    <mergeCell ref="AH19:AJ19"/>
    <mergeCell ref="AQ19:AS19"/>
    <mergeCell ref="BC19:BE19"/>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AB7:AD7"/>
    <mergeCell ref="A7:G7"/>
    <mergeCell ref="J7:L7"/>
    <mergeCell ref="M7:O7"/>
    <mergeCell ref="P7:R7"/>
    <mergeCell ref="S7:U7"/>
    <mergeCell ref="AK7:AM7"/>
    <mergeCell ref="AN7:AP7"/>
    <mergeCell ref="AQ7:AS7"/>
    <mergeCell ref="AT7:AV7"/>
    <mergeCell ref="AW7:AY7"/>
    <mergeCell ref="H1:H2"/>
    <mergeCell ref="G1:G2"/>
    <mergeCell ref="I1:CU2"/>
    <mergeCell ref="J3:AA3"/>
    <mergeCell ref="AE3:AG3"/>
    <mergeCell ref="AH3:AP3"/>
    <mergeCell ref="AQ3:BA3"/>
    <mergeCell ref="BC3:BH3"/>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30" priority="34">
      <formula>LEN(TRIM(I10))&gt;0</formula>
    </cfRule>
  </conditionalFormatting>
  <conditionalFormatting sqref="E1:E22 E1048550:E1048576 E25">
    <cfRule type="cellIs" dxfId="29" priority="27" operator="equal">
      <formula>"Red"</formula>
    </cfRule>
    <cfRule type="cellIs" dxfId="28" priority="28" operator="equal">
      <formula>"Unknown"</formula>
    </cfRule>
    <cfRule type="cellIs" dxfId="27" priority="29" operator="equal">
      <formula>"Covered"</formula>
    </cfRule>
    <cfRule type="cellIs" dxfId="26" priority="30" operator="equal">
      <formula>"Green"</formula>
    </cfRule>
    <cfRule type="cellIs" dxfId="25" priority="31" operator="equal">
      <formula>"Yellow"</formula>
    </cfRule>
  </conditionalFormatting>
  <conditionalFormatting sqref="FR10:FS10 FR12:FS12 FR14:FS14 FR16:FS16 FR18:FS18">
    <cfRule type="cellIs" dxfId="24" priority="24" operator="equal">
      <formula>"Missed TCD"</formula>
    </cfRule>
    <cfRule type="cellIs" dxfId="23" priority="25" operator="equal">
      <formula>"On-Track"</formula>
    </cfRule>
    <cfRule type="cellIs" dxfId="22" priority="26" operator="equal">
      <formula>"At Risk"</formula>
    </cfRule>
  </conditionalFormatting>
  <conditionalFormatting sqref="CS10 CS12 CS14 CS16 CS18">
    <cfRule type="cellIs" dxfId="21" priority="22" operator="equal">
      <formula>"Execution schedule has been re-baselined w/ FAIR PO Ack ACD. Validate your durations before publishing"</formula>
    </cfRule>
  </conditionalFormatting>
  <conditionalFormatting sqref="E127:E1048549">
    <cfRule type="cellIs" dxfId="20" priority="17" operator="equal">
      <formula>"Red"</formula>
    </cfRule>
    <cfRule type="cellIs" dxfId="19" priority="18" operator="equal">
      <formula>"Unknown"</formula>
    </cfRule>
    <cfRule type="cellIs" dxfId="18" priority="19" operator="equal">
      <formula>"Covered"</formula>
    </cfRule>
    <cfRule type="cellIs" dxfId="17" priority="20" operator="equal">
      <formula>"Green"</formula>
    </cfRule>
    <cfRule type="cellIs" dxfId="16" priority="21" operator="equal">
      <formula>"Yellow"</formula>
    </cfRule>
  </conditionalFormatting>
  <conditionalFormatting sqref="E34:E126">
    <cfRule type="cellIs" dxfId="15" priority="12" operator="equal">
      <formula>"Red"</formula>
    </cfRule>
    <cfRule type="cellIs" dxfId="14" priority="13" operator="equal">
      <formula>"Unknown"</formula>
    </cfRule>
    <cfRule type="cellIs" dxfId="13" priority="14" operator="equal">
      <formula>"Covered"</formula>
    </cfRule>
    <cfRule type="cellIs" dxfId="12" priority="15" operator="equal">
      <formula>"Green"</formula>
    </cfRule>
    <cfRule type="cellIs" dxfId="11" priority="16" operator="equal">
      <formula>"Yellow"</formula>
    </cfRule>
  </conditionalFormatting>
  <conditionalFormatting sqref="A51:E126 B34:E50">
    <cfRule type="notContainsBlanks" dxfId="10" priority="11">
      <formula>LEN(TRIM(A34))&gt;0</formula>
    </cfRule>
  </conditionalFormatting>
  <conditionalFormatting sqref="E27:E33">
    <cfRule type="cellIs" dxfId="9" priority="6" operator="equal">
      <formula>"Red"</formula>
    </cfRule>
    <cfRule type="cellIs" dxfId="8" priority="7" operator="equal">
      <formula>"Unknown"</formula>
    </cfRule>
    <cfRule type="cellIs" dxfId="7" priority="8" operator="equal">
      <formula>"Covered"</formula>
    </cfRule>
    <cfRule type="cellIs" dxfId="6" priority="9" operator="equal">
      <formula>"Green"</formula>
    </cfRule>
    <cfRule type="cellIs" dxfId="5" priority="10" operator="equal">
      <formula>"Yellow"</formula>
    </cfRule>
  </conditionalFormatting>
  <conditionalFormatting sqref="B27:E33">
    <cfRule type="notContainsBlanks" dxfId="4" priority="5">
      <formula>LEN(TRIM(B27))&gt;0</formula>
    </cfRule>
  </conditionalFormatting>
  <conditionalFormatting sqref="A27:A50">
    <cfRule type="duplicateValues" dxfId="3" priority="1"/>
  </conditionalFormatting>
  <conditionalFormatting sqref="A27:A50">
    <cfRule type="duplicateValues" dxfId="2" priority="2"/>
  </conditionalFormatting>
  <conditionalFormatting sqref="A27:A50">
    <cfRule type="duplicateValues" dxfId="1" priority="3"/>
  </conditionalFormatting>
  <conditionalFormatting sqref="A27:A50">
    <cfRule type="duplicateValues" dxfId="0"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filterMode="1">
    <tabColor rgb="FFC00000"/>
  </sheetPr>
  <dimension ref="A1:KY57"/>
  <sheetViews>
    <sheetView showGridLines="0" tabSelected="1" zoomScale="70" zoomScaleNormal="70" workbookViewId="0">
      <pane xSplit="7" ySplit="8" topLeftCell="EY10" activePane="bottomRight" state="frozen"/>
      <selection pane="topRight" activeCell="H1" sqref="H1"/>
      <selection pane="bottomLeft" activeCell="A9" sqref="A9"/>
      <selection pane="bottomRight" activeCell="EZ24" sqref="EZ24"/>
    </sheetView>
  </sheetViews>
  <sheetFormatPr defaultRowHeight="14.5" outlineLevelRow="1" outlineLevelCol="1" x14ac:dyDescent="0.35"/>
  <cols>
    <col min="1" max="1" width="24.26953125" customWidth="1"/>
    <col min="2" max="2" width="8.81640625" bestFit="1" customWidth="1"/>
    <col min="3" max="3" width="16.81640625" bestFit="1" customWidth="1"/>
    <col min="4" max="4" width="12.1796875" style="9" customWidth="1"/>
    <col min="5" max="5" width="11.7265625" customWidth="1"/>
    <col min="6" max="6" width="23" customWidth="1"/>
    <col min="7" max="7" width="21" bestFit="1" customWidth="1"/>
    <col min="8" max="8" width="14.26953125" customWidth="1"/>
    <col min="9" max="9" width="17.81640625" bestFit="1"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0.726562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4" width="17.26953125" bestFit="1" customWidth="1" outlineLevel="1"/>
    <col min="35" max="35" width="10.7265625" customWidth="1" outlineLevel="1"/>
    <col min="36" max="36" width="10.7265625" customWidth="1"/>
    <col min="37" max="38" width="22.453125" bestFit="1" customWidth="1" outlineLevel="1"/>
    <col min="39" max="39" width="25.26953125" bestFit="1" customWidth="1"/>
    <col min="40" max="41" width="17.1796875" bestFit="1" customWidth="1" outlineLevel="1"/>
    <col min="42" max="42" width="17.453125" bestFit="1" customWidth="1"/>
    <col min="43" max="43" width="17.453125" bestFit="1" customWidth="1" outlineLevel="1"/>
    <col min="44" max="44" width="17.81640625" bestFit="1" customWidth="1" outlineLevel="1"/>
    <col min="45" max="45" width="19.26953125" bestFit="1"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5" width="17.26953125" bestFit="1" customWidth="1" outlineLevel="1"/>
    <col min="56" max="56" width="10.7265625" customWidth="1" outlineLevel="1"/>
    <col min="57" max="57" width="17.1796875" bestFit="1"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8" width="17.26953125" bestFit="1" customWidth="1" outlineLevel="1"/>
    <col min="99" max="99" width="10.7265625" customWidth="1" outlineLevel="1"/>
    <col min="100" max="100" width="17.1796875" bestFit="1"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0" width="17.26953125" bestFit="1" customWidth="1" outlineLevel="1"/>
    <col min="111" max="111" width="17.1796875" bestFit="1"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6" width="17.26953125" bestFit="1" customWidth="1" outlineLevel="1"/>
    <col min="157" max="157" width="10.7265625" customWidth="1" outlineLevel="1"/>
    <col min="158" max="158" width="10.7265625"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0.81640625"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61"/>
      <c r="H1" s="161" t="s">
        <v>203</v>
      </c>
      <c r="I1" s="162" t="s">
        <v>204</v>
      </c>
      <c r="J1" s="162"/>
      <c r="K1" s="163"/>
      <c r="L1" s="163"/>
      <c r="M1" s="163"/>
      <c r="N1" s="163"/>
      <c r="O1" s="163"/>
      <c r="P1" s="163"/>
      <c r="Q1" s="163"/>
      <c r="R1" s="163"/>
      <c r="S1" s="163"/>
      <c r="T1" s="163"/>
      <c r="U1" s="163"/>
      <c r="V1" s="163"/>
      <c r="W1" s="163"/>
      <c r="X1" s="163"/>
      <c r="Y1" s="163"/>
      <c r="Z1" s="163"/>
      <c r="AA1" s="163"/>
      <c r="AB1" s="163"/>
      <c r="AC1" s="163"/>
      <c r="AD1" s="163"/>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163"/>
      <c r="BG1" s="163"/>
      <c r="BH1" s="163"/>
      <c r="BI1" s="163"/>
      <c r="BJ1" s="163"/>
      <c r="BK1" s="163"/>
      <c r="BL1" s="163"/>
      <c r="BM1" s="163"/>
      <c r="BN1" s="163"/>
      <c r="BO1" s="163"/>
      <c r="BP1" s="163"/>
      <c r="BQ1" s="163"/>
      <c r="BR1" s="163"/>
      <c r="BS1" s="163"/>
      <c r="BT1" s="163"/>
      <c r="BU1" s="163"/>
      <c r="BV1" s="163"/>
      <c r="BW1" s="163"/>
      <c r="BX1" s="163"/>
      <c r="BY1" s="163"/>
      <c r="BZ1" s="163"/>
      <c r="CA1" s="163"/>
      <c r="CB1" s="163"/>
      <c r="CC1" s="163"/>
      <c r="CD1" s="163"/>
      <c r="CE1" s="163"/>
      <c r="CF1" s="163"/>
      <c r="CG1" s="163"/>
      <c r="CH1" s="163"/>
      <c r="CI1" s="163"/>
      <c r="CJ1" s="163"/>
      <c r="CK1" s="163"/>
      <c r="CL1" s="163"/>
      <c r="CM1" s="163"/>
      <c r="CN1" s="163"/>
      <c r="CO1" s="163"/>
      <c r="CP1" s="163"/>
      <c r="CQ1" s="163"/>
      <c r="CR1" s="163"/>
      <c r="CS1" s="163"/>
      <c r="CT1" s="163"/>
      <c r="CU1" s="163"/>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61"/>
      <c r="H2" s="161"/>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c r="CU2" s="163"/>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64" t="s">
        <v>209</v>
      </c>
      <c r="K3" s="164"/>
      <c r="L3" s="164"/>
      <c r="M3" s="164"/>
      <c r="N3" s="164"/>
      <c r="O3" s="164"/>
      <c r="P3" s="164"/>
      <c r="Q3" s="164"/>
      <c r="R3" s="164"/>
      <c r="S3" s="164"/>
      <c r="T3" s="164"/>
      <c r="U3" s="164"/>
      <c r="V3" s="164"/>
      <c r="W3" s="164"/>
      <c r="X3" s="164"/>
      <c r="Y3" s="164"/>
      <c r="Z3" s="164"/>
      <c r="AA3" s="164"/>
      <c r="AB3" s="96"/>
      <c r="AC3" s="96"/>
      <c r="AD3" s="96"/>
      <c r="AE3" s="165" t="s">
        <v>210</v>
      </c>
      <c r="AF3" s="165"/>
      <c r="AG3" s="165"/>
      <c r="AH3" s="166" t="s">
        <v>211</v>
      </c>
      <c r="AI3" s="166"/>
      <c r="AJ3" s="166"/>
      <c r="AK3" s="166"/>
      <c r="AL3" s="166"/>
      <c r="AM3" s="166"/>
      <c r="AN3" s="166"/>
      <c r="AO3" s="166"/>
      <c r="AP3" s="166"/>
      <c r="AQ3" s="167" t="s">
        <v>212</v>
      </c>
      <c r="AR3" s="167"/>
      <c r="AS3" s="167"/>
      <c r="AT3" s="167"/>
      <c r="AU3" s="167"/>
      <c r="AV3" s="167"/>
      <c r="AW3" s="167"/>
      <c r="AX3" s="167"/>
      <c r="AY3" s="167"/>
      <c r="AZ3" s="167"/>
      <c r="BA3" s="167"/>
      <c r="BB3" s="50"/>
      <c r="BC3" s="168" t="s">
        <v>213</v>
      </c>
      <c r="BD3" s="168"/>
      <c r="BE3" s="168"/>
      <c r="BF3" s="168"/>
      <c r="BG3" s="168"/>
      <c r="BH3" s="168"/>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41" t="s">
        <v>218</v>
      </c>
      <c r="K4" s="141"/>
      <c r="L4" s="141"/>
      <c r="M4" s="141"/>
      <c r="N4" s="141"/>
      <c r="O4" s="141"/>
      <c r="P4" s="141"/>
      <c r="Q4" s="141"/>
      <c r="R4" s="141"/>
      <c r="S4" s="141"/>
      <c r="T4" s="141"/>
      <c r="U4" s="141"/>
      <c r="V4" s="141"/>
      <c r="W4" s="141"/>
      <c r="X4" s="141"/>
      <c r="Y4" s="141"/>
      <c r="Z4" s="141"/>
      <c r="AA4" s="141"/>
      <c r="AB4" s="141"/>
      <c r="AC4" s="141"/>
      <c r="AD4" s="141"/>
      <c r="AE4" s="141"/>
      <c r="AF4" s="141"/>
      <c r="AG4" s="141"/>
      <c r="AH4" s="141"/>
      <c r="AI4" s="141"/>
      <c r="AJ4" s="141"/>
      <c r="AK4" s="141"/>
      <c r="AL4" s="141"/>
      <c r="AM4" s="141"/>
      <c r="AN4" s="141"/>
      <c r="AO4" s="141"/>
      <c r="AP4" s="141"/>
      <c r="AQ4" s="141"/>
      <c r="AR4" s="141"/>
      <c r="AS4" s="141"/>
      <c r="AT4" s="141"/>
      <c r="AU4" s="141"/>
      <c r="AV4" s="141"/>
      <c r="AW4" s="141"/>
      <c r="AX4" s="141"/>
      <c r="AY4" s="141"/>
      <c r="AZ4" s="141"/>
      <c r="BA4" s="141"/>
      <c r="BB4" s="141"/>
      <c r="BC4" s="141"/>
      <c r="BD4" s="141"/>
      <c r="BE4" s="141"/>
      <c r="BF4" s="142" t="s">
        <v>219</v>
      </c>
      <c r="BG4" s="142"/>
      <c r="BH4" s="142"/>
      <c r="BI4" s="142"/>
      <c r="BJ4" s="142"/>
      <c r="BK4" s="142"/>
      <c r="BL4" s="142"/>
      <c r="BM4" s="142"/>
      <c r="BN4" s="142"/>
      <c r="BO4" s="142"/>
      <c r="BP4" s="142"/>
      <c r="BQ4" s="142"/>
      <c r="BR4" s="142"/>
      <c r="BS4" s="142"/>
      <c r="BT4" s="142"/>
      <c r="BU4" s="142"/>
      <c r="BV4" s="142"/>
      <c r="BW4" s="142"/>
      <c r="BX4" s="142"/>
      <c r="BY4" s="142"/>
      <c r="BZ4" s="142"/>
      <c r="CA4" s="142"/>
      <c r="CB4" s="142"/>
      <c r="CC4" s="142"/>
      <c r="CD4" s="142"/>
      <c r="CE4" s="142"/>
      <c r="CF4" s="142"/>
      <c r="CG4" s="142"/>
      <c r="CH4" s="142"/>
      <c r="CI4" s="142"/>
      <c r="CJ4" s="142"/>
      <c r="CK4" s="142"/>
      <c r="CL4" s="142"/>
      <c r="CM4" s="143" t="s">
        <v>220</v>
      </c>
      <c r="CN4" s="143"/>
      <c r="CO4" s="143"/>
      <c r="CP4" s="143"/>
      <c r="CQ4" s="143"/>
      <c r="CR4" s="143"/>
      <c r="CS4" s="143"/>
      <c r="CT4" s="143"/>
      <c r="CU4" s="143"/>
      <c r="CV4" s="143"/>
      <c r="CW4" s="143"/>
      <c r="CX4" s="143"/>
      <c r="CY4" s="143"/>
      <c r="CZ4" s="143"/>
      <c r="DA4" s="143"/>
      <c r="DB4" s="143"/>
      <c r="DC4" s="143"/>
      <c r="DD4" s="143"/>
      <c r="DE4" s="143"/>
      <c r="DF4" s="143"/>
      <c r="DG4" s="143"/>
      <c r="DH4" s="143"/>
      <c r="DI4" s="143"/>
      <c r="DJ4" s="143"/>
      <c r="DK4" s="143"/>
      <c r="DL4" s="143"/>
      <c r="DM4" s="143"/>
      <c r="DN4" s="143"/>
      <c r="DO4" s="143"/>
      <c r="DP4" s="143"/>
      <c r="DQ4" s="143"/>
      <c r="DR4" s="143"/>
      <c r="DS4" s="143"/>
      <c r="DT4" s="143"/>
      <c r="DU4" s="143"/>
      <c r="DV4" s="143"/>
      <c r="DW4" s="143"/>
      <c r="DX4" s="143"/>
      <c r="DY4" s="143"/>
      <c r="DZ4" s="143"/>
      <c r="EA4" s="143"/>
      <c r="EB4" s="143"/>
      <c r="EC4" s="143"/>
      <c r="ED4" s="143"/>
      <c r="EE4" s="143"/>
      <c r="EF4" s="143"/>
      <c r="EG4" s="143"/>
      <c r="EH4" s="143"/>
      <c r="EI4" s="143"/>
      <c r="EJ4" s="143"/>
      <c r="EK4" s="143"/>
      <c r="EL4" s="143"/>
      <c r="EM4" s="143"/>
      <c r="EN4" s="143"/>
      <c r="EO4" s="143"/>
      <c r="EP4" s="143"/>
      <c r="EQ4" s="143"/>
      <c r="ER4" s="143"/>
      <c r="ES4" s="143"/>
      <c r="ET4" s="143"/>
      <c r="EU4" s="143"/>
      <c r="EV4" s="143"/>
      <c r="EW4" s="143"/>
      <c r="EX4" s="143"/>
      <c r="EY4" s="143"/>
      <c r="EZ4" s="144" t="s">
        <v>221</v>
      </c>
      <c r="FA4" s="144"/>
      <c r="FB4" s="144"/>
      <c r="FC4" s="144"/>
      <c r="FD4" s="144"/>
      <c r="FE4" s="144"/>
      <c r="FF4" s="144"/>
      <c r="FG4" s="144"/>
      <c r="FH4" s="144"/>
      <c r="FI4" s="144"/>
      <c r="FJ4" s="144"/>
      <c r="FK4" s="144"/>
      <c r="FL4" s="144"/>
      <c r="FM4" s="144"/>
      <c r="FN4" s="144"/>
      <c r="FO4" s="144"/>
      <c r="FP4" s="144"/>
      <c r="FQ4" s="144"/>
      <c r="FR4" s="144"/>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45" t="s">
        <v>224</v>
      </c>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46"/>
      <c r="AL5" s="146"/>
      <c r="AM5" s="146"/>
      <c r="AN5" s="146"/>
      <c r="AO5" s="146"/>
      <c r="AP5" s="146"/>
      <c r="AQ5" s="146"/>
      <c r="AR5" s="146"/>
      <c r="AS5" s="146"/>
      <c r="AT5" s="146"/>
      <c r="AU5" s="146"/>
      <c r="AV5" s="146"/>
      <c r="AW5" s="146"/>
      <c r="AX5" s="146"/>
      <c r="AY5" s="146"/>
      <c r="AZ5" s="146"/>
      <c r="BA5" s="146"/>
      <c r="BB5" s="146"/>
      <c r="BC5" s="146"/>
      <c r="BD5" s="146"/>
      <c r="BE5" s="146"/>
      <c r="BF5" s="146"/>
      <c r="BG5" s="146"/>
      <c r="BH5" s="146"/>
      <c r="BI5" s="149" t="s">
        <v>225</v>
      </c>
      <c r="BJ5" s="150"/>
      <c r="BK5" s="150"/>
      <c r="BL5" s="150"/>
      <c r="BM5" s="150"/>
      <c r="BN5" s="150"/>
      <c r="BO5" s="150"/>
      <c r="BP5" s="150"/>
      <c r="BQ5" s="150"/>
      <c r="BR5" s="150"/>
      <c r="BS5" s="150"/>
      <c r="BT5" s="150"/>
      <c r="BU5" s="150"/>
      <c r="BV5" s="150"/>
      <c r="BW5" s="150"/>
      <c r="BX5" s="150"/>
      <c r="BY5" s="150"/>
      <c r="BZ5" s="150"/>
      <c r="CA5" s="150"/>
      <c r="CB5" s="150"/>
      <c r="CC5" s="150"/>
      <c r="CD5" s="150"/>
      <c r="CE5" s="150"/>
      <c r="CF5" s="150"/>
      <c r="CG5" s="150"/>
      <c r="CH5" s="150"/>
      <c r="CI5" s="150"/>
      <c r="CJ5" s="150"/>
      <c r="CK5" s="150"/>
      <c r="CL5" s="150"/>
      <c r="CM5" s="150"/>
      <c r="CN5" s="150"/>
      <c r="CO5" s="150"/>
      <c r="CP5" s="150"/>
      <c r="CQ5" s="150"/>
      <c r="CR5" s="150"/>
      <c r="CS5" s="150"/>
      <c r="CT5" s="150"/>
      <c r="CU5" s="150"/>
      <c r="CV5" s="150"/>
      <c r="CW5" s="150"/>
      <c r="CX5" s="150"/>
      <c r="CY5" s="150"/>
      <c r="CZ5" s="150"/>
      <c r="DA5" s="150"/>
      <c r="DB5" s="150"/>
      <c r="DC5" s="150"/>
      <c r="DD5" s="150"/>
      <c r="DE5" s="150"/>
      <c r="DF5" s="150"/>
      <c r="DG5" s="150"/>
      <c r="DH5" s="150"/>
      <c r="DI5" s="150"/>
      <c r="DJ5" s="150"/>
      <c r="DK5" s="150"/>
      <c r="DL5" s="150"/>
      <c r="DM5" s="150"/>
      <c r="DN5" s="150"/>
      <c r="DO5" s="150"/>
      <c r="DP5" s="150"/>
      <c r="DQ5" s="150"/>
      <c r="DR5" s="150"/>
      <c r="DS5" s="150"/>
      <c r="DT5" s="150"/>
      <c r="DU5" s="150"/>
      <c r="DV5" s="150"/>
      <c r="DW5" s="150"/>
      <c r="DX5" s="150"/>
      <c r="DY5" s="150"/>
      <c r="DZ5" s="150"/>
      <c r="EA5" s="150"/>
      <c r="EB5" s="150"/>
      <c r="EC5" s="150"/>
      <c r="ED5" s="150"/>
      <c r="EE5" s="150"/>
      <c r="EF5" s="150"/>
      <c r="EG5" s="150"/>
      <c r="EH5" s="150"/>
      <c r="EI5" s="150"/>
      <c r="EJ5" s="150"/>
      <c r="EK5" s="150"/>
      <c r="EL5" s="150"/>
      <c r="EM5" s="150"/>
      <c r="EN5" s="150"/>
      <c r="EO5" s="150"/>
      <c r="EP5" s="150"/>
      <c r="EQ5" s="150"/>
      <c r="ER5" s="150"/>
      <c r="ES5" s="150"/>
      <c r="ET5" s="150"/>
      <c r="EU5" s="150"/>
      <c r="EV5" s="150"/>
      <c r="EW5" s="150"/>
      <c r="EX5" s="150"/>
      <c r="EY5" s="150"/>
      <c r="EZ5" s="150"/>
      <c r="FA5" s="150"/>
      <c r="FB5" s="150"/>
      <c r="FC5" s="150"/>
      <c r="FD5" s="150"/>
      <c r="FE5" s="150"/>
      <c r="FF5" s="150"/>
      <c r="FG5" s="150"/>
      <c r="FH5" s="150"/>
      <c r="FI5" s="150"/>
      <c r="FJ5" s="150"/>
      <c r="FK5" s="151"/>
      <c r="FL5" s="155" t="s">
        <v>226</v>
      </c>
      <c r="FM5" s="156"/>
      <c r="FN5" s="156"/>
      <c r="FO5" s="156"/>
      <c r="FP5" s="156"/>
      <c r="FQ5" s="156"/>
      <c r="FR5" s="157"/>
      <c r="FS5" s="107"/>
      <c r="FT5" s="139" t="s">
        <v>477</v>
      </c>
      <c r="FU5" s="139"/>
      <c r="FV5" s="139"/>
      <c r="FW5" s="139"/>
      <c r="FX5" s="36"/>
      <c r="FY5" s="36"/>
      <c r="FZ5" s="36"/>
      <c r="GA5" s="36"/>
      <c r="GB5" s="36"/>
      <c r="GC5" s="36"/>
      <c r="GD5" s="36"/>
    </row>
    <row r="6" spans="1:311" x14ac:dyDescent="0.35">
      <c r="A6" s="22"/>
      <c r="B6" s="92"/>
      <c r="C6" s="17" t="s">
        <v>228</v>
      </c>
      <c r="D6" s="94"/>
      <c r="E6" s="17"/>
      <c r="F6" s="20"/>
      <c r="G6" s="20"/>
      <c r="H6" s="20"/>
      <c r="I6" s="147"/>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c r="AS6" s="148"/>
      <c r="AT6" s="148"/>
      <c r="AU6" s="148"/>
      <c r="AV6" s="148"/>
      <c r="AW6" s="148"/>
      <c r="AX6" s="148"/>
      <c r="AY6" s="148"/>
      <c r="AZ6" s="148"/>
      <c r="BA6" s="148"/>
      <c r="BB6" s="148"/>
      <c r="BC6" s="148"/>
      <c r="BD6" s="148"/>
      <c r="BE6" s="148"/>
      <c r="BF6" s="148"/>
      <c r="BG6" s="148"/>
      <c r="BH6" s="148"/>
      <c r="BI6" s="152"/>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153"/>
      <c r="EI6" s="153"/>
      <c r="EJ6" s="153"/>
      <c r="EK6" s="153"/>
      <c r="EL6" s="153"/>
      <c r="EM6" s="153"/>
      <c r="EN6" s="153"/>
      <c r="EO6" s="153"/>
      <c r="EP6" s="153"/>
      <c r="EQ6" s="153"/>
      <c r="ER6" s="153"/>
      <c r="ES6" s="153"/>
      <c r="ET6" s="153"/>
      <c r="EU6" s="153"/>
      <c r="EV6" s="153"/>
      <c r="EW6" s="153"/>
      <c r="EX6" s="153"/>
      <c r="EY6" s="153"/>
      <c r="EZ6" s="153"/>
      <c r="FA6" s="153"/>
      <c r="FB6" s="153"/>
      <c r="FC6" s="153"/>
      <c r="FD6" s="153"/>
      <c r="FE6" s="153"/>
      <c r="FF6" s="153"/>
      <c r="FG6" s="153"/>
      <c r="FH6" s="153"/>
      <c r="FI6" s="153"/>
      <c r="FJ6" s="153"/>
      <c r="FK6" s="154"/>
      <c r="FL6" s="158"/>
      <c r="FM6" s="159"/>
      <c r="FN6" s="159"/>
      <c r="FO6" s="159"/>
      <c r="FP6" s="159"/>
      <c r="FQ6" s="159"/>
      <c r="FR6" s="160"/>
      <c r="FS6" s="108"/>
      <c r="FT6" s="139"/>
      <c r="FU6" s="139"/>
      <c r="FV6" s="139"/>
      <c r="FW6" s="139"/>
      <c r="FX6" s="36"/>
      <c r="FY6" s="36"/>
      <c r="FZ6" s="36"/>
      <c r="GA6" s="36"/>
      <c r="GB6" s="36"/>
      <c r="GC6" s="36"/>
      <c r="GD6" s="36"/>
    </row>
    <row r="7" spans="1:311" s="23" customFormat="1" ht="38.25" customHeight="1" x14ac:dyDescent="0.35">
      <c r="A7" s="140" t="s">
        <v>229</v>
      </c>
      <c r="B7" s="140"/>
      <c r="C7" s="140"/>
      <c r="D7" s="140"/>
      <c r="E7" s="140"/>
      <c r="F7" s="140"/>
      <c r="G7" s="140"/>
      <c r="H7" s="52"/>
      <c r="I7" s="37" t="s">
        <v>230</v>
      </c>
      <c r="J7" s="118" t="s">
        <v>231</v>
      </c>
      <c r="K7" s="118"/>
      <c r="L7" s="118"/>
      <c r="M7" s="131" t="s">
        <v>232</v>
      </c>
      <c r="N7" s="131"/>
      <c r="O7" s="131"/>
      <c r="P7" s="131" t="s">
        <v>233</v>
      </c>
      <c r="Q7" s="131"/>
      <c r="R7" s="132"/>
      <c r="S7" s="118" t="s">
        <v>234</v>
      </c>
      <c r="T7" s="118"/>
      <c r="U7" s="118"/>
      <c r="V7" s="118" t="s">
        <v>235</v>
      </c>
      <c r="W7" s="118" t="s">
        <v>235</v>
      </c>
      <c r="X7" s="118"/>
      <c r="Y7" s="118" t="s">
        <v>236</v>
      </c>
      <c r="Z7" s="118" t="s">
        <v>236</v>
      </c>
      <c r="AA7" s="120"/>
      <c r="AB7" s="118" t="s">
        <v>237</v>
      </c>
      <c r="AC7" s="118"/>
      <c r="AD7" s="118"/>
      <c r="AE7" s="118" t="s">
        <v>238</v>
      </c>
      <c r="AF7" s="118" t="s">
        <v>239</v>
      </c>
      <c r="AG7" s="118"/>
      <c r="AH7" s="116" t="s">
        <v>240</v>
      </c>
      <c r="AI7" s="116" t="s">
        <v>241</v>
      </c>
      <c r="AJ7" s="137"/>
      <c r="AK7" s="118" t="s">
        <v>242</v>
      </c>
      <c r="AL7" s="118" t="s">
        <v>243</v>
      </c>
      <c r="AM7" s="118"/>
      <c r="AN7" s="118" t="s">
        <v>244</v>
      </c>
      <c r="AO7" s="118" t="s">
        <v>244</v>
      </c>
      <c r="AP7" s="118"/>
      <c r="AQ7" s="116" t="s">
        <v>245</v>
      </c>
      <c r="AR7" s="116" t="s">
        <v>245</v>
      </c>
      <c r="AS7" s="137"/>
      <c r="AT7" s="118" t="s">
        <v>246</v>
      </c>
      <c r="AU7" s="118" t="s">
        <v>246</v>
      </c>
      <c r="AV7" s="118"/>
      <c r="AW7" s="118" t="s">
        <v>247</v>
      </c>
      <c r="AX7" s="118" t="s">
        <v>247</v>
      </c>
      <c r="AY7" s="118"/>
      <c r="AZ7" s="138" t="s">
        <v>248</v>
      </c>
      <c r="BA7" s="138"/>
      <c r="BB7" s="138"/>
      <c r="BC7" s="116" t="s">
        <v>249</v>
      </c>
      <c r="BD7" s="116"/>
      <c r="BE7" s="137"/>
      <c r="BF7" s="118" t="s">
        <v>250</v>
      </c>
      <c r="BG7" s="118" t="s">
        <v>250</v>
      </c>
      <c r="BH7" s="118"/>
      <c r="BI7" s="118" t="s">
        <v>251</v>
      </c>
      <c r="BJ7" s="118" t="s">
        <v>251</v>
      </c>
      <c r="BK7" s="118"/>
      <c r="BL7" s="118" t="s">
        <v>252</v>
      </c>
      <c r="BM7" s="118" t="s">
        <v>252</v>
      </c>
      <c r="BN7" s="118"/>
      <c r="BO7" s="118" t="s">
        <v>253</v>
      </c>
      <c r="BP7" s="118" t="s">
        <v>253</v>
      </c>
      <c r="BQ7" s="118"/>
      <c r="BR7" s="118" t="s">
        <v>254</v>
      </c>
      <c r="BS7" s="118" t="s">
        <v>254</v>
      </c>
      <c r="BT7" s="118"/>
      <c r="BU7" s="118" t="s">
        <v>255</v>
      </c>
      <c r="BV7" s="118" t="s">
        <v>255</v>
      </c>
      <c r="BW7" s="118"/>
      <c r="BX7" s="118" t="s">
        <v>256</v>
      </c>
      <c r="BY7" s="118" t="s">
        <v>256</v>
      </c>
      <c r="BZ7" s="118"/>
      <c r="CA7" s="118" t="s">
        <v>257</v>
      </c>
      <c r="CB7" s="118" t="s">
        <v>257</v>
      </c>
      <c r="CC7" s="118"/>
      <c r="CD7" s="118" t="s">
        <v>258</v>
      </c>
      <c r="CE7" s="118" t="s">
        <v>258</v>
      </c>
      <c r="CF7" s="118"/>
      <c r="CG7" s="118" t="s">
        <v>259</v>
      </c>
      <c r="CH7" s="118" t="s">
        <v>259</v>
      </c>
      <c r="CI7" s="118"/>
      <c r="CJ7" s="118" t="s">
        <v>260</v>
      </c>
      <c r="CK7" s="118" t="s">
        <v>260</v>
      </c>
      <c r="CL7" s="118"/>
      <c r="CM7" s="133" t="s">
        <v>261</v>
      </c>
      <c r="CN7" s="133"/>
      <c r="CO7" s="134"/>
      <c r="CP7" s="134" t="s">
        <v>262</v>
      </c>
      <c r="CQ7" s="135"/>
      <c r="CR7" s="135"/>
      <c r="CS7" s="136"/>
      <c r="CT7" s="116" t="s">
        <v>263</v>
      </c>
      <c r="CU7" s="116"/>
      <c r="CV7" s="137"/>
      <c r="CW7" s="127" t="s">
        <v>264</v>
      </c>
      <c r="CX7" s="127"/>
      <c r="CY7" s="127"/>
      <c r="CZ7" s="118" t="s">
        <v>265</v>
      </c>
      <c r="DA7" s="118"/>
      <c r="DB7" s="118"/>
      <c r="DC7" s="122" t="s">
        <v>266</v>
      </c>
      <c r="DD7" s="122"/>
      <c r="DE7" s="122"/>
      <c r="DF7" s="123" t="s">
        <v>267</v>
      </c>
      <c r="DG7" s="123"/>
      <c r="DH7" s="123"/>
      <c r="DI7" s="124" t="s">
        <v>268</v>
      </c>
      <c r="DJ7" s="125"/>
      <c r="DK7" s="125"/>
      <c r="DL7" s="126"/>
      <c r="DM7" s="127" t="s">
        <v>269</v>
      </c>
      <c r="DN7" s="127"/>
      <c r="DO7" s="127"/>
      <c r="DP7" s="118" t="s">
        <v>270</v>
      </c>
      <c r="DQ7" s="118"/>
      <c r="DR7" s="118"/>
      <c r="DS7" s="128" t="s">
        <v>271</v>
      </c>
      <c r="DT7" s="129"/>
      <c r="DU7" s="129"/>
      <c r="DV7" s="130"/>
      <c r="DW7" s="128" t="s">
        <v>272</v>
      </c>
      <c r="DX7" s="129"/>
      <c r="DY7" s="129"/>
      <c r="DZ7" s="130"/>
      <c r="EA7" s="128" t="s">
        <v>273</v>
      </c>
      <c r="EB7" s="129"/>
      <c r="EC7" s="129"/>
      <c r="ED7" s="130"/>
      <c r="EE7" s="131" t="s">
        <v>274</v>
      </c>
      <c r="EF7" s="131"/>
      <c r="EG7" s="131"/>
      <c r="EH7" s="131" t="s">
        <v>275</v>
      </c>
      <c r="EI7" s="131"/>
      <c r="EJ7" s="132"/>
      <c r="EK7" s="127" t="s">
        <v>276</v>
      </c>
      <c r="EL7" s="127"/>
      <c r="EM7" s="127"/>
      <c r="EN7" s="118" t="s">
        <v>277</v>
      </c>
      <c r="EO7" s="118"/>
      <c r="EP7" s="118"/>
      <c r="EQ7" s="118" t="s">
        <v>278</v>
      </c>
      <c r="ER7" s="118"/>
      <c r="ES7" s="118"/>
      <c r="ET7" s="118" t="s">
        <v>279</v>
      </c>
      <c r="EU7" s="118"/>
      <c r="EV7" s="118"/>
      <c r="EW7" s="118" t="s">
        <v>280</v>
      </c>
      <c r="EX7" s="118"/>
      <c r="EY7" s="118"/>
      <c r="EZ7" s="119" t="s">
        <v>281</v>
      </c>
      <c r="FA7" s="119" t="s">
        <v>281</v>
      </c>
      <c r="FB7" s="119"/>
      <c r="FC7" s="118" t="s">
        <v>282</v>
      </c>
      <c r="FD7" s="118"/>
      <c r="FE7" s="118"/>
      <c r="FF7" s="120" t="s">
        <v>283</v>
      </c>
      <c r="FG7" s="121"/>
      <c r="FH7" s="121"/>
      <c r="FI7" s="115" t="s">
        <v>284</v>
      </c>
      <c r="FJ7" s="115"/>
      <c r="FK7" s="115"/>
      <c r="FL7" s="116" t="s">
        <v>285</v>
      </c>
      <c r="FM7" s="116"/>
      <c r="FN7" s="116"/>
      <c r="FO7" s="117" t="s">
        <v>286</v>
      </c>
      <c r="FP7" s="117"/>
      <c r="FQ7" s="117"/>
      <c r="FR7" s="75" t="s">
        <v>287</v>
      </c>
      <c r="FS7" s="75" t="s">
        <v>288</v>
      </c>
      <c r="FT7" s="139"/>
      <c r="FU7" s="139"/>
      <c r="FV7" s="139"/>
      <c r="FW7" s="139"/>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hidden="1" outlineLevel="1" x14ac:dyDescent="0.35">
      <c r="A9" s="23" t="s">
        <v>4</v>
      </c>
      <c r="B9" s="23">
        <v>107589</v>
      </c>
      <c r="C9" s="24">
        <v>1009324</v>
      </c>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391</v>
      </c>
      <c r="FU9" s="54">
        <f>NETWORKDAYS($I10,FP10)</f>
        <v>391</v>
      </c>
      <c r="FV9" s="54">
        <f>IF(FQ10="",NETWORKDAYS($I10,FP10),NETWORKDAYS($I10,FQ10))</f>
        <v>391</v>
      </c>
      <c r="FW9" s="55" t="s">
        <v>464</v>
      </c>
    </row>
    <row r="10" spans="1:311" collapsed="1" x14ac:dyDescent="0.35">
      <c r="A10" s="23" t="s">
        <v>4</v>
      </c>
      <c r="B10" s="23">
        <v>107589</v>
      </c>
      <c r="C10" s="24">
        <v>1009324</v>
      </c>
      <c r="D10" s="65"/>
      <c r="E10" s="23" t="str">
        <f>IF(D10="","Unknown",IF(D10&lt;=FM10+90,"Red",IF(AND(D10&gt;FM10+90,D10&lt;=FM10+180),"Yellow",IF(AND(D10&gt;FM10+180,D10&lt;=FM10+690),"Green","Covered"))))</f>
        <v>Unknown</v>
      </c>
      <c r="F10" s="25" t="s">
        <v>466</v>
      </c>
      <c r="G10" s="26"/>
      <c r="H10" s="26" t="str">
        <f>IF(CR10="","Pre-Execution","Execution")</f>
        <v>Execution</v>
      </c>
      <c r="I10" s="13">
        <v>45940</v>
      </c>
      <c r="J10" s="28"/>
      <c r="K10" s="28"/>
      <c r="L10" s="28"/>
      <c r="M10" s="10">
        <v>45979</v>
      </c>
      <c r="N10" s="10">
        <f>WORKDAY(I10,N9)</f>
        <v>45979</v>
      </c>
      <c r="O10" s="56">
        <f>M10</f>
        <v>45979</v>
      </c>
      <c r="P10" s="10">
        <v>45979</v>
      </c>
      <c r="Q10" s="10">
        <f>IF(O10="",WORKDAY(N10,Q9),WORKDAY(O10,Q9))</f>
        <v>45979</v>
      </c>
      <c r="R10" s="56">
        <f>P10</f>
        <v>45979</v>
      </c>
      <c r="S10" s="28"/>
      <c r="T10" s="28"/>
      <c r="U10" s="28"/>
      <c r="V10" s="10">
        <v>46021</v>
      </c>
      <c r="W10" s="10">
        <f>IF(R10="",WORKDAY(Q10,W9),WORKDAY(R10,W9))</f>
        <v>46021</v>
      </c>
      <c r="X10" s="56">
        <f>V10</f>
        <v>46021</v>
      </c>
      <c r="Y10" s="10">
        <v>46077</v>
      </c>
      <c r="Z10" s="10">
        <f>IF(R10="",WORKDAY(Q10,Z9),WORKDAY(R10,Z9))</f>
        <v>46077</v>
      </c>
      <c r="AA10" s="56">
        <f>Y10</f>
        <v>46077</v>
      </c>
      <c r="AB10" s="10">
        <v>45940</v>
      </c>
      <c r="AC10" s="10">
        <f>WORKDAY(I10,AC9)</f>
        <v>45940</v>
      </c>
      <c r="AD10" s="56">
        <f>AB10</f>
        <v>45940</v>
      </c>
      <c r="AE10" s="10">
        <v>46045</v>
      </c>
      <c r="AF10" s="10">
        <f>IF(AD10="",WORKDAY(AC10,AF9),WORKDAY(AD10,AF9))</f>
        <v>46045</v>
      </c>
      <c r="AG10" s="56">
        <f>AE10</f>
        <v>46045</v>
      </c>
      <c r="AH10" s="10">
        <v>46084</v>
      </c>
      <c r="AI10" s="10">
        <f>WORKDAY(IF(AA10="",IF(Z10&gt;AF10,Z10,AF10),IF(AA10&gt;AG10,AA10,AG10)),AI9)</f>
        <v>46084</v>
      </c>
      <c r="AJ10" s="56"/>
      <c r="AK10" s="10">
        <v>46112</v>
      </c>
      <c r="AL10" s="10">
        <f>IF(AJ10="",WORKDAY(AI10,AL9),WORKDAY(AJ10,AL9))</f>
        <v>46112</v>
      </c>
      <c r="AM10" s="10">
        <v>46112</v>
      </c>
      <c r="AN10" s="10">
        <v>46112</v>
      </c>
      <c r="AO10" s="10">
        <v>46112</v>
      </c>
      <c r="AP10" s="10">
        <v>46112</v>
      </c>
      <c r="AQ10" s="10">
        <v>46140</v>
      </c>
      <c r="AR10" s="10">
        <v>46140</v>
      </c>
      <c r="AS10" s="10"/>
      <c r="AT10" s="10">
        <v>46119</v>
      </c>
      <c r="AU10" s="10">
        <v>46119</v>
      </c>
      <c r="AV10" s="56"/>
      <c r="AW10" s="10">
        <v>46154</v>
      </c>
      <c r="AX10" s="10">
        <v>46154</v>
      </c>
      <c r="AY10" s="56"/>
      <c r="AZ10" s="10">
        <v>46154</v>
      </c>
      <c r="BA10" s="10">
        <v>46154</v>
      </c>
      <c r="BB10" s="56"/>
      <c r="BC10" s="10">
        <v>46161</v>
      </c>
      <c r="BD10" s="10">
        <v>46161</v>
      </c>
      <c r="BE10" s="10"/>
      <c r="BF10" s="10">
        <v>46168</v>
      </c>
      <c r="BG10" s="10">
        <v>46168</v>
      </c>
      <c r="BH10" s="56"/>
      <c r="BI10" s="10">
        <v>46175</v>
      </c>
      <c r="BJ10" s="10">
        <v>46175</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46178</v>
      </c>
      <c r="CN10" s="10">
        <v>46178</v>
      </c>
      <c r="CO10" s="10">
        <f>CM10</f>
        <v>46178</v>
      </c>
      <c r="CP10" s="10">
        <v>46185</v>
      </c>
      <c r="CQ10" s="10">
        <f>IF(CO10="",WORKDAY(CN10,CQ9),WORKDAY(CO10,CQ9))</f>
        <v>46185</v>
      </c>
      <c r="CR10" s="10">
        <f>WORKDAY(CO10,CR9)</f>
        <v>46178</v>
      </c>
      <c r="CS10" s="77" t="s">
        <v>478</v>
      </c>
      <c r="CT10" s="10">
        <v>46346</v>
      </c>
      <c r="CU10" s="10">
        <f>IF(CR10="",WORKDAY(CQ10,CU9),WORKDAY(CR10,CU9))</f>
        <v>46346</v>
      </c>
      <c r="CV10" s="56">
        <f>CT10</f>
        <v>46346</v>
      </c>
      <c r="CW10" s="10">
        <v>46168</v>
      </c>
      <c r="CX10" s="10">
        <v>46168</v>
      </c>
      <c r="CY10" s="56"/>
      <c r="CZ10" s="10">
        <v>46168</v>
      </c>
      <c r="DA10" s="10">
        <v>46168</v>
      </c>
      <c r="DB10" s="56"/>
      <c r="DC10" s="45"/>
      <c r="DD10" s="45"/>
      <c r="DE10" s="45"/>
      <c r="DF10" s="10">
        <v>46374</v>
      </c>
      <c r="DG10" s="10">
        <f>IF($CV10="",IF($CU10&gt;$DA10,WORKDAY($CU10,DG9),WORKDAY($DA10,DG9)),IF($CV10&gt;$DB10,WORKDAY($CV10,DG9),WORKDAY($DB10,DG9)))</f>
        <v>46374</v>
      </c>
      <c r="DH10" s="56"/>
      <c r="DI10" s="46"/>
      <c r="DJ10" s="10">
        <v>46402</v>
      </c>
      <c r="DK10" s="10">
        <f>IF(DH10="",WORKDAY(DG10,DK9*$DI9),WORKDAY(DH10,DK9*$DI9))</f>
        <v>46402</v>
      </c>
      <c r="DL10" s="56"/>
      <c r="DM10" s="46"/>
      <c r="DN10" s="46"/>
      <c r="DO10" s="46"/>
      <c r="DP10" s="46"/>
      <c r="DQ10" s="46"/>
      <c r="DR10" s="46"/>
      <c r="DS10" s="46"/>
      <c r="DT10" s="46"/>
      <c r="DU10" s="46"/>
      <c r="DV10" s="46"/>
      <c r="DW10" s="46"/>
      <c r="DX10" s="46"/>
      <c r="DY10" s="46"/>
      <c r="DZ10" s="46"/>
      <c r="EA10" s="46"/>
      <c r="EB10" s="46"/>
      <c r="EC10" s="46"/>
      <c r="ED10" s="46"/>
      <c r="EE10" s="10">
        <v>46402</v>
      </c>
      <c r="EF10" s="10">
        <f>IF(DL10="",WORKDAY(DK10,EF9),WORKDAY(DL10,EF9))</f>
        <v>46402</v>
      </c>
      <c r="EG10" s="56"/>
      <c r="EH10" s="10">
        <f>IF(DN10="",WORKDAY(DM10,EH9),WORKDAY(DN10,EH9))</f>
        <v>41</v>
      </c>
      <c r="EI10" s="10">
        <f>IF(DO10="",WORKDAY(DN10,EI9),WORKDAY(DO10,EI9))</f>
        <v>41</v>
      </c>
      <c r="EJ10" s="56"/>
      <c r="EK10" s="27"/>
      <c r="EL10" s="27"/>
      <c r="EM10" s="27"/>
      <c r="EN10" s="27"/>
      <c r="EO10" s="28"/>
      <c r="EP10" s="28"/>
      <c r="EQ10" s="28"/>
      <c r="ER10" s="28"/>
      <c r="ES10" s="28"/>
      <c r="ET10" s="28"/>
      <c r="EU10" s="28"/>
      <c r="EV10" s="28"/>
      <c r="EW10" s="28"/>
      <c r="EX10" s="28"/>
      <c r="EY10" s="28"/>
      <c r="EZ10" s="10">
        <v>46409</v>
      </c>
      <c r="FA10" s="10">
        <f>IF(EG10="",WORKDAY(EF10,FA9),WORKDAY(EG10,FA9))</f>
        <v>46409</v>
      </c>
      <c r="FB10" s="56"/>
      <c r="FC10" s="28"/>
      <c r="FD10" s="28"/>
      <c r="FE10" s="28"/>
      <c r="FF10" s="28"/>
      <c r="FG10" s="28"/>
      <c r="FH10" s="28"/>
      <c r="FI10" s="10">
        <v>46430</v>
      </c>
      <c r="FJ10" s="10">
        <f>IF(FB10="",WORKDAY(FA10,FJ9),WORKDAY(FB10,FJ9))</f>
        <v>46430</v>
      </c>
      <c r="FK10" s="56"/>
      <c r="FL10" s="10">
        <v>46430</v>
      </c>
      <c r="FM10" s="10">
        <f>IF(FK10="",WORKDAY(FJ10,FM9),WORKDAY(FK10,FM9))</f>
        <v>46430</v>
      </c>
      <c r="FN10" s="56"/>
      <c r="FO10" s="10">
        <v>46486</v>
      </c>
      <c r="FP10" s="10">
        <f>WORKDAY(FM10,FP9)</f>
        <v>46486</v>
      </c>
      <c r="FQ10" s="56"/>
      <c r="FR10" s="77" t="str">
        <f>IF(NETWORKDAYS(FJ10,FO10)&gt;=30,"On-Track",IF(AND(NETWORKDAYS(FJ10,FO10)&lt;30,FJ10&lt;=FO10),"At Risk","Missed TCD"))</f>
        <v>On-Track</v>
      </c>
      <c r="FS10" s="110" t="s">
        <v>479</v>
      </c>
      <c r="FT10" s="57">
        <f>NETWORKDAYS(CP10,FI10)</f>
        <v>176</v>
      </c>
      <c r="FU10" s="57">
        <f>NETWORKDAYS(CQ10,FJ10)</f>
        <v>176</v>
      </c>
      <c r="FV10" s="57">
        <f>IF(BH10="",NETWORKDAYS(BG10,FJ10),IF(FK10="",NETWORKDAYS(BH10,FJ10),NETWORKDAYS(BH10,FK10)))</f>
        <v>189</v>
      </c>
      <c r="FW10" s="58" t="s">
        <v>467</v>
      </c>
    </row>
    <row r="11" spans="1:311" hidden="1" outlineLevel="1" x14ac:dyDescent="0.35">
      <c r="A11" s="23" t="s">
        <v>4</v>
      </c>
      <c r="B11" s="23">
        <v>107590</v>
      </c>
      <c r="C11" s="24" t="s">
        <v>480</v>
      </c>
      <c r="D11" s="95"/>
      <c r="E11" s="24"/>
      <c r="F11" s="25" t="s">
        <v>463</v>
      </c>
      <c r="G11" s="26"/>
      <c r="H11" s="26"/>
      <c r="I11" s="27"/>
      <c r="J11" s="27"/>
      <c r="K11" s="27"/>
      <c r="L11" s="27"/>
      <c r="M11" s="4">
        <v>27</v>
      </c>
      <c r="N11" s="4">
        <v>27</v>
      </c>
      <c r="O11" s="27"/>
      <c r="P11" s="4">
        <v>0</v>
      </c>
      <c r="Q11" s="4">
        <v>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c r="CP11" s="4">
        <v>5</v>
      </c>
      <c r="CQ11" s="4">
        <v>5</v>
      </c>
      <c r="CR11" s="27"/>
      <c r="CS11" s="27"/>
      <c r="CT11" s="5">
        <v>120</v>
      </c>
      <c r="CU11" s="5">
        <v>120</v>
      </c>
      <c r="CV11" s="27"/>
      <c r="CW11" s="5">
        <v>10</v>
      </c>
      <c r="CX11" s="5">
        <v>10</v>
      </c>
      <c r="CY11" s="27"/>
      <c r="CZ11" s="5">
        <v>0</v>
      </c>
      <c r="DA11" s="5">
        <v>0</v>
      </c>
      <c r="DB11" s="27"/>
      <c r="DC11" s="31"/>
      <c r="DD11" s="31"/>
      <c r="DE11" s="31"/>
      <c r="DF11" s="4">
        <v>20</v>
      </c>
      <c r="DG11" s="4">
        <v>20</v>
      </c>
      <c r="DH11" s="27"/>
      <c r="DI11" s="89">
        <v>1</v>
      </c>
      <c r="DJ11" s="4">
        <v>20</v>
      </c>
      <c r="DK11" s="4">
        <v>20</v>
      </c>
      <c r="DL11" s="27"/>
      <c r="DM11" s="27"/>
      <c r="DN11" s="27"/>
      <c r="DO11" s="27"/>
      <c r="DP11" s="27"/>
      <c r="DQ11" s="27"/>
      <c r="DR11" s="27"/>
      <c r="DS11" s="27"/>
      <c r="DT11" s="27"/>
      <c r="DU11" s="27"/>
      <c r="DV11" s="27"/>
      <c r="DW11" s="27"/>
      <c r="DX11" s="27"/>
      <c r="DY11" s="27"/>
      <c r="DZ11" s="27"/>
      <c r="EA11" s="27"/>
      <c r="EB11" s="27"/>
      <c r="EC11" s="27"/>
      <c r="ED11" s="27"/>
      <c r="EE11" s="4">
        <v>0</v>
      </c>
      <c r="EF11" s="4">
        <v>0</v>
      </c>
      <c r="EG11" s="27"/>
      <c r="EH11" s="4">
        <v>30</v>
      </c>
      <c r="EI11" s="4">
        <v>30</v>
      </c>
      <c r="EJ11" s="27"/>
      <c r="EK11" s="27"/>
      <c r="EL11" s="27"/>
      <c r="EM11" s="27"/>
      <c r="EN11" s="27"/>
      <c r="EO11" s="27"/>
      <c r="EP11" s="27"/>
      <c r="EQ11" s="27"/>
      <c r="ER11" s="27"/>
      <c r="ES11" s="27"/>
      <c r="ET11" s="27"/>
      <c r="EU11" s="27"/>
      <c r="EV11" s="27"/>
      <c r="EW11" s="27"/>
      <c r="EX11" s="27"/>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NETWORKDAYS($I12,FO12)</f>
        <v>391</v>
      </c>
      <c r="FU11" s="54">
        <f>NETWORKDAYS($I12,FP12)</f>
        <v>391</v>
      </c>
      <c r="FV11" s="54">
        <f>IF(FQ12="",NETWORKDAYS($I12,FP12),NETWORKDAYS($I12,FQ12))</f>
        <v>391</v>
      </c>
      <c r="FW11" s="55" t="s">
        <v>464</v>
      </c>
    </row>
    <row r="12" spans="1:311" collapsed="1" x14ac:dyDescent="0.35">
      <c r="A12" s="23" t="s">
        <v>4</v>
      </c>
      <c r="B12" s="23">
        <v>107590</v>
      </c>
      <c r="C12" s="24" t="s">
        <v>480</v>
      </c>
      <c r="D12" s="65"/>
      <c r="E12" s="23" t="str">
        <f>IF(D12="","Unknown",IF(D12&lt;=FM12+90,"Red",IF(AND(D12&gt;FM12+90,D12&lt;=FM12+180),"Yellow",IF(AND(D12&gt;FM12+180,D12&lt;=FM12+690),"Green","Covered"))))</f>
        <v>Unknown</v>
      </c>
      <c r="F12" s="25" t="s">
        <v>466</v>
      </c>
      <c r="G12" s="26"/>
      <c r="H12" s="26" t="str">
        <f>IF(CR12="","Pre-Execution","Execution")</f>
        <v>Execution</v>
      </c>
      <c r="I12" s="13">
        <v>45940</v>
      </c>
      <c r="J12" s="28"/>
      <c r="K12" s="28"/>
      <c r="L12" s="28"/>
      <c r="M12" s="10">
        <v>45979</v>
      </c>
      <c r="N12" s="10">
        <f>WORKDAY(I12,N11)</f>
        <v>45979</v>
      </c>
      <c r="O12" s="56">
        <f>M12</f>
        <v>45979</v>
      </c>
      <c r="P12" s="10">
        <v>45979</v>
      </c>
      <c r="Q12" s="10">
        <f>IF(O12="",WORKDAY(N12,Q11),WORKDAY(O12,Q11))</f>
        <v>45979</v>
      </c>
      <c r="R12" s="56">
        <f>P12</f>
        <v>45979</v>
      </c>
      <c r="S12" s="28"/>
      <c r="T12" s="28"/>
      <c r="U12" s="28"/>
      <c r="V12" s="10">
        <v>46021</v>
      </c>
      <c r="W12" s="10">
        <f>IF(R12="",WORKDAY(Q12,W11),WORKDAY(R12,W11))</f>
        <v>46021</v>
      </c>
      <c r="X12" s="56">
        <f>V12</f>
        <v>46021</v>
      </c>
      <c r="Y12" s="10">
        <v>46077</v>
      </c>
      <c r="Z12" s="10">
        <f>IF(R12="",WORKDAY(Q12,Z11),WORKDAY(R12,Z11))</f>
        <v>46077</v>
      </c>
      <c r="AA12" s="56">
        <f>Y12</f>
        <v>46077</v>
      </c>
      <c r="AB12" s="10">
        <v>45940</v>
      </c>
      <c r="AC12" s="10">
        <f>WORKDAY(I12,AC11)</f>
        <v>45940</v>
      </c>
      <c r="AD12" s="56">
        <f>AB12</f>
        <v>45940</v>
      </c>
      <c r="AE12" s="10">
        <v>46045</v>
      </c>
      <c r="AF12" s="10">
        <f>IF(AD12="",WORKDAY(AC12,AF11),WORKDAY(AD12,AF11))</f>
        <v>46045</v>
      </c>
      <c r="AG12" s="56">
        <f>AE12</f>
        <v>46045</v>
      </c>
      <c r="AH12" s="10">
        <v>46084</v>
      </c>
      <c r="AI12" s="10">
        <f>WORKDAY(IF(AA12="",IF(Z12&gt;AF12,Z12,AF12),IF(AA12&gt;AG12,AA12,AG12)),AI11)</f>
        <v>46084</v>
      </c>
      <c r="AJ12" s="56"/>
      <c r="AK12" s="10">
        <v>46112</v>
      </c>
      <c r="AL12" s="10">
        <f>IF(AJ12="",WORKDAY(AI12,AL11),WORKDAY(AJ12,AL11))</f>
        <v>46112</v>
      </c>
      <c r="AM12" s="10">
        <v>46112</v>
      </c>
      <c r="AN12" s="10">
        <v>46112</v>
      </c>
      <c r="AO12" s="10">
        <v>46112</v>
      </c>
      <c r="AP12" s="10">
        <v>46112</v>
      </c>
      <c r="AQ12" s="10">
        <v>46140</v>
      </c>
      <c r="AR12" s="10">
        <v>46140</v>
      </c>
      <c r="AS12" s="10"/>
      <c r="AT12" s="10">
        <v>46119</v>
      </c>
      <c r="AU12" s="10">
        <v>46119</v>
      </c>
      <c r="AV12" s="56"/>
      <c r="AW12" s="10">
        <v>46154</v>
      </c>
      <c r="AX12" s="10">
        <v>46154</v>
      </c>
      <c r="AY12" s="56"/>
      <c r="AZ12" s="10">
        <v>46154</v>
      </c>
      <c r="BA12" s="10">
        <v>46154</v>
      </c>
      <c r="BB12" s="56"/>
      <c r="BC12" s="10">
        <v>46161</v>
      </c>
      <c r="BD12" s="10">
        <v>46161</v>
      </c>
      <c r="BE12" s="10"/>
      <c r="BF12" s="10">
        <v>46168</v>
      </c>
      <c r="BG12" s="10">
        <v>46168</v>
      </c>
      <c r="BH12" s="56"/>
      <c r="BI12" s="10">
        <v>46175</v>
      </c>
      <c r="BJ12" s="10">
        <v>46175</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46178</v>
      </c>
      <c r="CN12" s="10">
        <v>46178</v>
      </c>
      <c r="CO12" s="10">
        <f>CM12</f>
        <v>46178</v>
      </c>
      <c r="CP12" s="10">
        <v>46185</v>
      </c>
      <c r="CQ12" s="10">
        <f>IF(CO12="",WORKDAY(CN12,CQ11),WORKDAY(CO12,CQ11))</f>
        <v>46185</v>
      </c>
      <c r="CR12" s="10">
        <f>WORKDAY(CO12,CR11)</f>
        <v>46178</v>
      </c>
      <c r="CS12" s="77" t="s">
        <v>478</v>
      </c>
      <c r="CT12" s="10">
        <v>46346</v>
      </c>
      <c r="CU12" s="10">
        <f>IF(CR12="",WORKDAY(CQ12,CU11),WORKDAY(CR12,CU11))</f>
        <v>46346</v>
      </c>
      <c r="CV12" s="56">
        <f>CT12</f>
        <v>46346</v>
      </c>
      <c r="CW12" s="10">
        <v>46168</v>
      </c>
      <c r="CX12" s="10">
        <v>46168</v>
      </c>
      <c r="CY12" s="56"/>
      <c r="CZ12" s="10">
        <v>46168</v>
      </c>
      <c r="DA12" s="10">
        <v>46168</v>
      </c>
      <c r="DB12" s="56"/>
      <c r="DC12" s="45"/>
      <c r="DD12" s="45"/>
      <c r="DE12" s="45"/>
      <c r="DF12" s="10">
        <v>46374</v>
      </c>
      <c r="DG12" s="10">
        <f>IF($CV12="",IF($CU12&gt;$DA12,WORKDAY($CU12,DG11),WORKDAY($DA12,DG11)),IF($CV12&gt;$DB12,WORKDAY($CV12,DG11),WORKDAY($DB12,DG11)))</f>
        <v>46374</v>
      </c>
      <c r="DH12" s="56"/>
      <c r="DI12" s="46"/>
      <c r="DJ12" s="10">
        <v>46402</v>
      </c>
      <c r="DK12" s="10">
        <f>IF(DH12="",WORKDAY(DG12,DK11*$DI11),WORKDAY(DH12,DK11*$DI11))</f>
        <v>46402</v>
      </c>
      <c r="DL12" s="56"/>
      <c r="DM12" s="46"/>
      <c r="DN12" s="46"/>
      <c r="DO12" s="46"/>
      <c r="DP12" s="46"/>
      <c r="DQ12" s="46"/>
      <c r="DR12" s="46"/>
      <c r="DS12" s="46"/>
      <c r="DT12" s="46"/>
      <c r="DU12" s="46"/>
      <c r="DV12" s="46"/>
      <c r="DW12" s="46"/>
      <c r="DX12" s="46"/>
      <c r="DY12" s="46"/>
      <c r="DZ12" s="46"/>
      <c r="EA12" s="46"/>
      <c r="EB12" s="46"/>
      <c r="EC12" s="46"/>
      <c r="ED12" s="46"/>
      <c r="EE12" s="10">
        <v>46402</v>
      </c>
      <c r="EF12" s="10">
        <f>IF(DL12="",WORKDAY(DK12,EF11),WORKDAY(DL12,EF11))</f>
        <v>46402</v>
      </c>
      <c r="EG12" s="56"/>
      <c r="EH12" s="10">
        <f>IF(DN12="",WORKDAY(DM12,EH11),WORKDAY(DN12,EH11))</f>
        <v>41</v>
      </c>
      <c r="EI12" s="10">
        <f>IF(DO12="",WORKDAY(DN12,EI11),WORKDAY(DO12,EI11))</f>
        <v>41</v>
      </c>
      <c r="EJ12" s="56"/>
      <c r="EK12" s="27"/>
      <c r="EL12" s="27"/>
      <c r="EM12" s="27"/>
      <c r="EN12" s="27"/>
      <c r="EO12" s="28"/>
      <c r="EP12" s="28"/>
      <c r="EQ12" s="28"/>
      <c r="ER12" s="28"/>
      <c r="ES12" s="28"/>
      <c r="ET12" s="28"/>
      <c r="EU12" s="28"/>
      <c r="EV12" s="28"/>
      <c r="EW12" s="28"/>
      <c r="EX12" s="28"/>
      <c r="EY12" s="28"/>
      <c r="EZ12" s="10">
        <v>46409</v>
      </c>
      <c r="FA12" s="10">
        <f>IF(EG12="",WORKDAY(EF12,FA11),WORKDAY(EG12,FA11))</f>
        <v>46409</v>
      </c>
      <c r="FB12" s="56"/>
      <c r="FC12" s="28"/>
      <c r="FD12" s="28"/>
      <c r="FE12" s="28"/>
      <c r="FF12" s="28"/>
      <c r="FG12" s="28"/>
      <c r="FH12" s="28"/>
      <c r="FI12" s="10">
        <v>46430</v>
      </c>
      <c r="FJ12" s="10">
        <f>IF(FB12="",WORKDAY(FA12,FJ11),WORKDAY(FB12,FJ11))</f>
        <v>46430</v>
      </c>
      <c r="FK12" s="56"/>
      <c r="FL12" s="10">
        <v>46430</v>
      </c>
      <c r="FM12" s="10">
        <f>IF(FK12="",WORKDAY(FJ12,FM11),WORKDAY(FK12,FM11))</f>
        <v>46430</v>
      </c>
      <c r="FN12" s="56"/>
      <c r="FO12" s="10">
        <v>46486</v>
      </c>
      <c r="FP12" s="10">
        <f>WORKDAY(FM12,FP11)</f>
        <v>46486</v>
      </c>
      <c r="FQ12" s="56"/>
      <c r="FR12" s="77" t="str">
        <f>IF(NETWORKDAYS(FJ12,FO12)&gt;=30,"On-Track",IF(AND(NETWORKDAYS(FJ12,FO12)&lt;30,FJ12&lt;=FO12),"At Risk","Missed TCD"))</f>
        <v>On-Track</v>
      </c>
      <c r="FS12" s="110" t="s">
        <v>479</v>
      </c>
      <c r="FT12" s="57">
        <f>NETWORKDAYS(CP12,FI12)</f>
        <v>176</v>
      </c>
      <c r="FU12" s="57">
        <f>NETWORKDAYS(CQ12,FJ12)</f>
        <v>176</v>
      </c>
      <c r="FV12" s="57">
        <f>IF(BH12="",NETWORKDAYS(BG12,FJ12),IF(FK12="",NETWORKDAYS(BH12,FJ12),NETWORKDAYS(BH12,FK12)))</f>
        <v>189</v>
      </c>
      <c r="FW12" s="58" t="s">
        <v>467</v>
      </c>
    </row>
    <row r="13" spans="1:311" hidden="1" outlineLevel="1" x14ac:dyDescent="0.35">
      <c r="A13" s="23" t="s">
        <v>4</v>
      </c>
      <c r="B13" s="23">
        <v>107591</v>
      </c>
      <c r="C13" s="24" t="s">
        <v>481</v>
      </c>
      <c r="D13" s="95"/>
      <c r="E13" s="24"/>
      <c r="F13" s="25" t="s">
        <v>463</v>
      </c>
      <c r="G13" s="26"/>
      <c r="H13" s="26"/>
      <c r="I13" s="27"/>
      <c r="J13" s="27"/>
      <c r="K13" s="27"/>
      <c r="L13" s="27"/>
      <c r="M13" s="4">
        <v>27</v>
      </c>
      <c r="N13" s="4">
        <v>27</v>
      </c>
      <c r="O13" s="27"/>
      <c r="P13" s="4">
        <v>0</v>
      </c>
      <c r="Q13" s="4">
        <v>0</v>
      </c>
      <c r="R13" s="27"/>
      <c r="S13" s="27"/>
      <c r="T13" s="27"/>
      <c r="U13" s="27"/>
      <c r="V13" s="4">
        <v>30</v>
      </c>
      <c r="W13" s="4">
        <v>30</v>
      </c>
      <c r="X13" s="27"/>
      <c r="Y13" s="4">
        <v>70</v>
      </c>
      <c r="Z13" s="4">
        <v>70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30</v>
      </c>
      <c r="BA13" s="4">
        <v>30</v>
      </c>
      <c r="BB13" s="27"/>
      <c r="BC13" s="4">
        <v>5</v>
      </c>
      <c r="BD13" s="4">
        <v>5</v>
      </c>
      <c r="BE13" s="27"/>
      <c r="BF13" s="4">
        <v>5</v>
      </c>
      <c r="BG13" s="4">
        <v>5</v>
      </c>
      <c r="BH13" s="27"/>
      <c r="BI13" s="4">
        <v>5</v>
      </c>
      <c r="BJ13" s="4">
        <v>5</v>
      </c>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c r="CP13" s="4">
        <v>5</v>
      </c>
      <c r="CQ13" s="4">
        <v>5</v>
      </c>
      <c r="CR13" s="27"/>
      <c r="CS13" s="27"/>
      <c r="CT13" s="5">
        <v>120</v>
      </c>
      <c r="CU13" s="5">
        <v>120</v>
      </c>
      <c r="CV13" s="27"/>
      <c r="CW13" s="5">
        <v>10</v>
      </c>
      <c r="CX13" s="5">
        <v>10</v>
      </c>
      <c r="CY13" s="27"/>
      <c r="CZ13" s="5">
        <v>0</v>
      </c>
      <c r="DA13" s="5">
        <v>0</v>
      </c>
      <c r="DB13" s="27"/>
      <c r="DC13" s="31"/>
      <c r="DD13" s="31"/>
      <c r="DE13" s="31"/>
      <c r="DF13" s="4">
        <v>20</v>
      </c>
      <c r="DG13" s="4">
        <v>20</v>
      </c>
      <c r="DH13" s="27"/>
      <c r="DI13" s="89">
        <v>1</v>
      </c>
      <c r="DJ13" s="4">
        <v>20</v>
      </c>
      <c r="DK13" s="4">
        <v>20</v>
      </c>
      <c r="DL13" s="27"/>
      <c r="DM13" s="27"/>
      <c r="DN13" s="27"/>
      <c r="DO13" s="27"/>
      <c r="DP13" s="27"/>
      <c r="DQ13" s="27"/>
      <c r="DR13" s="27"/>
      <c r="DS13" s="27"/>
      <c r="DT13" s="27"/>
      <c r="DU13" s="27"/>
      <c r="DV13" s="27"/>
      <c r="DW13" s="27"/>
      <c r="DX13" s="27"/>
      <c r="DY13" s="27"/>
      <c r="DZ13" s="27"/>
      <c r="EA13" s="27"/>
      <c r="EB13" s="27"/>
      <c r="EC13" s="27"/>
      <c r="ED13" s="27"/>
      <c r="EE13" s="4">
        <v>0</v>
      </c>
      <c r="EF13" s="4">
        <v>0</v>
      </c>
      <c r="EG13" s="27"/>
      <c r="EH13" s="4">
        <v>30</v>
      </c>
      <c r="EI13" s="4">
        <v>30</v>
      </c>
      <c r="EJ13" s="27"/>
      <c r="EK13" s="27"/>
      <c r="EL13" s="27"/>
      <c r="EM13" s="27"/>
      <c r="EN13" s="27"/>
      <c r="EO13" s="27"/>
      <c r="EP13" s="27"/>
      <c r="EQ13" s="27"/>
      <c r="ER13" s="27"/>
      <c r="ES13" s="27"/>
      <c r="ET13" s="27"/>
      <c r="EU13" s="27"/>
      <c r="EV13" s="27"/>
      <c r="EW13" s="27"/>
      <c r="EX13" s="27"/>
      <c r="EY13" s="27"/>
      <c r="EZ13" s="4">
        <v>5</v>
      </c>
      <c r="FA13" s="4">
        <v>5</v>
      </c>
      <c r="FB13" s="27"/>
      <c r="FC13" s="27"/>
      <c r="FD13" s="27"/>
      <c r="FE13" s="27"/>
      <c r="FF13" s="27"/>
      <c r="FG13" s="27"/>
      <c r="FH13" s="27"/>
      <c r="FI13" s="4">
        <v>15</v>
      </c>
      <c r="FJ13" s="4">
        <v>15</v>
      </c>
      <c r="FK13" s="27"/>
      <c r="FL13" s="4">
        <v>0</v>
      </c>
      <c r="FM13" s="4">
        <v>0</v>
      </c>
      <c r="FN13" s="27"/>
      <c r="FO13" s="4">
        <v>40</v>
      </c>
      <c r="FP13" s="4">
        <v>40</v>
      </c>
      <c r="FQ13" s="27"/>
      <c r="FR13" s="27"/>
      <c r="FS13" s="109"/>
      <c r="FT13" s="54">
        <f>NETWORKDAYS($I14,FO14)</f>
        <v>391</v>
      </c>
      <c r="FU13" s="54">
        <f>NETWORKDAYS($I14,FP14)</f>
        <v>391</v>
      </c>
      <c r="FV13" s="54">
        <f>IF(FQ14="",NETWORKDAYS($I14,FP14),NETWORKDAYS($I14,FQ14))</f>
        <v>391</v>
      </c>
      <c r="FW13" s="55" t="s">
        <v>464</v>
      </c>
    </row>
    <row r="14" spans="1:311" collapsed="1" x14ac:dyDescent="0.35">
      <c r="A14" s="23" t="s">
        <v>4</v>
      </c>
      <c r="B14" s="23">
        <v>107591</v>
      </c>
      <c r="C14" s="24" t="s">
        <v>481</v>
      </c>
      <c r="D14" s="65"/>
      <c r="E14" s="23" t="str">
        <f>IF(D14="","Unknown",IF(D14&lt;=FM14+90,"Red",IF(AND(D14&gt;FM14+90,D14&lt;=FM14+180),"Yellow",IF(AND(D14&gt;FM14+180,D14&lt;=FM14+690),"Green","Covered"))))</f>
        <v>Unknown</v>
      </c>
      <c r="F14" s="25" t="s">
        <v>466</v>
      </c>
      <c r="G14" s="26"/>
      <c r="H14" s="26" t="str">
        <f>IF(CR14="","Pre-Execution","Execution")</f>
        <v>Execution</v>
      </c>
      <c r="I14" s="13">
        <v>45940</v>
      </c>
      <c r="J14" s="28"/>
      <c r="K14" s="28"/>
      <c r="L14" s="28"/>
      <c r="M14" s="10">
        <v>45979</v>
      </c>
      <c r="N14" s="10">
        <f>WORKDAY(I14,N13)</f>
        <v>45979</v>
      </c>
      <c r="O14" s="56">
        <f>M14</f>
        <v>45979</v>
      </c>
      <c r="P14" s="10">
        <v>45979</v>
      </c>
      <c r="Q14" s="10">
        <f>IF(O14="",WORKDAY(N14,Q13),WORKDAY(O14,Q13))</f>
        <v>45979</v>
      </c>
      <c r="R14" s="56">
        <f>P14</f>
        <v>45979</v>
      </c>
      <c r="S14" s="28"/>
      <c r="T14" s="28"/>
      <c r="U14" s="28"/>
      <c r="V14" s="10">
        <v>46021</v>
      </c>
      <c r="W14" s="10">
        <f>IF(R14="",WORKDAY(Q14,W13),WORKDAY(R14,W13))</f>
        <v>46021</v>
      </c>
      <c r="X14" s="56">
        <f>V14</f>
        <v>46021</v>
      </c>
      <c r="Y14" s="10">
        <v>46077</v>
      </c>
      <c r="Z14" s="10">
        <f>IF(R14="",WORKDAY(Q14,Z13),WORKDAY(R14,Z13))</f>
        <v>46077</v>
      </c>
      <c r="AA14" s="56">
        <f>Y14</f>
        <v>46077</v>
      </c>
      <c r="AB14" s="10">
        <v>45940</v>
      </c>
      <c r="AC14" s="10">
        <f>WORKDAY(I14,AC13)</f>
        <v>45940</v>
      </c>
      <c r="AD14" s="56">
        <f>AB14</f>
        <v>45940</v>
      </c>
      <c r="AE14" s="10">
        <v>46045</v>
      </c>
      <c r="AF14" s="10">
        <f>IF(AD14="",WORKDAY(AC14,AF13),WORKDAY(AD14,AF13))</f>
        <v>46045</v>
      </c>
      <c r="AG14" s="56">
        <f>AE14</f>
        <v>46045</v>
      </c>
      <c r="AH14" s="10">
        <v>46084</v>
      </c>
      <c r="AI14" s="10">
        <f>WORKDAY(IF(AA14="",IF(Z14&gt;AF14,Z14,AF14),IF(AA14&gt;AG14,AA14,AG14)),AI13)</f>
        <v>46084</v>
      </c>
      <c r="AJ14" s="56"/>
      <c r="AK14" s="10">
        <v>46112</v>
      </c>
      <c r="AL14" s="10">
        <f>IF(AJ14="",WORKDAY(AI14,AL13),WORKDAY(AJ14,AL13))</f>
        <v>46112</v>
      </c>
      <c r="AM14" s="10">
        <v>46112</v>
      </c>
      <c r="AN14" s="10">
        <v>46112</v>
      </c>
      <c r="AO14" s="10">
        <v>46112</v>
      </c>
      <c r="AP14" s="10">
        <v>46112</v>
      </c>
      <c r="AQ14" s="10">
        <v>46140</v>
      </c>
      <c r="AR14" s="10">
        <v>46140</v>
      </c>
      <c r="AS14" s="10"/>
      <c r="AT14" s="10">
        <v>46119</v>
      </c>
      <c r="AU14" s="10">
        <v>46119</v>
      </c>
      <c r="AV14" s="56"/>
      <c r="AW14" s="10">
        <v>46154</v>
      </c>
      <c r="AX14" s="10">
        <v>46154</v>
      </c>
      <c r="AY14" s="56"/>
      <c r="AZ14" s="10">
        <v>46154</v>
      </c>
      <c r="BA14" s="10">
        <v>46154</v>
      </c>
      <c r="BB14" s="56"/>
      <c r="BC14" s="10">
        <v>46161</v>
      </c>
      <c r="BD14" s="10">
        <v>46161</v>
      </c>
      <c r="BE14" s="10"/>
      <c r="BF14" s="10">
        <v>46168</v>
      </c>
      <c r="BG14" s="10">
        <v>46168</v>
      </c>
      <c r="BH14" s="56"/>
      <c r="BI14" s="10">
        <v>46175</v>
      </c>
      <c r="BJ14" s="10">
        <v>46175</v>
      </c>
      <c r="BK14" s="56"/>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46178</v>
      </c>
      <c r="CN14" s="10">
        <v>46178</v>
      </c>
      <c r="CO14" s="10">
        <f>CM14</f>
        <v>46178</v>
      </c>
      <c r="CP14" s="10">
        <v>46185</v>
      </c>
      <c r="CQ14" s="10">
        <f>IF(CO14="",WORKDAY(CN14,CQ13),WORKDAY(CO14,CQ13))</f>
        <v>46185</v>
      </c>
      <c r="CR14" s="10">
        <f>WORKDAY(CO14,CR13)</f>
        <v>46178</v>
      </c>
      <c r="CS14" s="77" t="s">
        <v>478</v>
      </c>
      <c r="CT14" s="10">
        <v>46346</v>
      </c>
      <c r="CU14" s="10">
        <f>IF(CR14="",WORKDAY(CQ14,CU13),WORKDAY(CR14,CU13))</f>
        <v>46346</v>
      </c>
      <c r="CV14" s="56">
        <f>CT14</f>
        <v>46346</v>
      </c>
      <c r="CW14" s="10">
        <v>46168</v>
      </c>
      <c r="CX14" s="10">
        <v>46168</v>
      </c>
      <c r="CY14" s="56"/>
      <c r="CZ14" s="10">
        <v>46168</v>
      </c>
      <c r="DA14" s="10">
        <v>46168</v>
      </c>
      <c r="DB14" s="56"/>
      <c r="DC14" s="45"/>
      <c r="DD14" s="45"/>
      <c r="DE14" s="45"/>
      <c r="DF14" s="10">
        <v>46374</v>
      </c>
      <c r="DG14" s="10">
        <f>IF($CV14="",IF($CU14&gt;$DA14,WORKDAY($CU14,DG13),WORKDAY($DA14,DG13)),IF($CV14&gt;$DB14,WORKDAY($CV14,DG13),WORKDAY($DB14,DG13)))</f>
        <v>46374</v>
      </c>
      <c r="DH14" s="56"/>
      <c r="DI14" s="46"/>
      <c r="DJ14" s="10">
        <v>46402</v>
      </c>
      <c r="DK14" s="10">
        <f>IF(DH14="",WORKDAY(DG14,DK13*$DI13),WORKDAY(DH14,DK13*$DI13))</f>
        <v>46402</v>
      </c>
      <c r="DL14" s="56"/>
      <c r="DM14" s="46"/>
      <c r="DN14" s="46"/>
      <c r="DO14" s="46"/>
      <c r="DP14" s="46"/>
      <c r="DQ14" s="46"/>
      <c r="DR14" s="46"/>
      <c r="DS14" s="46"/>
      <c r="DT14" s="46"/>
      <c r="DU14" s="46"/>
      <c r="DV14" s="46"/>
      <c r="DW14" s="46"/>
      <c r="DX14" s="46"/>
      <c r="DY14" s="46"/>
      <c r="DZ14" s="46"/>
      <c r="EA14" s="46"/>
      <c r="EB14" s="46"/>
      <c r="EC14" s="46"/>
      <c r="ED14" s="46"/>
      <c r="EE14" s="10">
        <v>46402</v>
      </c>
      <c r="EF14" s="10">
        <f>IF(DL14="",WORKDAY(DK14,EF13),WORKDAY(DL14,EF13))</f>
        <v>46402</v>
      </c>
      <c r="EG14" s="56"/>
      <c r="EH14" s="10">
        <f>IF(DN14="",WORKDAY(DM14,EH13),WORKDAY(DN14,EH13))</f>
        <v>41</v>
      </c>
      <c r="EI14" s="10">
        <f>IF(DO14="",WORKDAY(DN14,EI13),WORKDAY(DO14,EI13))</f>
        <v>41</v>
      </c>
      <c r="EJ14" s="56"/>
      <c r="EK14" s="27"/>
      <c r="EL14" s="27"/>
      <c r="EM14" s="27"/>
      <c r="EN14" s="27"/>
      <c r="EO14" s="28"/>
      <c r="EP14" s="28"/>
      <c r="EQ14" s="28"/>
      <c r="ER14" s="28"/>
      <c r="ES14" s="28"/>
      <c r="ET14" s="28"/>
      <c r="EU14" s="28"/>
      <c r="EV14" s="28"/>
      <c r="EW14" s="28"/>
      <c r="EX14" s="28"/>
      <c r="EY14" s="28"/>
      <c r="EZ14" s="10">
        <v>46409</v>
      </c>
      <c r="FA14" s="10">
        <f>IF(EG14="",WORKDAY(EF14,FA13),WORKDAY(EG14,FA13))</f>
        <v>46409</v>
      </c>
      <c r="FB14" s="56"/>
      <c r="FC14" s="28"/>
      <c r="FD14" s="28"/>
      <c r="FE14" s="28"/>
      <c r="FF14" s="28"/>
      <c r="FG14" s="28"/>
      <c r="FH14" s="28"/>
      <c r="FI14" s="10">
        <v>46430</v>
      </c>
      <c r="FJ14" s="10">
        <f>IF(FB14="",WORKDAY(FA14,FJ13),WORKDAY(FB14,FJ13))</f>
        <v>46430</v>
      </c>
      <c r="FK14" s="56"/>
      <c r="FL14" s="10">
        <v>46430</v>
      </c>
      <c r="FM14" s="10">
        <f>IF(FK14="",WORKDAY(FJ14,FM13),WORKDAY(FK14,FM13))</f>
        <v>46430</v>
      </c>
      <c r="FN14" s="56"/>
      <c r="FO14" s="10">
        <v>46486</v>
      </c>
      <c r="FP14" s="10">
        <f>WORKDAY(FM14,FP13)</f>
        <v>46486</v>
      </c>
      <c r="FQ14" s="56"/>
      <c r="FR14" s="77" t="str">
        <f>IF(NETWORKDAYS(FJ14,FO14)&gt;=30,"On-Track",IF(AND(NETWORKDAYS(FJ14,FO14)&lt;30,FJ14&lt;=FO14),"At Risk","Missed TCD"))</f>
        <v>On-Track</v>
      </c>
      <c r="FS14" s="110" t="s">
        <v>479</v>
      </c>
      <c r="FT14" s="57">
        <f>NETWORKDAYS(CP14,FI14)</f>
        <v>176</v>
      </c>
      <c r="FU14" s="57">
        <f>NETWORKDAYS(CQ14,FJ14)</f>
        <v>176</v>
      </c>
      <c r="FV14" s="57">
        <f>IF(BH14="",NETWORKDAYS(BG14,FJ14),IF(FK14="",NETWORKDAYS(BH14,FJ14),NETWORKDAYS(BH14,FK14)))</f>
        <v>189</v>
      </c>
      <c r="FW14" s="58" t="s">
        <v>467</v>
      </c>
    </row>
    <row r="15" spans="1:311" hidden="1" outlineLevel="1" x14ac:dyDescent="0.35">
      <c r="A15" s="23" t="s">
        <v>4</v>
      </c>
      <c r="B15" s="23">
        <v>107592</v>
      </c>
      <c r="C15" s="24" t="s">
        <v>482</v>
      </c>
      <c r="D15" s="95"/>
      <c r="E15" s="24"/>
      <c r="F15" s="25" t="s">
        <v>463</v>
      </c>
      <c r="G15" s="26"/>
      <c r="H15" s="26"/>
      <c r="I15" s="27"/>
      <c r="J15" s="27"/>
      <c r="K15" s="27"/>
      <c r="L15" s="27"/>
      <c r="M15" s="4">
        <v>27</v>
      </c>
      <c r="N15" s="4">
        <v>27</v>
      </c>
      <c r="O15" s="27"/>
      <c r="P15" s="4">
        <v>0</v>
      </c>
      <c r="Q15" s="4">
        <v>0</v>
      </c>
      <c r="R15" s="27"/>
      <c r="S15" s="27"/>
      <c r="T15" s="27"/>
      <c r="U15" s="27"/>
      <c r="V15" s="4">
        <v>30</v>
      </c>
      <c r="W15" s="4">
        <v>30</v>
      </c>
      <c r="X15" s="27"/>
      <c r="Y15" s="4">
        <v>70</v>
      </c>
      <c r="Z15" s="4">
        <v>70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4">
        <v>3</v>
      </c>
      <c r="CN15" s="4">
        <v>3</v>
      </c>
      <c r="CO15" s="27"/>
      <c r="CP15" s="4">
        <v>5</v>
      </c>
      <c r="CQ15" s="4">
        <v>5</v>
      </c>
      <c r="CR15" s="27"/>
      <c r="CS15" s="27"/>
      <c r="CT15" s="5">
        <v>120</v>
      </c>
      <c r="CU15" s="5">
        <v>120</v>
      </c>
      <c r="CV15" s="27"/>
      <c r="CW15" s="5">
        <v>10</v>
      </c>
      <c r="CX15" s="5">
        <v>10</v>
      </c>
      <c r="CY15" s="27"/>
      <c r="CZ15" s="5">
        <v>0</v>
      </c>
      <c r="DA15" s="5">
        <v>0</v>
      </c>
      <c r="DB15" s="27"/>
      <c r="DC15" s="31"/>
      <c r="DD15" s="31"/>
      <c r="DE15" s="31"/>
      <c r="DF15" s="4">
        <v>20</v>
      </c>
      <c r="DG15" s="4">
        <v>20</v>
      </c>
      <c r="DH15" s="27"/>
      <c r="DI15" s="89">
        <v>1</v>
      </c>
      <c r="DJ15" s="4">
        <v>20</v>
      </c>
      <c r="DK15" s="4">
        <v>20</v>
      </c>
      <c r="DL15" s="27"/>
      <c r="DM15" s="27"/>
      <c r="DN15" s="27"/>
      <c r="DO15" s="27"/>
      <c r="DP15" s="27"/>
      <c r="DQ15" s="27"/>
      <c r="DR15" s="27"/>
      <c r="DS15" s="27"/>
      <c r="DT15" s="27"/>
      <c r="DU15" s="27"/>
      <c r="DV15" s="27"/>
      <c r="DW15" s="27"/>
      <c r="DX15" s="27"/>
      <c r="DY15" s="27"/>
      <c r="DZ15" s="27"/>
      <c r="EA15" s="27"/>
      <c r="EB15" s="27"/>
      <c r="EC15" s="27"/>
      <c r="ED15" s="27"/>
      <c r="EE15" s="4">
        <v>0</v>
      </c>
      <c r="EF15" s="4">
        <v>0</v>
      </c>
      <c r="EG15" s="27"/>
      <c r="EH15" s="4">
        <v>30</v>
      </c>
      <c r="EI15" s="4">
        <v>30</v>
      </c>
      <c r="EJ15" s="27"/>
      <c r="EK15" s="27"/>
      <c r="EL15" s="27"/>
      <c r="EM15" s="27"/>
      <c r="EN15" s="27"/>
      <c r="EO15" s="27"/>
      <c r="EP15" s="27"/>
      <c r="EQ15" s="27"/>
      <c r="ER15" s="27"/>
      <c r="ES15" s="27"/>
      <c r="ET15" s="27"/>
      <c r="EU15" s="27"/>
      <c r="EV15" s="27"/>
      <c r="EW15" s="27"/>
      <c r="EX15" s="27"/>
      <c r="EY15" s="27"/>
      <c r="EZ15" s="4">
        <v>5</v>
      </c>
      <c r="FA15" s="4">
        <v>5</v>
      </c>
      <c r="FB15" s="27"/>
      <c r="FC15" s="27"/>
      <c r="FD15" s="27"/>
      <c r="FE15" s="27"/>
      <c r="FF15" s="27"/>
      <c r="FG15" s="27"/>
      <c r="FH15" s="27"/>
      <c r="FI15" s="4">
        <v>15</v>
      </c>
      <c r="FJ15" s="4">
        <v>15</v>
      </c>
      <c r="FK15" s="27"/>
      <c r="FL15" s="4">
        <v>0</v>
      </c>
      <c r="FM15" s="4">
        <v>0</v>
      </c>
      <c r="FN15" s="27"/>
      <c r="FO15" s="4">
        <v>40</v>
      </c>
      <c r="FP15" s="4">
        <v>40</v>
      </c>
      <c r="FQ15" s="27"/>
      <c r="FR15" s="27"/>
      <c r="FS15" s="109"/>
      <c r="FT15" s="54">
        <f>NETWORKDAYS($I16,FO16)</f>
        <v>391</v>
      </c>
      <c r="FU15" s="54">
        <f>NETWORKDAYS($I16,FP16)</f>
        <v>391</v>
      </c>
      <c r="FV15" s="54">
        <f>IF(FQ16="",NETWORKDAYS($I16,FP16),NETWORKDAYS($I16,FQ16))</f>
        <v>391</v>
      </c>
      <c r="FW15" s="55" t="s">
        <v>464</v>
      </c>
    </row>
    <row r="16" spans="1:311" collapsed="1" x14ac:dyDescent="0.35">
      <c r="A16" s="23" t="s">
        <v>4</v>
      </c>
      <c r="B16" s="23">
        <v>107592</v>
      </c>
      <c r="C16" s="24" t="s">
        <v>482</v>
      </c>
      <c r="D16" s="65"/>
      <c r="E16" s="23" t="str">
        <f>IF(D16="","Unknown",IF(D16&lt;=FM16+90,"Red",IF(AND(D16&gt;FM16+90,D16&lt;=FM16+180),"Yellow",IF(AND(D16&gt;FM16+180,D16&lt;=FM16+690),"Green","Covered"))))</f>
        <v>Unknown</v>
      </c>
      <c r="F16" s="25" t="s">
        <v>466</v>
      </c>
      <c r="G16" s="26"/>
      <c r="H16" s="26" t="str">
        <f>IF(CR16="","Pre-Execution","Execution")</f>
        <v>Execution</v>
      </c>
      <c r="I16" s="13">
        <v>45940</v>
      </c>
      <c r="J16" s="28"/>
      <c r="K16" s="28"/>
      <c r="L16" s="28"/>
      <c r="M16" s="10">
        <v>45979</v>
      </c>
      <c r="N16" s="10">
        <f>WORKDAY(I16,N15)</f>
        <v>45979</v>
      </c>
      <c r="O16" s="56">
        <f>M16</f>
        <v>45979</v>
      </c>
      <c r="P16" s="10">
        <v>45979</v>
      </c>
      <c r="Q16" s="10">
        <f>IF(O16="",WORKDAY(N16,Q15),WORKDAY(O16,Q15))</f>
        <v>45979</v>
      </c>
      <c r="R16" s="56">
        <f>P16</f>
        <v>45979</v>
      </c>
      <c r="S16" s="28"/>
      <c r="T16" s="28"/>
      <c r="U16" s="28"/>
      <c r="V16" s="10">
        <v>46021</v>
      </c>
      <c r="W16" s="10">
        <f>IF(R16="",WORKDAY(Q16,W15),WORKDAY(R16,W15))</f>
        <v>46021</v>
      </c>
      <c r="X16" s="56">
        <f>V16</f>
        <v>46021</v>
      </c>
      <c r="Y16" s="10">
        <v>46077</v>
      </c>
      <c r="Z16" s="10">
        <f>IF(R16="",WORKDAY(Q16,Z15),WORKDAY(R16,Z15))</f>
        <v>46077</v>
      </c>
      <c r="AA16" s="56">
        <f>Y16</f>
        <v>46077</v>
      </c>
      <c r="AB16" s="10">
        <v>45940</v>
      </c>
      <c r="AC16" s="10">
        <f>WORKDAY(I16,AC15)</f>
        <v>45940</v>
      </c>
      <c r="AD16" s="56">
        <f>AB16</f>
        <v>45940</v>
      </c>
      <c r="AE16" s="10">
        <v>46045</v>
      </c>
      <c r="AF16" s="10">
        <f>IF(AD16="",WORKDAY(AC16,AF15),WORKDAY(AD16,AF15))</f>
        <v>46045</v>
      </c>
      <c r="AG16" s="56">
        <f>AE16</f>
        <v>46045</v>
      </c>
      <c r="AH16" s="10">
        <v>46084</v>
      </c>
      <c r="AI16" s="10">
        <f>WORKDAY(IF(AA16="",IF(Z16&gt;AF16,Z16,AF16),IF(AA16&gt;AG16,AA16,AG16)),AI15)</f>
        <v>46084</v>
      </c>
      <c r="AJ16" s="56"/>
      <c r="AK16" s="10">
        <v>46112</v>
      </c>
      <c r="AL16" s="10">
        <f>IF(AJ16="",WORKDAY(AI16,AL15),WORKDAY(AJ16,AL15))</f>
        <v>46112</v>
      </c>
      <c r="AM16" s="10">
        <v>46112</v>
      </c>
      <c r="AN16" s="10">
        <v>46112</v>
      </c>
      <c r="AO16" s="10">
        <v>46112</v>
      </c>
      <c r="AP16" s="10">
        <v>46112</v>
      </c>
      <c r="AQ16" s="10">
        <v>46140</v>
      </c>
      <c r="AR16" s="10">
        <v>46140</v>
      </c>
      <c r="AS16" s="10"/>
      <c r="AT16" s="10">
        <v>46119</v>
      </c>
      <c r="AU16" s="10">
        <v>46119</v>
      </c>
      <c r="AV16" s="56"/>
      <c r="AW16" s="10">
        <v>46154</v>
      </c>
      <c r="AX16" s="10">
        <v>46154</v>
      </c>
      <c r="AY16" s="56"/>
      <c r="AZ16" s="10">
        <v>46154</v>
      </c>
      <c r="BA16" s="10">
        <v>46154</v>
      </c>
      <c r="BB16" s="56"/>
      <c r="BC16" s="10">
        <v>46161</v>
      </c>
      <c r="BD16" s="10">
        <v>46161</v>
      </c>
      <c r="BE16" s="10"/>
      <c r="BF16" s="10">
        <v>46168</v>
      </c>
      <c r="BG16" s="10">
        <v>46168</v>
      </c>
      <c r="BH16" s="56"/>
      <c r="BI16" s="10">
        <v>46175</v>
      </c>
      <c r="BJ16" s="10">
        <v>46175</v>
      </c>
      <c r="BK16" s="56"/>
      <c r="BL16" s="28"/>
      <c r="BM16" s="28"/>
      <c r="BN16" s="28"/>
      <c r="BO16" s="28"/>
      <c r="BP16" s="28"/>
      <c r="BQ16" s="28"/>
      <c r="BR16" s="28"/>
      <c r="BS16" s="28"/>
      <c r="BT16" s="28"/>
      <c r="BU16" s="28"/>
      <c r="BV16" s="28"/>
      <c r="BW16" s="28"/>
      <c r="BX16" s="46"/>
      <c r="BY16" s="28"/>
      <c r="BZ16" s="28"/>
      <c r="CA16" s="28"/>
      <c r="CB16" s="28"/>
      <c r="CC16" s="28"/>
      <c r="CD16" s="28"/>
      <c r="CE16" s="28"/>
      <c r="CF16" s="28"/>
      <c r="CG16" s="28"/>
      <c r="CH16" s="28"/>
      <c r="CI16" s="28"/>
      <c r="CJ16" s="28"/>
      <c r="CK16" s="28"/>
      <c r="CL16" s="28"/>
      <c r="CM16" s="10">
        <v>46178</v>
      </c>
      <c r="CN16" s="10">
        <v>46178</v>
      </c>
      <c r="CO16" s="10">
        <f>CM16</f>
        <v>46178</v>
      </c>
      <c r="CP16" s="10">
        <v>46185</v>
      </c>
      <c r="CQ16" s="10">
        <f>IF(CO16="",WORKDAY(CN16,CQ15),WORKDAY(CO16,CQ15))</f>
        <v>46185</v>
      </c>
      <c r="CR16" s="10">
        <f>WORKDAY(CO16,CR15)</f>
        <v>46178</v>
      </c>
      <c r="CS16" s="77" t="s">
        <v>478</v>
      </c>
      <c r="CT16" s="10">
        <v>46346</v>
      </c>
      <c r="CU16" s="10">
        <f>IF(CR16="",WORKDAY(CQ16,CU15),WORKDAY(CR16,CU15))</f>
        <v>46346</v>
      </c>
      <c r="CV16" s="56">
        <f>CT16</f>
        <v>46346</v>
      </c>
      <c r="CW16" s="10">
        <v>46168</v>
      </c>
      <c r="CX16" s="10">
        <v>46168</v>
      </c>
      <c r="CY16" s="56"/>
      <c r="CZ16" s="10">
        <v>46168</v>
      </c>
      <c r="DA16" s="10">
        <v>46168</v>
      </c>
      <c r="DB16" s="56"/>
      <c r="DC16" s="45"/>
      <c r="DD16" s="45"/>
      <c r="DE16" s="45"/>
      <c r="DF16" s="10">
        <v>46374</v>
      </c>
      <c r="DG16" s="10">
        <f>IF($CV16="",IF($CU16&gt;$DA16,WORKDAY($CU16,DG15),WORKDAY($DA16,DG15)),IF($CV16&gt;$DB16,WORKDAY($CV16,DG15),WORKDAY($DB16,DG15)))</f>
        <v>46374</v>
      </c>
      <c r="DH16" s="56"/>
      <c r="DI16" s="46"/>
      <c r="DJ16" s="10">
        <v>46402</v>
      </c>
      <c r="DK16" s="10">
        <f>IF(DH16="",WORKDAY(DG16,DK15*$DI15),WORKDAY(DH16,DK15*$DI15))</f>
        <v>46402</v>
      </c>
      <c r="DL16" s="56"/>
      <c r="DM16" s="46"/>
      <c r="DN16" s="46"/>
      <c r="DO16" s="46"/>
      <c r="DP16" s="46"/>
      <c r="DQ16" s="46"/>
      <c r="DR16" s="46"/>
      <c r="DS16" s="46"/>
      <c r="DT16" s="46"/>
      <c r="DU16" s="46"/>
      <c r="DV16" s="46"/>
      <c r="DW16" s="46"/>
      <c r="DX16" s="46"/>
      <c r="DY16" s="46"/>
      <c r="DZ16" s="46"/>
      <c r="EA16" s="46"/>
      <c r="EB16" s="46"/>
      <c r="EC16" s="46"/>
      <c r="ED16" s="46"/>
      <c r="EE16" s="10">
        <v>46402</v>
      </c>
      <c r="EF16" s="10">
        <f>IF(DL16="",WORKDAY(DK16,EF15),WORKDAY(DL16,EF15))</f>
        <v>46402</v>
      </c>
      <c r="EG16" s="56"/>
      <c r="EH16" s="10">
        <f>IF(DN16="",WORKDAY(DM16,EH15),WORKDAY(DN16,EH15))</f>
        <v>41</v>
      </c>
      <c r="EI16" s="10">
        <f>IF(DO16="",WORKDAY(DN16,EI15),WORKDAY(DO16,EI15))</f>
        <v>41</v>
      </c>
      <c r="EJ16" s="56"/>
      <c r="EK16" s="27"/>
      <c r="EL16" s="27"/>
      <c r="EM16" s="27"/>
      <c r="EN16" s="27"/>
      <c r="EO16" s="28"/>
      <c r="EP16" s="28"/>
      <c r="EQ16" s="28"/>
      <c r="ER16" s="28"/>
      <c r="ES16" s="28"/>
      <c r="ET16" s="28"/>
      <c r="EU16" s="28"/>
      <c r="EV16" s="28"/>
      <c r="EW16" s="28"/>
      <c r="EX16" s="28"/>
      <c r="EY16" s="28"/>
      <c r="EZ16" s="10">
        <v>46409</v>
      </c>
      <c r="FA16" s="10">
        <f>IF(EG16="",WORKDAY(EF16,FA15),WORKDAY(EG16,FA15))</f>
        <v>46409</v>
      </c>
      <c r="FB16" s="56"/>
      <c r="FC16" s="28"/>
      <c r="FD16" s="28"/>
      <c r="FE16" s="28"/>
      <c r="FF16" s="28"/>
      <c r="FG16" s="28"/>
      <c r="FH16" s="28"/>
      <c r="FI16" s="10">
        <v>46430</v>
      </c>
      <c r="FJ16" s="10">
        <f>IF(FB16="",WORKDAY(FA16,FJ15),WORKDAY(FB16,FJ15))</f>
        <v>46430</v>
      </c>
      <c r="FK16" s="56"/>
      <c r="FL16" s="10">
        <v>46430</v>
      </c>
      <c r="FM16" s="10">
        <f>IF(FK16="",WORKDAY(FJ16,FM15),WORKDAY(FK16,FM15))</f>
        <v>46430</v>
      </c>
      <c r="FN16" s="56"/>
      <c r="FO16" s="10">
        <v>46486</v>
      </c>
      <c r="FP16" s="10">
        <f>WORKDAY(FM16,FP15)</f>
        <v>46486</v>
      </c>
      <c r="FQ16" s="56"/>
      <c r="FR16" s="77" t="str">
        <f>IF(NETWORKDAYS(FJ16,FO16)&gt;=30,"On-Track",IF(AND(NETWORKDAYS(FJ16,FO16)&lt;30,FJ16&lt;=FO16),"At Risk","Missed TCD"))</f>
        <v>On-Track</v>
      </c>
      <c r="FS16" s="110" t="s">
        <v>479</v>
      </c>
      <c r="FT16" s="57">
        <f>NETWORKDAYS(CP16,FI16)</f>
        <v>176</v>
      </c>
      <c r="FU16" s="57">
        <f>NETWORKDAYS(CQ16,FJ16)</f>
        <v>176</v>
      </c>
      <c r="FV16" s="57">
        <f>IF(BH16="",NETWORKDAYS(BG16,FJ16),IF(FK16="",NETWORKDAYS(BH16,FJ16),NETWORKDAYS(BH16,FK16)))</f>
        <v>189</v>
      </c>
      <c r="FW16" s="58" t="s">
        <v>467</v>
      </c>
    </row>
    <row r="17" spans="1:179" hidden="1" outlineLevel="1" x14ac:dyDescent="0.35">
      <c r="A17" s="23" t="s">
        <v>4</v>
      </c>
      <c r="B17" s="23">
        <v>107593</v>
      </c>
      <c r="C17" s="24" t="s">
        <v>483</v>
      </c>
      <c r="D17" s="95"/>
      <c r="E17" s="24"/>
      <c r="F17" s="25" t="s">
        <v>463</v>
      </c>
      <c r="G17" s="26"/>
      <c r="H17" s="26"/>
      <c r="I17" s="27"/>
      <c r="J17" s="27"/>
      <c r="K17" s="27"/>
      <c r="L17" s="27"/>
      <c r="M17" s="4">
        <v>27</v>
      </c>
      <c r="N17" s="4">
        <v>27</v>
      </c>
      <c r="O17" s="27"/>
      <c r="P17" s="4">
        <v>0</v>
      </c>
      <c r="Q17" s="4">
        <v>0</v>
      </c>
      <c r="R17" s="27"/>
      <c r="S17" s="27"/>
      <c r="T17" s="27"/>
      <c r="U17" s="27"/>
      <c r="V17" s="4">
        <v>30</v>
      </c>
      <c r="W17" s="4">
        <v>30</v>
      </c>
      <c r="X17" s="27"/>
      <c r="Y17" s="4">
        <v>70</v>
      </c>
      <c r="Z17" s="4">
        <v>70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4">
        <v>3</v>
      </c>
      <c r="CN17" s="4">
        <v>3</v>
      </c>
      <c r="CO17" s="27"/>
      <c r="CP17" s="4">
        <v>5</v>
      </c>
      <c r="CQ17" s="4">
        <v>5</v>
      </c>
      <c r="CR17" s="27"/>
      <c r="CS17" s="27"/>
      <c r="CT17" s="5">
        <v>120</v>
      </c>
      <c r="CU17" s="5">
        <v>120</v>
      </c>
      <c r="CV17" s="27"/>
      <c r="CW17" s="5">
        <v>10</v>
      </c>
      <c r="CX17" s="5">
        <v>10</v>
      </c>
      <c r="CY17" s="27"/>
      <c r="CZ17" s="5">
        <v>0</v>
      </c>
      <c r="DA17" s="5">
        <v>0</v>
      </c>
      <c r="DB17" s="27"/>
      <c r="DC17" s="31"/>
      <c r="DD17" s="31"/>
      <c r="DE17" s="31"/>
      <c r="DF17" s="4">
        <v>20</v>
      </c>
      <c r="DG17" s="4">
        <v>20</v>
      </c>
      <c r="DH17" s="27"/>
      <c r="DI17" s="89">
        <v>1</v>
      </c>
      <c r="DJ17" s="4">
        <v>20</v>
      </c>
      <c r="DK17" s="4">
        <v>20</v>
      </c>
      <c r="DL17" s="27"/>
      <c r="DM17" s="27"/>
      <c r="DN17" s="27"/>
      <c r="DO17" s="27"/>
      <c r="DP17" s="27"/>
      <c r="DQ17" s="27"/>
      <c r="DR17" s="27"/>
      <c r="DS17" s="27"/>
      <c r="DT17" s="27"/>
      <c r="DU17" s="27"/>
      <c r="DV17" s="27"/>
      <c r="DW17" s="27"/>
      <c r="DX17" s="27"/>
      <c r="DY17" s="27"/>
      <c r="DZ17" s="27"/>
      <c r="EA17" s="27"/>
      <c r="EB17" s="27"/>
      <c r="EC17" s="27"/>
      <c r="ED17" s="27"/>
      <c r="EE17" s="4">
        <v>0</v>
      </c>
      <c r="EF17" s="4">
        <v>0</v>
      </c>
      <c r="EG17" s="27"/>
      <c r="EH17" s="4">
        <v>30</v>
      </c>
      <c r="EI17" s="4">
        <v>30</v>
      </c>
      <c r="EJ17" s="27"/>
      <c r="EK17" s="27"/>
      <c r="EL17" s="27"/>
      <c r="EM17" s="27"/>
      <c r="EN17" s="27"/>
      <c r="EO17" s="27"/>
      <c r="EP17" s="27"/>
      <c r="EQ17" s="27"/>
      <c r="ER17" s="27"/>
      <c r="ES17" s="27"/>
      <c r="ET17" s="27"/>
      <c r="EU17" s="27"/>
      <c r="EV17" s="27"/>
      <c r="EW17" s="27"/>
      <c r="EX17" s="27"/>
      <c r="EY17" s="27"/>
      <c r="EZ17" s="4">
        <v>5</v>
      </c>
      <c r="FA17" s="4">
        <v>5</v>
      </c>
      <c r="FB17" s="27"/>
      <c r="FC17" s="27"/>
      <c r="FD17" s="27"/>
      <c r="FE17" s="27"/>
      <c r="FF17" s="27"/>
      <c r="FG17" s="27"/>
      <c r="FH17" s="27"/>
      <c r="FI17" s="4">
        <v>15</v>
      </c>
      <c r="FJ17" s="4">
        <v>15</v>
      </c>
      <c r="FK17" s="27"/>
      <c r="FL17" s="4">
        <v>0</v>
      </c>
      <c r="FM17" s="4">
        <v>0</v>
      </c>
      <c r="FN17" s="27"/>
      <c r="FO17" s="4">
        <v>40</v>
      </c>
      <c r="FP17" s="4">
        <v>40</v>
      </c>
      <c r="FQ17" s="27"/>
      <c r="FR17" s="27"/>
      <c r="FS17" s="109"/>
      <c r="FT17" s="54">
        <f>NETWORKDAYS($I18,FO18)</f>
        <v>391</v>
      </c>
      <c r="FU17" s="54">
        <f>NETWORKDAYS($I18,FP18)</f>
        <v>391</v>
      </c>
      <c r="FV17" s="54">
        <f>IF(FQ18="",NETWORKDAYS($I18,FP18),NETWORKDAYS($I18,FQ18))</f>
        <v>391</v>
      </c>
      <c r="FW17" s="55" t="s">
        <v>464</v>
      </c>
    </row>
    <row r="18" spans="1:179" collapsed="1" x14ac:dyDescent="0.35">
      <c r="A18" s="23" t="s">
        <v>4</v>
      </c>
      <c r="B18" s="23">
        <v>107593</v>
      </c>
      <c r="C18" s="24" t="s">
        <v>483</v>
      </c>
      <c r="D18" s="65"/>
      <c r="E18" s="23" t="str">
        <f>IF(D18="","Unknown",IF(D18&lt;=FM18+90,"Red",IF(AND(D18&gt;FM18+90,D18&lt;=FM18+180),"Yellow",IF(AND(D18&gt;FM18+180,D18&lt;=FM18+690),"Green","Covered"))))</f>
        <v>Unknown</v>
      </c>
      <c r="F18" s="25" t="s">
        <v>466</v>
      </c>
      <c r="G18" s="26"/>
      <c r="H18" s="26" t="str">
        <f>IF(CR18="","Pre-Execution","Execution")</f>
        <v>Execution</v>
      </c>
      <c r="I18" s="13">
        <v>45940</v>
      </c>
      <c r="J18" s="28"/>
      <c r="K18" s="28"/>
      <c r="L18" s="28"/>
      <c r="M18" s="10">
        <v>45979</v>
      </c>
      <c r="N18" s="10">
        <f>WORKDAY(I18,N17)</f>
        <v>45979</v>
      </c>
      <c r="O18" s="56">
        <f>M18</f>
        <v>45979</v>
      </c>
      <c r="P18" s="10">
        <v>45979</v>
      </c>
      <c r="Q18" s="10">
        <f>IF(O18="",WORKDAY(N18,Q17),WORKDAY(O18,Q17))</f>
        <v>45979</v>
      </c>
      <c r="R18" s="56">
        <f>P18</f>
        <v>45979</v>
      </c>
      <c r="S18" s="28"/>
      <c r="T18" s="28"/>
      <c r="U18" s="28"/>
      <c r="V18" s="10">
        <v>46021</v>
      </c>
      <c r="W18" s="10">
        <f>IF(R18="",WORKDAY(Q18,W17),WORKDAY(R18,W17))</f>
        <v>46021</v>
      </c>
      <c r="X18" s="56">
        <f>V18</f>
        <v>46021</v>
      </c>
      <c r="Y18" s="10">
        <v>46077</v>
      </c>
      <c r="Z18" s="10">
        <f>IF(R18="",WORKDAY(Q18,Z17),WORKDAY(R18,Z17))</f>
        <v>46077</v>
      </c>
      <c r="AA18" s="56">
        <f>Y18</f>
        <v>46077</v>
      </c>
      <c r="AB18" s="10">
        <v>45940</v>
      </c>
      <c r="AC18" s="10">
        <f>WORKDAY(I18,AC17)</f>
        <v>45940</v>
      </c>
      <c r="AD18" s="56">
        <f>AB18</f>
        <v>45940</v>
      </c>
      <c r="AE18" s="10">
        <v>46045</v>
      </c>
      <c r="AF18" s="10">
        <f>IF(AD18="",WORKDAY(AC18,AF17),WORKDAY(AD18,AF17))</f>
        <v>46045</v>
      </c>
      <c r="AG18" s="56">
        <f>AE18</f>
        <v>46045</v>
      </c>
      <c r="AH18" s="10">
        <v>46084</v>
      </c>
      <c r="AI18" s="10">
        <f>WORKDAY(IF(AA18="",IF(Z18&gt;AF18,Z18,AF18),IF(AA18&gt;AG18,AA18,AG18)),AI17)</f>
        <v>46084</v>
      </c>
      <c r="AJ18" s="56"/>
      <c r="AK18" s="10">
        <v>46112</v>
      </c>
      <c r="AL18" s="10">
        <f>IF(AJ18="",WORKDAY(AI18,AL17),WORKDAY(AJ18,AL17))</f>
        <v>46112</v>
      </c>
      <c r="AM18" s="10">
        <v>46112</v>
      </c>
      <c r="AN18" s="10">
        <v>46112</v>
      </c>
      <c r="AO18" s="10">
        <v>46112</v>
      </c>
      <c r="AP18" s="10">
        <v>46112</v>
      </c>
      <c r="AQ18" s="10">
        <v>46140</v>
      </c>
      <c r="AR18" s="10">
        <v>46140</v>
      </c>
      <c r="AS18" s="10"/>
      <c r="AT18" s="10">
        <v>46119</v>
      </c>
      <c r="AU18" s="10">
        <v>46119</v>
      </c>
      <c r="AV18" s="56"/>
      <c r="AW18" s="10">
        <v>46154</v>
      </c>
      <c r="AX18" s="10">
        <v>46154</v>
      </c>
      <c r="AY18" s="56"/>
      <c r="AZ18" s="10">
        <v>46154</v>
      </c>
      <c r="BA18" s="10">
        <v>46154</v>
      </c>
      <c r="BB18" s="56"/>
      <c r="BC18" s="10">
        <v>46161</v>
      </c>
      <c r="BD18" s="10">
        <v>46161</v>
      </c>
      <c r="BE18" s="10"/>
      <c r="BF18" s="10">
        <v>46168</v>
      </c>
      <c r="BG18" s="10">
        <v>46168</v>
      </c>
      <c r="BH18" s="56"/>
      <c r="BI18" s="10">
        <v>46175</v>
      </c>
      <c r="BJ18" s="10">
        <v>46175</v>
      </c>
      <c r="BK18" s="56"/>
      <c r="BL18" s="28"/>
      <c r="BM18" s="28"/>
      <c r="BN18" s="28"/>
      <c r="BO18" s="28"/>
      <c r="BP18" s="28"/>
      <c r="BQ18" s="28"/>
      <c r="BR18" s="28"/>
      <c r="BS18" s="28"/>
      <c r="BT18" s="28"/>
      <c r="BU18" s="28"/>
      <c r="BV18" s="28"/>
      <c r="BW18" s="28"/>
      <c r="BX18" s="46"/>
      <c r="BY18" s="28"/>
      <c r="BZ18" s="28"/>
      <c r="CA18" s="28"/>
      <c r="CB18" s="28"/>
      <c r="CC18" s="28"/>
      <c r="CD18" s="28"/>
      <c r="CE18" s="28"/>
      <c r="CF18" s="28"/>
      <c r="CG18" s="28"/>
      <c r="CH18" s="28"/>
      <c r="CI18" s="28"/>
      <c r="CJ18" s="28"/>
      <c r="CK18" s="28"/>
      <c r="CL18" s="28"/>
      <c r="CM18" s="10">
        <v>46178</v>
      </c>
      <c r="CN18" s="10">
        <v>46178</v>
      </c>
      <c r="CO18" s="10">
        <f>CM18</f>
        <v>46178</v>
      </c>
      <c r="CP18" s="10">
        <v>46185</v>
      </c>
      <c r="CQ18" s="10">
        <f>IF(CO18="",WORKDAY(CN18,CQ17),WORKDAY(CO18,CQ17))</f>
        <v>46185</v>
      </c>
      <c r="CR18" s="10">
        <f>WORKDAY(CO18,CR17)</f>
        <v>46178</v>
      </c>
      <c r="CS18" s="77" t="s">
        <v>478</v>
      </c>
      <c r="CT18" s="10">
        <v>46346</v>
      </c>
      <c r="CU18" s="10">
        <f>IF(CR18="",WORKDAY(CQ18,CU17),WORKDAY(CR18,CU17))</f>
        <v>46346</v>
      </c>
      <c r="CV18" s="56">
        <f>CT18</f>
        <v>46346</v>
      </c>
      <c r="CW18" s="10">
        <v>46168</v>
      </c>
      <c r="CX18" s="10">
        <v>46168</v>
      </c>
      <c r="CY18" s="56"/>
      <c r="CZ18" s="10">
        <v>46168</v>
      </c>
      <c r="DA18" s="10">
        <v>46168</v>
      </c>
      <c r="DB18" s="56"/>
      <c r="DC18" s="45"/>
      <c r="DD18" s="45"/>
      <c r="DE18" s="45"/>
      <c r="DF18" s="10">
        <v>46374</v>
      </c>
      <c r="DG18" s="10">
        <f>IF($CV18="",IF($CU18&gt;$DA18,WORKDAY($CU18,DG17),WORKDAY($DA18,DG17)),IF($CV18&gt;$DB18,WORKDAY($CV18,DG17),WORKDAY($DB18,DG17)))</f>
        <v>46374</v>
      </c>
      <c r="DH18" s="56"/>
      <c r="DI18" s="46"/>
      <c r="DJ18" s="10">
        <v>46402</v>
      </c>
      <c r="DK18" s="10">
        <f>IF(DH18="",WORKDAY(DG18,DK17*$DI17),WORKDAY(DH18,DK17*$DI17))</f>
        <v>46402</v>
      </c>
      <c r="DL18" s="56"/>
      <c r="DM18" s="46"/>
      <c r="DN18" s="46"/>
      <c r="DO18" s="46"/>
      <c r="DP18" s="46"/>
      <c r="DQ18" s="46"/>
      <c r="DR18" s="46"/>
      <c r="DS18" s="46"/>
      <c r="DT18" s="46"/>
      <c r="DU18" s="46"/>
      <c r="DV18" s="46"/>
      <c r="DW18" s="46"/>
      <c r="DX18" s="46"/>
      <c r="DY18" s="46"/>
      <c r="DZ18" s="46"/>
      <c r="EA18" s="46"/>
      <c r="EB18" s="46"/>
      <c r="EC18" s="46"/>
      <c r="ED18" s="46"/>
      <c r="EE18" s="10">
        <v>46402</v>
      </c>
      <c r="EF18" s="10">
        <f>IF(DL18="",WORKDAY(DK18,EF17),WORKDAY(DL18,EF17))</f>
        <v>46402</v>
      </c>
      <c r="EG18" s="56"/>
      <c r="EH18" s="10">
        <f>IF(DN18="",WORKDAY(DM18,EH17),WORKDAY(DN18,EH17))</f>
        <v>41</v>
      </c>
      <c r="EI18" s="10">
        <f>IF(DO18="",WORKDAY(DN18,EI17),WORKDAY(DO18,EI17))</f>
        <v>41</v>
      </c>
      <c r="EJ18" s="56"/>
      <c r="EK18" s="27"/>
      <c r="EL18" s="27"/>
      <c r="EM18" s="27"/>
      <c r="EN18" s="27"/>
      <c r="EO18" s="28"/>
      <c r="EP18" s="28"/>
      <c r="EQ18" s="28"/>
      <c r="ER18" s="28"/>
      <c r="ES18" s="28"/>
      <c r="ET18" s="28"/>
      <c r="EU18" s="28"/>
      <c r="EV18" s="28"/>
      <c r="EW18" s="28"/>
      <c r="EX18" s="28"/>
      <c r="EY18" s="28"/>
      <c r="EZ18" s="10">
        <v>46409</v>
      </c>
      <c r="FA18" s="10">
        <f>IF(EG18="",WORKDAY(EF18,FA17),WORKDAY(EG18,FA17))</f>
        <v>46409</v>
      </c>
      <c r="FB18" s="56"/>
      <c r="FC18" s="28"/>
      <c r="FD18" s="28"/>
      <c r="FE18" s="28"/>
      <c r="FF18" s="28"/>
      <c r="FG18" s="28"/>
      <c r="FH18" s="28"/>
      <c r="FI18" s="10">
        <v>46430</v>
      </c>
      <c r="FJ18" s="10">
        <f>IF(FB18="",WORKDAY(FA18,FJ17),WORKDAY(FB18,FJ17))</f>
        <v>46430</v>
      </c>
      <c r="FK18" s="56"/>
      <c r="FL18" s="10">
        <v>46430</v>
      </c>
      <c r="FM18" s="10">
        <f>IF(FK18="",WORKDAY(FJ18,FM17),WORKDAY(FK18,FM17))</f>
        <v>46430</v>
      </c>
      <c r="FN18" s="56"/>
      <c r="FO18" s="10">
        <v>46486</v>
      </c>
      <c r="FP18" s="10">
        <f>WORKDAY(FM18,FP17)</f>
        <v>46486</v>
      </c>
      <c r="FQ18" s="56"/>
      <c r="FR18" s="77" t="str">
        <f>IF(NETWORKDAYS(FJ18,FO18)&gt;=30,"On-Track",IF(AND(NETWORKDAYS(FJ18,FO18)&lt;30,FJ18&lt;=FO18),"At Risk","Missed TCD"))</f>
        <v>On-Track</v>
      </c>
      <c r="FS18" s="110" t="s">
        <v>479</v>
      </c>
      <c r="FT18" s="57">
        <f>NETWORKDAYS(CP18,FI18)</f>
        <v>176</v>
      </c>
      <c r="FU18" s="57">
        <f>NETWORKDAYS(CQ18,FJ18)</f>
        <v>176</v>
      </c>
      <c r="FV18" s="57">
        <f>IF(BH18="",NETWORKDAYS(BG18,FJ18),IF(FK18="",NETWORKDAYS(BH18,FJ18),NETWORKDAYS(BH18,FK18)))</f>
        <v>189</v>
      </c>
      <c r="FW18" s="58" t="s">
        <v>467</v>
      </c>
    </row>
    <row r="19" spans="1:179" hidden="1" outlineLevel="1" x14ac:dyDescent="0.35">
      <c r="A19" s="23" t="s">
        <v>4</v>
      </c>
      <c r="B19" s="23">
        <v>107596</v>
      </c>
      <c r="C19" s="24" t="s">
        <v>484</v>
      </c>
      <c r="D19" s="95"/>
      <c r="E19" s="24"/>
      <c r="F19" s="25" t="s">
        <v>463</v>
      </c>
      <c r="G19" s="26"/>
      <c r="H19" s="26"/>
      <c r="I19" s="27"/>
      <c r="J19" s="27"/>
      <c r="K19" s="27"/>
      <c r="L19" s="27"/>
      <c r="M19" s="4">
        <v>27</v>
      </c>
      <c r="N19" s="4">
        <v>27</v>
      </c>
      <c r="O19" s="27"/>
      <c r="P19" s="4">
        <v>0</v>
      </c>
      <c r="Q19" s="4">
        <v>0</v>
      </c>
      <c r="R19" s="27"/>
      <c r="S19" s="27"/>
      <c r="T19" s="27"/>
      <c r="U19" s="27"/>
      <c r="V19" s="4">
        <v>30</v>
      </c>
      <c r="W19" s="4">
        <v>30</v>
      </c>
      <c r="X19" s="27"/>
      <c r="Y19" s="4">
        <v>70</v>
      </c>
      <c r="Z19" s="4">
        <v>70</v>
      </c>
      <c r="AA19" s="27"/>
      <c r="AB19" s="4">
        <v>0</v>
      </c>
      <c r="AC19" s="4">
        <v>0</v>
      </c>
      <c r="AD19" s="27"/>
      <c r="AE19" s="4">
        <v>75</v>
      </c>
      <c r="AF19" s="4">
        <v>75</v>
      </c>
      <c r="AG19" s="27"/>
      <c r="AH19" s="4">
        <v>5</v>
      </c>
      <c r="AI19" s="4">
        <v>5</v>
      </c>
      <c r="AJ19" s="27"/>
      <c r="AK19" s="4">
        <v>20</v>
      </c>
      <c r="AL19" s="4">
        <v>20</v>
      </c>
      <c r="AM19" s="27"/>
      <c r="AN19" s="4">
        <v>0</v>
      </c>
      <c r="AO19" s="4">
        <v>0</v>
      </c>
      <c r="AP19" s="27"/>
      <c r="AQ19" s="4">
        <v>20</v>
      </c>
      <c r="AR19" s="4">
        <v>20</v>
      </c>
      <c r="AS19" s="27"/>
      <c r="AT19" s="4">
        <v>5</v>
      </c>
      <c r="AU19" s="4">
        <v>5</v>
      </c>
      <c r="AV19" s="27"/>
      <c r="AW19" s="4">
        <v>10</v>
      </c>
      <c r="AX19" s="4">
        <v>10</v>
      </c>
      <c r="AY19" s="27"/>
      <c r="AZ19" s="4">
        <v>30</v>
      </c>
      <c r="BA19" s="4">
        <v>30</v>
      </c>
      <c r="BB19" s="27"/>
      <c r="BC19" s="4">
        <v>5</v>
      </c>
      <c r="BD19" s="4">
        <v>5</v>
      </c>
      <c r="BE19" s="27"/>
      <c r="BF19" s="4">
        <v>5</v>
      </c>
      <c r="BG19" s="4">
        <v>5</v>
      </c>
      <c r="BH19" s="27"/>
      <c r="BI19" s="4">
        <v>5</v>
      </c>
      <c r="BJ19" s="4">
        <v>5</v>
      </c>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4">
        <v>3</v>
      </c>
      <c r="CN19" s="4">
        <v>3</v>
      </c>
      <c r="CO19" s="27"/>
      <c r="CP19" s="4">
        <v>5</v>
      </c>
      <c r="CQ19" s="4">
        <v>5</v>
      </c>
      <c r="CR19" s="27"/>
      <c r="CS19" s="27"/>
      <c r="CT19" s="5">
        <v>120</v>
      </c>
      <c r="CU19" s="5">
        <v>120</v>
      </c>
      <c r="CV19" s="27"/>
      <c r="CW19" s="5">
        <v>10</v>
      </c>
      <c r="CX19" s="5">
        <v>10</v>
      </c>
      <c r="CY19" s="27"/>
      <c r="CZ19" s="5">
        <v>0</v>
      </c>
      <c r="DA19" s="5">
        <v>0</v>
      </c>
      <c r="DB19" s="27"/>
      <c r="DC19" s="31"/>
      <c r="DD19" s="31"/>
      <c r="DE19" s="31"/>
      <c r="DF19" s="4">
        <v>20</v>
      </c>
      <c r="DG19" s="4">
        <v>20</v>
      </c>
      <c r="DH19" s="27"/>
      <c r="DI19" s="89">
        <v>1</v>
      </c>
      <c r="DJ19" s="4">
        <v>20</v>
      </c>
      <c r="DK19" s="4">
        <v>20</v>
      </c>
      <c r="DL19" s="27"/>
      <c r="DM19" s="27"/>
      <c r="DN19" s="27"/>
      <c r="DO19" s="27"/>
      <c r="DP19" s="27"/>
      <c r="DQ19" s="27"/>
      <c r="DR19" s="27"/>
      <c r="DS19" s="27"/>
      <c r="DT19" s="27"/>
      <c r="DU19" s="27"/>
      <c r="DV19" s="27"/>
      <c r="DW19" s="27"/>
      <c r="DX19" s="27"/>
      <c r="DY19" s="27"/>
      <c r="DZ19" s="27"/>
      <c r="EA19" s="27"/>
      <c r="EB19" s="27"/>
      <c r="EC19" s="27"/>
      <c r="ED19" s="27"/>
      <c r="EE19" s="4">
        <v>0</v>
      </c>
      <c r="EF19" s="4">
        <v>0</v>
      </c>
      <c r="EG19" s="27"/>
      <c r="EH19" s="4">
        <v>30</v>
      </c>
      <c r="EI19" s="4">
        <v>30</v>
      </c>
      <c r="EJ19" s="27"/>
      <c r="EK19" s="27"/>
      <c r="EL19" s="27"/>
      <c r="EM19" s="27"/>
      <c r="EN19" s="27"/>
      <c r="EO19" s="27"/>
      <c r="EP19" s="27"/>
      <c r="EQ19" s="27"/>
      <c r="ER19" s="27"/>
      <c r="ES19" s="27"/>
      <c r="ET19" s="27"/>
      <c r="EU19" s="27"/>
      <c r="EV19" s="27"/>
      <c r="EW19" s="27"/>
      <c r="EX19" s="27"/>
      <c r="EY19" s="27"/>
      <c r="EZ19" s="4">
        <v>5</v>
      </c>
      <c r="FA19" s="4">
        <v>5</v>
      </c>
      <c r="FB19" s="27"/>
      <c r="FC19" s="27"/>
      <c r="FD19" s="27"/>
      <c r="FE19" s="27"/>
      <c r="FF19" s="27"/>
      <c r="FG19" s="27"/>
      <c r="FH19" s="27"/>
      <c r="FI19" s="4">
        <v>15</v>
      </c>
      <c r="FJ19" s="4">
        <v>15</v>
      </c>
      <c r="FK19" s="27"/>
      <c r="FL19" s="4">
        <v>0</v>
      </c>
      <c r="FM19" s="4">
        <v>0</v>
      </c>
      <c r="FN19" s="27"/>
      <c r="FO19" s="4">
        <v>40</v>
      </c>
      <c r="FP19" s="4">
        <v>40</v>
      </c>
      <c r="FQ19" s="27"/>
      <c r="FR19" s="27"/>
      <c r="FS19" s="109"/>
      <c r="FT19" s="54">
        <f>NETWORKDAYS($I20,FO20)</f>
        <v>391</v>
      </c>
      <c r="FU19" s="54">
        <f>NETWORKDAYS($I20,FP20)</f>
        <v>391</v>
      </c>
      <c r="FV19" s="54">
        <f>IF(FQ20="",NETWORKDAYS($I20,FP20),NETWORKDAYS($I20,FQ20))</f>
        <v>391</v>
      </c>
      <c r="FW19" s="55" t="s">
        <v>464</v>
      </c>
    </row>
    <row r="20" spans="1:179" collapsed="1" x14ac:dyDescent="0.35">
      <c r="A20" s="23" t="s">
        <v>4</v>
      </c>
      <c r="B20" s="23">
        <v>107596</v>
      </c>
      <c r="C20" s="24" t="s">
        <v>484</v>
      </c>
      <c r="D20" s="65"/>
      <c r="E20" s="23" t="str">
        <f>IF(D20="","Unknown",IF(D20&lt;=FM20+90,"Red",IF(AND(D20&gt;FM20+90,D20&lt;=FM20+180),"Yellow",IF(AND(D20&gt;FM20+180,D20&lt;=FM20+690),"Green","Covered"))))</f>
        <v>Unknown</v>
      </c>
      <c r="F20" s="25" t="s">
        <v>466</v>
      </c>
      <c r="G20" s="26"/>
      <c r="H20" s="26" t="str">
        <f>IF(CR20="","Pre-Execution","Execution")</f>
        <v>Execution</v>
      </c>
      <c r="I20" s="13">
        <v>45940</v>
      </c>
      <c r="J20" s="28"/>
      <c r="K20" s="28"/>
      <c r="L20" s="28"/>
      <c r="M20" s="10">
        <v>45979</v>
      </c>
      <c r="N20" s="10">
        <f>WORKDAY(I20,N19)</f>
        <v>45979</v>
      </c>
      <c r="O20" s="56">
        <f>M20</f>
        <v>45979</v>
      </c>
      <c r="P20" s="10">
        <v>45979</v>
      </c>
      <c r="Q20" s="10">
        <f>IF(O20="",WORKDAY(N20,Q19),WORKDAY(O20,Q19))</f>
        <v>45979</v>
      </c>
      <c r="R20" s="56">
        <f>P20</f>
        <v>45979</v>
      </c>
      <c r="S20" s="28"/>
      <c r="T20" s="28"/>
      <c r="U20" s="28"/>
      <c r="V20" s="10">
        <v>46021</v>
      </c>
      <c r="W20" s="10">
        <f>IF(R20="",WORKDAY(Q20,W19),WORKDAY(R20,W19))</f>
        <v>46021</v>
      </c>
      <c r="X20" s="56">
        <f>V20</f>
        <v>46021</v>
      </c>
      <c r="Y20" s="10">
        <v>46077</v>
      </c>
      <c r="Z20" s="10">
        <f>IF(R20="",WORKDAY(Q20,Z19),WORKDAY(R20,Z19))</f>
        <v>46077</v>
      </c>
      <c r="AA20" s="56">
        <f>Y20</f>
        <v>46077</v>
      </c>
      <c r="AB20" s="10">
        <v>45940</v>
      </c>
      <c r="AC20" s="10">
        <f>WORKDAY(I20,AC19)</f>
        <v>45940</v>
      </c>
      <c r="AD20" s="56">
        <f>AB20</f>
        <v>45940</v>
      </c>
      <c r="AE20" s="10">
        <v>46045</v>
      </c>
      <c r="AF20" s="10">
        <f>IF(AD20="",WORKDAY(AC20,AF19),WORKDAY(AD20,AF19))</f>
        <v>46045</v>
      </c>
      <c r="AG20" s="56">
        <f>AE20</f>
        <v>46045</v>
      </c>
      <c r="AH20" s="10">
        <v>46084</v>
      </c>
      <c r="AI20" s="10">
        <f>WORKDAY(IF(AA20="",IF(Z20&gt;AF20,Z20,AF20),IF(AA20&gt;AG20,AA20,AG20)),AI19)</f>
        <v>46084</v>
      </c>
      <c r="AJ20" s="56"/>
      <c r="AK20" s="10">
        <v>46112</v>
      </c>
      <c r="AL20" s="10">
        <f>IF(AJ20="",WORKDAY(AI20,AL19),WORKDAY(AJ20,AL19))</f>
        <v>46112</v>
      </c>
      <c r="AM20" s="10">
        <v>46112</v>
      </c>
      <c r="AN20" s="10">
        <v>46112</v>
      </c>
      <c r="AO20" s="10">
        <v>46112</v>
      </c>
      <c r="AP20" s="10">
        <v>46112</v>
      </c>
      <c r="AQ20" s="10">
        <v>46140</v>
      </c>
      <c r="AR20" s="10">
        <v>46140</v>
      </c>
      <c r="AS20" s="10"/>
      <c r="AT20" s="10">
        <v>46119</v>
      </c>
      <c r="AU20" s="10">
        <v>46119</v>
      </c>
      <c r="AV20" s="56"/>
      <c r="AW20" s="10">
        <v>46154</v>
      </c>
      <c r="AX20" s="10">
        <v>46154</v>
      </c>
      <c r="AY20" s="56"/>
      <c r="AZ20" s="10">
        <v>46154</v>
      </c>
      <c r="BA20" s="10">
        <v>46154</v>
      </c>
      <c r="BB20" s="56"/>
      <c r="BC20" s="10">
        <v>46161</v>
      </c>
      <c r="BD20" s="10">
        <v>46161</v>
      </c>
      <c r="BE20" s="10"/>
      <c r="BF20" s="10">
        <v>46168</v>
      </c>
      <c r="BG20" s="10">
        <v>46168</v>
      </c>
      <c r="BH20" s="56"/>
      <c r="BI20" s="10">
        <v>46175</v>
      </c>
      <c r="BJ20" s="10">
        <v>46175</v>
      </c>
      <c r="BK20" s="56"/>
      <c r="BL20" s="28"/>
      <c r="BM20" s="28"/>
      <c r="BN20" s="28"/>
      <c r="BO20" s="28"/>
      <c r="BP20" s="28"/>
      <c r="BQ20" s="28"/>
      <c r="BR20" s="28"/>
      <c r="BS20" s="28"/>
      <c r="BT20" s="28"/>
      <c r="BU20" s="28"/>
      <c r="BV20" s="28"/>
      <c r="BW20" s="28"/>
      <c r="BX20" s="46"/>
      <c r="BY20" s="28"/>
      <c r="BZ20" s="28"/>
      <c r="CA20" s="28"/>
      <c r="CB20" s="28"/>
      <c r="CC20" s="28"/>
      <c r="CD20" s="28"/>
      <c r="CE20" s="28"/>
      <c r="CF20" s="28"/>
      <c r="CG20" s="28"/>
      <c r="CH20" s="28"/>
      <c r="CI20" s="28"/>
      <c r="CJ20" s="28"/>
      <c r="CK20" s="28"/>
      <c r="CL20" s="28"/>
      <c r="CM20" s="10">
        <v>46178</v>
      </c>
      <c r="CN20" s="10">
        <v>46178</v>
      </c>
      <c r="CO20" s="10">
        <f>CM20</f>
        <v>46178</v>
      </c>
      <c r="CP20" s="10">
        <v>46185</v>
      </c>
      <c r="CQ20" s="10">
        <f>IF(CO20="",WORKDAY(CN20,CQ19),WORKDAY(CO20,CQ19))</f>
        <v>46185</v>
      </c>
      <c r="CR20" s="10">
        <f>WORKDAY(CO20,CR19)</f>
        <v>46178</v>
      </c>
      <c r="CS20" s="77" t="s">
        <v>478</v>
      </c>
      <c r="CT20" s="10">
        <v>46346</v>
      </c>
      <c r="CU20" s="10">
        <f>IF(CR20="",WORKDAY(CQ20,CU19),WORKDAY(CR20,CU19))</f>
        <v>46346</v>
      </c>
      <c r="CV20" s="56">
        <f>CT20</f>
        <v>46346</v>
      </c>
      <c r="CW20" s="10">
        <v>46168</v>
      </c>
      <c r="CX20" s="10">
        <v>46168</v>
      </c>
      <c r="CY20" s="56"/>
      <c r="CZ20" s="10">
        <v>46168</v>
      </c>
      <c r="DA20" s="10">
        <v>46168</v>
      </c>
      <c r="DB20" s="56"/>
      <c r="DC20" s="45"/>
      <c r="DD20" s="45"/>
      <c r="DE20" s="45"/>
      <c r="DF20" s="10">
        <v>46374</v>
      </c>
      <c r="DG20" s="10">
        <f>IF($CV20="",IF($CU20&gt;$DA20,WORKDAY($CU20,DG19),WORKDAY($DA20,DG19)),IF($CV20&gt;$DB20,WORKDAY($CV20,DG19),WORKDAY($DB20,DG19)))</f>
        <v>46374</v>
      </c>
      <c r="DH20" s="56"/>
      <c r="DI20" s="46"/>
      <c r="DJ20" s="10">
        <v>46402</v>
      </c>
      <c r="DK20" s="10">
        <f>IF(DH20="",WORKDAY(DG20,DK19*$DI19),WORKDAY(DH20,DK19*$DI19))</f>
        <v>46402</v>
      </c>
      <c r="DL20" s="56"/>
      <c r="DM20" s="46"/>
      <c r="DN20" s="46"/>
      <c r="DO20" s="46"/>
      <c r="DP20" s="46"/>
      <c r="DQ20" s="46"/>
      <c r="DR20" s="46"/>
      <c r="DS20" s="46"/>
      <c r="DT20" s="46"/>
      <c r="DU20" s="46"/>
      <c r="DV20" s="46"/>
      <c r="DW20" s="46"/>
      <c r="DX20" s="46"/>
      <c r="DY20" s="46"/>
      <c r="DZ20" s="46"/>
      <c r="EA20" s="46"/>
      <c r="EB20" s="46"/>
      <c r="EC20" s="46"/>
      <c r="ED20" s="46"/>
      <c r="EE20" s="10">
        <v>46402</v>
      </c>
      <c r="EF20" s="10">
        <f>IF(DL20="",WORKDAY(DK20,EF19),WORKDAY(DL20,EF19))</f>
        <v>46402</v>
      </c>
      <c r="EG20" s="56"/>
      <c r="EH20" s="10">
        <f>IF(DN20="",WORKDAY(DM20,EH19),WORKDAY(DN20,EH19))</f>
        <v>41</v>
      </c>
      <c r="EI20" s="10">
        <f>IF(DO20="",WORKDAY(DN20,EI19),WORKDAY(DO20,EI19))</f>
        <v>41</v>
      </c>
      <c r="EJ20" s="56"/>
      <c r="EK20" s="27"/>
      <c r="EL20" s="27"/>
      <c r="EM20" s="27"/>
      <c r="EN20" s="27"/>
      <c r="EO20" s="28"/>
      <c r="EP20" s="28"/>
      <c r="EQ20" s="28"/>
      <c r="ER20" s="28"/>
      <c r="ES20" s="28"/>
      <c r="ET20" s="28"/>
      <c r="EU20" s="28"/>
      <c r="EV20" s="28"/>
      <c r="EW20" s="28"/>
      <c r="EX20" s="28"/>
      <c r="EY20" s="28"/>
      <c r="EZ20" s="10">
        <v>46409</v>
      </c>
      <c r="FA20" s="10">
        <f>IF(EG20="",WORKDAY(EF20,FA19),WORKDAY(EG20,FA19))</f>
        <v>46409</v>
      </c>
      <c r="FB20" s="56"/>
      <c r="FC20" s="28"/>
      <c r="FD20" s="28"/>
      <c r="FE20" s="28"/>
      <c r="FF20" s="28"/>
      <c r="FG20" s="28"/>
      <c r="FH20" s="28"/>
      <c r="FI20" s="10">
        <v>46430</v>
      </c>
      <c r="FJ20" s="10">
        <f>IF(FB20="",WORKDAY(FA20,FJ19),WORKDAY(FB20,FJ19))</f>
        <v>46430</v>
      </c>
      <c r="FK20" s="56"/>
      <c r="FL20" s="10">
        <v>46430</v>
      </c>
      <c r="FM20" s="10">
        <f>IF(FK20="",WORKDAY(FJ20,FM19),WORKDAY(FK20,FM19))</f>
        <v>46430</v>
      </c>
      <c r="FN20" s="56"/>
      <c r="FO20" s="10">
        <v>46486</v>
      </c>
      <c r="FP20" s="10">
        <f>WORKDAY(FM20,FP19)</f>
        <v>46486</v>
      </c>
      <c r="FQ20" s="56"/>
      <c r="FR20" s="77" t="str">
        <f>IF(NETWORKDAYS(FJ20,FO20)&gt;=30,"On-Track",IF(AND(NETWORKDAYS(FJ20,FO20)&lt;30,FJ20&lt;=FO20),"At Risk","Missed TCD"))</f>
        <v>On-Track</v>
      </c>
      <c r="FS20" s="110" t="s">
        <v>479</v>
      </c>
      <c r="FT20" s="57">
        <f>NETWORKDAYS(CP20,FI20)</f>
        <v>176</v>
      </c>
      <c r="FU20" s="57">
        <f>NETWORKDAYS(CQ20,FJ20)</f>
        <v>176</v>
      </c>
      <c r="FV20" s="57">
        <f>IF(BH20="",NETWORKDAYS(BG20,FJ20),IF(FK20="",NETWORKDAYS(BH20,FJ20),NETWORKDAYS(BH20,FK20)))</f>
        <v>189</v>
      </c>
      <c r="FW20" s="58" t="s">
        <v>467</v>
      </c>
    </row>
    <row r="21" spans="1:179" hidden="1" outlineLevel="1" x14ac:dyDescent="0.35">
      <c r="A21" s="23" t="s">
        <v>4</v>
      </c>
      <c r="B21" s="23">
        <v>107599</v>
      </c>
      <c r="C21" s="24" t="s">
        <v>485</v>
      </c>
      <c r="D21" s="95"/>
      <c r="E21" s="24"/>
      <c r="F21" s="25" t="s">
        <v>463</v>
      </c>
      <c r="G21" s="26"/>
      <c r="H21" s="26"/>
      <c r="I21" s="27"/>
      <c r="J21" s="27"/>
      <c r="K21" s="27"/>
      <c r="L21" s="27"/>
      <c r="M21" s="4">
        <v>27</v>
      </c>
      <c r="N21" s="4">
        <v>27</v>
      </c>
      <c r="O21" s="27"/>
      <c r="P21" s="4">
        <v>0</v>
      </c>
      <c r="Q21" s="4">
        <v>0</v>
      </c>
      <c r="R21" s="27"/>
      <c r="S21" s="27"/>
      <c r="T21" s="27"/>
      <c r="U21" s="27"/>
      <c r="V21" s="4">
        <v>30</v>
      </c>
      <c r="W21" s="4">
        <v>30</v>
      </c>
      <c r="X21" s="27"/>
      <c r="Y21" s="4">
        <v>70</v>
      </c>
      <c r="Z21" s="4">
        <v>70</v>
      </c>
      <c r="AA21" s="27"/>
      <c r="AB21" s="4">
        <v>0</v>
      </c>
      <c r="AC21" s="4">
        <v>0</v>
      </c>
      <c r="AD21" s="27"/>
      <c r="AE21" s="4">
        <v>75</v>
      </c>
      <c r="AF21" s="4">
        <v>75</v>
      </c>
      <c r="AG21" s="27"/>
      <c r="AH21" s="4">
        <v>5</v>
      </c>
      <c r="AI21" s="4">
        <v>5</v>
      </c>
      <c r="AJ21" s="27"/>
      <c r="AK21" s="4">
        <v>20</v>
      </c>
      <c r="AL21" s="4">
        <v>20</v>
      </c>
      <c r="AM21" s="27"/>
      <c r="AN21" s="4">
        <v>0</v>
      </c>
      <c r="AO21" s="4">
        <v>0</v>
      </c>
      <c r="AP21" s="27"/>
      <c r="AQ21" s="4">
        <v>20</v>
      </c>
      <c r="AR21" s="4">
        <v>20</v>
      </c>
      <c r="AS21" s="27"/>
      <c r="AT21" s="4">
        <v>5</v>
      </c>
      <c r="AU21" s="4">
        <v>5</v>
      </c>
      <c r="AV21" s="27"/>
      <c r="AW21" s="4">
        <v>10</v>
      </c>
      <c r="AX21" s="4">
        <v>10</v>
      </c>
      <c r="AY21" s="27"/>
      <c r="AZ21" s="4">
        <v>30</v>
      </c>
      <c r="BA21" s="4">
        <v>30</v>
      </c>
      <c r="BB21" s="27"/>
      <c r="BC21" s="4">
        <v>5</v>
      </c>
      <c r="BD21" s="4">
        <v>5</v>
      </c>
      <c r="BE21" s="27"/>
      <c r="BF21" s="4">
        <v>5</v>
      </c>
      <c r="BG21" s="4">
        <v>5</v>
      </c>
      <c r="BH21" s="27"/>
      <c r="BI21" s="4">
        <v>5</v>
      </c>
      <c r="BJ21" s="4">
        <v>5</v>
      </c>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4">
        <v>3</v>
      </c>
      <c r="CN21" s="4">
        <v>3</v>
      </c>
      <c r="CO21" s="27"/>
      <c r="CP21" s="4">
        <v>5</v>
      </c>
      <c r="CQ21" s="4">
        <v>5</v>
      </c>
      <c r="CR21" s="27"/>
      <c r="CS21" s="27"/>
      <c r="CT21" s="5">
        <v>120</v>
      </c>
      <c r="CU21" s="5">
        <v>120</v>
      </c>
      <c r="CV21" s="27"/>
      <c r="CW21" s="5">
        <v>10</v>
      </c>
      <c r="CX21" s="5">
        <v>10</v>
      </c>
      <c r="CY21" s="27"/>
      <c r="CZ21" s="5">
        <v>0</v>
      </c>
      <c r="DA21" s="5">
        <v>0</v>
      </c>
      <c r="DB21" s="27"/>
      <c r="DC21" s="31"/>
      <c r="DD21" s="31"/>
      <c r="DE21" s="31"/>
      <c r="DF21" s="4">
        <v>20</v>
      </c>
      <c r="DG21" s="4">
        <v>20</v>
      </c>
      <c r="DH21" s="27"/>
      <c r="DI21" s="89">
        <v>1</v>
      </c>
      <c r="DJ21" s="4">
        <v>20</v>
      </c>
      <c r="DK21" s="4">
        <v>20</v>
      </c>
      <c r="DL21" s="27"/>
      <c r="DM21" s="27"/>
      <c r="DN21" s="27"/>
      <c r="DO21" s="27"/>
      <c r="DP21" s="27"/>
      <c r="DQ21" s="27"/>
      <c r="DR21" s="27"/>
      <c r="DS21" s="27"/>
      <c r="DT21" s="27"/>
      <c r="DU21" s="27"/>
      <c r="DV21" s="27"/>
      <c r="DW21" s="27"/>
      <c r="DX21" s="27"/>
      <c r="DY21" s="27"/>
      <c r="DZ21" s="27"/>
      <c r="EA21" s="27"/>
      <c r="EB21" s="27"/>
      <c r="EC21" s="27"/>
      <c r="ED21" s="27"/>
      <c r="EE21" s="4">
        <v>0</v>
      </c>
      <c r="EF21" s="4">
        <v>0</v>
      </c>
      <c r="EG21" s="27"/>
      <c r="EH21" s="4">
        <v>30</v>
      </c>
      <c r="EI21" s="4">
        <v>30</v>
      </c>
      <c r="EJ21" s="27"/>
      <c r="EK21" s="27"/>
      <c r="EL21" s="27"/>
      <c r="EM21" s="27"/>
      <c r="EN21" s="27"/>
      <c r="EO21" s="27"/>
      <c r="EP21" s="27"/>
      <c r="EQ21" s="27"/>
      <c r="ER21" s="27"/>
      <c r="ES21" s="27"/>
      <c r="ET21" s="27"/>
      <c r="EU21" s="27"/>
      <c r="EV21" s="27"/>
      <c r="EW21" s="27"/>
      <c r="EX21" s="27"/>
      <c r="EY21" s="27"/>
      <c r="EZ21" s="4">
        <v>5</v>
      </c>
      <c r="FA21" s="4">
        <v>5</v>
      </c>
      <c r="FB21" s="27"/>
      <c r="FC21" s="27"/>
      <c r="FD21" s="27"/>
      <c r="FE21" s="27"/>
      <c r="FF21" s="27"/>
      <c r="FG21" s="27"/>
      <c r="FH21" s="27"/>
      <c r="FI21" s="4">
        <v>15</v>
      </c>
      <c r="FJ21" s="4">
        <v>15</v>
      </c>
      <c r="FK21" s="27"/>
      <c r="FL21" s="4">
        <v>0</v>
      </c>
      <c r="FM21" s="4">
        <v>0</v>
      </c>
      <c r="FN21" s="27"/>
      <c r="FO21" s="4">
        <v>40</v>
      </c>
      <c r="FP21" s="4">
        <v>40</v>
      </c>
      <c r="FQ21" s="27"/>
      <c r="FR21" s="27"/>
      <c r="FS21" s="109"/>
      <c r="FT21" s="54">
        <f>NETWORKDAYS($I22,FO22)</f>
        <v>391</v>
      </c>
      <c r="FU21" s="54">
        <f>NETWORKDAYS($I22,FP22)</f>
        <v>391</v>
      </c>
      <c r="FV21" s="54">
        <f>IF(FQ22="",NETWORKDAYS($I22,FP22),NETWORKDAYS($I22,FQ22))</f>
        <v>391</v>
      </c>
      <c r="FW21" s="55" t="s">
        <v>464</v>
      </c>
    </row>
    <row r="22" spans="1:179" collapsed="1" x14ac:dyDescent="0.35">
      <c r="A22" s="23" t="s">
        <v>4</v>
      </c>
      <c r="B22" s="23">
        <v>107599</v>
      </c>
      <c r="C22" s="24" t="s">
        <v>485</v>
      </c>
      <c r="D22" s="65"/>
      <c r="E22" s="23" t="str">
        <f>IF(D22="","Unknown",IF(D22&lt;=FM22+90,"Red",IF(AND(D22&gt;FM22+90,D22&lt;=FM22+180),"Yellow",IF(AND(D22&gt;FM22+180,D22&lt;=FM22+690),"Green","Covered"))))</f>
        <v>Unknown</v>
      </c>
      <c r="F22" s="25" t="s">
        <v>466</v>
      </c>
      <c r="G22" s="26"/>
      <c r="H22" s="26" t="str">
        <f>IF(CR22="","Pre-Execution","Execution")</f>
        <v>Execution</v>
      </c>
      <c r="I22" s="13">
        <v>45940</v>
      </c>
      <c r="J22" s="28"/>
      <c r="K22" s="28"/>
      <c r="L22" s="28"/>
      <c r="M22" s="10">
        <v>45979</v>
      </c>
      <c r="N22" s="10">
        <f>WORKDAY(I22,N21)</f>
        <v>45979</v>
      </c>
      <c r="O22" s="56">
        <f>M22</f>
        <v>45979</v>
      </c>
      <c r="P22" s="10">
        <v>45979</v>
      </c>
      <c r="Q22" s="10">
        <f>IF(O22="",WORKDAY(N22,Q21),WORKDAY(O22,Q21))</f>
        <v>45979</v>
      </c>
      <c r="R22" s="56">
        <f>P22</f>
        <v>45979</v>
      </c>
      <c r="S22" s="28"/>
      <c r="T22" s="28"/>
      <c r="U22" s="28"/>
      <c r="V22" s="10">
        <v>46021</v>
      </c>
      <c r="W22" s="10">
        <f>IF(R22="",WORKDAY(Q22,W21),WORKDAY(R22,W21))</f>
        <v>46021</v>
      </c>
      <c r="X22" s="56">
        <f>V22</f>
        <v>46021</v>
      </c>
      <c r="Y22" s="10">
        <v>46077</v>
      </c>
      <c r="Z22" s="10">
        <f>IF(R22="",WORKDAY(Q22,Z21),WORKDAY(R22,Z21))</f>
        <v>46077</v>
      </c>
      <c r="AA22" s="56">
        <f>Y22</f>
        <v>46077</v>
      </c>
      <c r="AB22" s="10">
        <v>45940</v>
      </c>
      <c r="AC22" s="10">
        <f>WORKDAY(I22,AC21)</f>
        <v>45940</v>
      </c>
      <c r="AD22" s="56">
        <f>AB22</f>
        <v>45940</v>
      </c>
      <c r="AE22" s="10">
        <v>46045</v>
      </c>
      <c r="AF22" s="10">
        <f>IF(AD22="",WORKDAY(AC22,AF21),WORKDAY(AD22,AF21))</f>
        <v>46045</v>
      </c>
      <c r="AG22" s="56">
        <f>AE22</f>
        <v>46045</v>
      </c>
      <c r="AH22" s="10">
        <v>46084</v>
      </c>
      <c r="AI22" s="10">
        <f>WORKDAY(IF(AA22="",IF(Z22&gt;AF22,Z22,AF22),IF(AA22&gt;AG22,AA22,AG22)),AI21)</f>
        <v>46084</v>
      </c>
      <c r="AJ22" s="56"/>
      <c r="AK22" s="10">
        <v>46112</v>
      </c>
      <c r="AL22" s="10">
        <f>IF(AJ22="",WORKDAY(AI22,AL21),WORKDAY(AJ22,AL21))</f>
        <v>46112</v>
      </c>
      <c r="AM22" s="10">
        <v>46112</v>
      </c>
      <c r="AN22" s="10">
        <v>46112</v>
      </c>
      <c r="AO22" s="10">
        <v>46112</v>
      </c>
      <c r="AP22" s="10">
        <v>46112</v>
      </c>
      <c r="AQ22" s="10">
        <v>46140</v>
      </c>
      <c r="AR22" s="10">
        <v>46140</v>
      </c>
      <c r="AS22" s="10"/>
      <c r="AT22" s="10">
        <v>46119</v>
      </c>
      <c r="AU22" s="10">
        <v>46119</v>
      </c>
      <c r="AV22" s="56"/>
      <c r="AW22" s="10">
        <v>46154</v>
      </c>
      <c r="AX22" s="10">
        <v>46154</v>
      </c>
      <c r="AY22" s="56"/>
      <c r="AZ22" s="10">
        <v>46154</v>
      </c>
      <c r="BA22" s="10">
        <v>46154</v>
      </c>
      <c r="BB22" s="56"/>
      <c r="BC22" s="10">
        <v>46161</v>
      </c>
      <c r="BD22" s="10">
        <v>46161</v>
      </c>
      <c r="BE22" s="10"/>
      <c r="BF22" s="10">
        <v>46168</v>
      </c>
      <c r="BG22" s="10">
        <v>46168</v>
      </c>
      <c r="BH22" s="56"/>
      <c r="BI22" s="10">
        <v>46175</v>
      </c>
      <c r="BJ22" s="10">
        <v>46175</v>
      </c>
      <c r="BK22" s="56"/>
      <c r="BL22" s="28"/>
      <c r="BM22" s="28"/>
      <c r="BN22" s="28"/>
      <c r="BO22" s="28"/>
      <c r="BP22" s="28"/>
      <c r="BQ22" s="28"/>
      <c r="BR22" s="28"/>
      <c r="BS22" s="28"/>
      <c r="BT22" s="28"/>
      <c r="BU22" s="28"/>
      <c r="BV22" s="28"/>
      <c r="BW22" s="28"/>
      <c r="BX22" s="46"/>
      <c r="BY22" s="28"/>
      <c r="BZ22" s="28"/>
      <c r="CA22" s="28"/>
      <c r="CB22" s="28"/>
      <c r="CC22" s="28"/>
      <c r="CD22" s="28"/>
      <c r="CE22" s="28"/>
      <c r="CF22" s="28"/>
      <c r="CG22" s="28"/>
      <c r="CH22" s="28"/>
      <c r="CI22" s="28"/>
      <c r="CJ22" s="28"/>
      <c r="CK22" s="28"/>
      <c r="CL22" s="28"/>
      <c r="CM22" s="10">
        <v>46178</v>
      </c>
      <c r="CN22" s="10">
        <v>46178</v>
      </c>
      <c r="CO22" s="10">
        <f>CM22</f>
        <v>46178</v>
      </c>
      <c r="CP22" s="10">
        <v>46185</v>
      </c>
      <c r="CQ22" s="10">
        <f>IF(CO22="",WORKDAY(CN22,CQ21),WORKDAY(CO22,CQ21))</f>
        <v>46185</v>
      </c>
      <c r="CR22" s="10">
        <f>WORKDAY(CO22,CR21)</f>
        <v>46178</v>
      </c>
      <c r="CS22" s="77" t="s">
        <v>478</v>
      </c>
      <c r="CT22" s="10">
        <v>46346</v>
      </c>
      <c r="CU22" s="10">
        <f>IF(CR22="",WORKDAY(CQ22,CU21),WORKDAY(CR22,CU21))</f>
        <v>46346</v>
      </c>
      <c r="CV22" s="56">
        <f>CT22</f>
        <v>46346</v>
      </c>
      <c r="CW22" s="10">
        <v>46168</v>
      </c>
      <c r="CX22" s="10">
        <v>46168</v>
      </c>
      <c r="CY22" s="56"/>
      <c r="CZ22" s="10">
        <v>46168</v>
      </c>
      <c r="DA22" s="10">
        <v>46168</v>
      </c>
      <c r="DB22" s="56"/>
      <c r="DC22" s="45"/>
      <c r="DD22" s="45"/>
      <c r="DE22" s="45"/>
      <c r="DF22" s="10">
        <v>46374</v>
      </c>
      <c r="DG22" s="10">
        <f>IF($CV22="",IF($CU22&gt;$DA22,WORKDAY($CU22,DG21),WORKDAY($DA22,DG21)),IF($CV22&gt;$DB22,WORKDAY($CV22,DG21),WORKDAY($DB22,DG21)))</f>
        <v>46374</v>
      </c>
      <c r="DH22" s="56"/>
      <c r="DI22" s="46"/>
      <c r="DJ22" s="10">
        <v>46402</v>
      </c>
      <c r="DK22" s="10">
        <f>IF(DH22="",WORKDAY(DG22,DK21*$DI21),WORKDAY(DH22,DK21*$DI21))</f>
        <v>46402</v>
      </c>
      <c r="DL22" s="56"/>
      <c r="DM22" s="46"/>
      <c r="DN22" s="46"/>
      <c r="DO22" s="46"/>
      <c r="DP22" s="46"/>
      <c r="DQ22" s="46"/>
      <c r="DR22" s="46"/>
      <c r="DS22" s="46"/>
      <c r="DT22" s="46"/>
      <c r="DU22" s="46"/>
      <c r="DV22" s="46"/>
      <c r="DW22" s="46"/>
      <c r="DX22" s="46"/>
      <c r="DY22" s="46"/>
      <c r="DZ22" s="46"/>
      <c r="EA22" s="46"/>
      <c r="EB22" s="46"/>
      <c r="EC22" s="46"/>
      <c r="ED22" s="46"/>
      <c r="EE22" s="10">
        <v>46402</v>
      </c>
      <c r="EF22" s="10">
        <f>IF(DL22="",WORKDAY(DK22,EF21),WORKDAY(DL22,EF21))</f>
        <v>46402</v>
      </c>
      <c r="EG22" s="56"/>
      <c r="EH22" s="10">
        <f>IF(DN22="",WORKDAY(DM22,EH21),WORKDAY(DN22,EH21))</f>
        <v>41</v>
      </c>
      <c r="EI22" s="10">
        <f>IF(DO22="",WORKDAY(DN22,EI21),WORKDAY(DO22,EI21))</f>
        <v>41</v>
      </c>
      <c r="EJ22" s="56"/>
      <c r="EK22" s="27"/>
      <c r="EL22" s="27"/>
      <c r="EM22" s="27"/>
      <c r="EN22" s="27"/>
      <c r="EO22" s="28"/>
      <c r="EP22" s="28"/>
      <c r="EQ22" s="28"/>
      <c r="ER22" s="28"/>
      <c r="ES22" s="28"/>
      <c r="ET22" s="28"/>
      <c r="EU22" s="28"/>
      <c r="EV22" s="28"/>
      <c r="EW22" s="28"/>
      <c r="EX22" s="28"/>
      <c r="EY22" s="28"/>
      <c r="EZ22" s="10">
        <v>46409</v>
      </c>
      <c r="FA22" s="10">
        <f>IF(EG22="",WORKDAY(EF22,FA21),WORKDAY(EG22,FA21))</f>
        <v>46409</v>
      </c>
      <c r="FB22" s="56"/>
      <c r="FC22" s="28"/>
      <c r="FD22" s="28"/>
      <c r="FE22" s="28"/>
      <c r="FF22" s="28"/>
      <c r="FG22" s="28"/>
      <c r="FH22" s="28"/>
      <c r="FI22" s="10">
        <v>46430</v>
      </c>
      <c r="FJ22" s="10">
        <f>IF(FB22="",WORKDAY(FA22,FJ21),WORKDAY(FB22,FJ21))</f>
        <v>46430</v>
      </c>
      <c r="FK22" s="56"/>
      <c r="FL22" s="10">
        <v>46430</v>
      </c>
      <c r="FM22" s="10">
        <f>IF(FK22="",WORKDAY(FJ22,FM21),WORKDAY(FK22,FM21))</f>
        <v>46430</v>
      </c>
      <c r="FN22" s="56"/>
      <c r="FO22" s="10">
        <v>46486</v>
      </c>
      <c r="FP22" s="10">
        <f>WORKDAY(FM22,FP21)</f>
        <v>46486</v>
      </c>
      <c r="FQ22" s="56"/>
      <c r="FR22" s="77" t="str">
        <f>IF(NETWORKDAYS(FJ22,FO22)&gt;=30,"On-Track",IF(AND(NETWORKDAYS(FJ22,FO22)&lt;30,FJ22&lt;=FO22),"At Risk","Missed TCD"))</f>
        <v>On-Track</v>
      </c>
      <c r="FS22" s="110" t="s">
        <v>479</v>
      </c>
      <c r="FT22" s="57">
        <f>NETWORKDAYS(CP22,FI22)</f>
        <v>176</v>
      </c>
      <c r="FU22" s="57">
        <f>NETWORKDAYS(CQ22,FJ22)</f>
        <v>176</v>
      </c>
      <c r="FV22" s="57">
        <f>IF(BH22="",NETWORKDAYS(BG22,FJ22),IF(FK22="",NETWORKDAYS(BH22,FJ22),NETWORKDAYS(BH22,FK22)))</f>
        <v>189</v>
      </c>
      <c r="FW22" s="58" t="s">
        <v>467</v>
      </c>
    </row>
    <row r="23" spans="1:179" hidden="1" outlineLevel="1" x14ac:dyDescent="0.35">
      <c r="A23" s="23" t="s">
        <v>4</v>
      </c>
      <c r="B23" s="23">
        <v>107601</v>
      </c>
      <c r="C23" s="24" t="s">
        <v>486</v>
      </c>
      <c r="D23" s="95"/>
      <c r="E23" s="24"/>
      <c r="F23" s="25" t="s">
        <v>463</v>
      </c>
      <c r="G23" s="26"/>
      <c r="H23" s="26"/>
      <c r="I23" s="27"/>
      <c r="J23" s="27"/>
      <c r="K23" s="27"/>
      <c r="L23" s="27"/>
      <c r="M23" s="4">
        <v>27</v>
      </c>
      <c r="N23" s="4">
        <v>27</v>
      </c>
      <c r="O23" s="27"/>
      <c r="P23" s="4">
        <v>0</v>
      </c>
      <c r="Q23" s="4">
        <v>0</v>
      </c>
      <c r="R23" s="27"/>
      <c r="S23" s="27"/>
      <c r="T23" s="27"/>
      <c r="U23" s="27"/>
      <c r="V23" s="4">
        <v>30</v>
      </c>
      <c r="W23" s="4">
        <v>30</v>
      </c>
      <c r="X23" s="27"/>
      <c r="Y23" s="4">
        <v>70</v>
      </c>
      <c r="Z23" s="4">
        <v>70</v>
      </c>
      <c r="AA23" s="27"/>
      <c r="AB23" s="4">
        <v>0</v>
      </c>
      <c r="AC23" s="4">
        <v>0</v>
      </c>
      <c r="AD23" s="27"/>
      <c r="AE23" s="4">
        <v>75</v>
      </c>
      <c r="AF23" s="4">
        <v>75</v>
      </c>
      <c r="AG23" s="27"/>
      <c r="AH23" s="4">
        <v>5</v>
      </c>
      <c r="AI23" s="4">
        <v>5</v>
      </c>
      <c r="AJ23" s="27"/>
      <c r="AK23" s="4">
        <v>20</v>
      </c>
      <c r="AL23" s="4">
        <v>20</v>
      </c>
      <c r="AM23" s="27"/>
      <c r="AN23" s="4">
        <v>0</v>
      </c>
      <c r="AO23" s="4">
        <v>0</v>
      </c>
      <c r="AP23" s="27"/>
      <c r="AQ23" s="4">
        <v>20</v>
      </c>
      <c r="AR23" s="4">
        <v>20</v>
      </c>
      <c r="AS23" s="27"/>
      <c r="AT23" s="4">
        <v>5</v>
      </c>
      <c r="AU23" s="4">
        <v>5</v>
      </c>
      <c r="AV23" s="27"/>
      <c r="AW23" s="4">
        <v>10</v>
      </c>
      <c r="AX23" s="4">
        <v>10</v>
      </c>
      <c r="AY23" s="27"/>
      <c r="AZ23" s="4">
        <v>30</v>
      </c>
      <c r="BA23" s="4">
        <v>30</v>
      </c>
      <c r="BB23" s="27"/>
      <c r="BC23" s="4">
        <v>5</v>
      </c>
      <c r="BD23" s="4">
        <v>5</v>
      </c>
      <c r="BE23" s="27"/>
      <c r="BF23" s="4">
        <v>5</v>
      </c>
      <c r="BG23" s="4">
        <v>5</v>
      </c>
      <c r="BH23" s="27"/>
      <c r="BI23" s="4">
        <v>5</v>
      </c>
      <c r="BJ23" s="4">
        <v>5</v>
      </c>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4">
        <v>3</v>
      </c>
      <c r="CN23" s="4">
        <v>3</v>
      </c>
      <c r="CO23" s="27"/>
      <c r="CP23" s="4">
        <v>5</v>
      </c>
      <c r="CQ23" s="4">
        <v>5</v>
      </c>
      <c r="CR23" s="27"/>
      <c r="CS23" s="27"/>
      <c r="CT23" s="5">
        <v>120</v>
      </c>
      <c r="CU23" s="5">
        <v>120</v>
      </c>
      <c r="CV23" s="27"/>
      <c r="CW23" s="5">
        <v>10</v>
      </c>
      <c r="CX23" s="5">
        <v>10</v>
      </c>
      <c r="CY23" s="27"/>
      <c r="CZ23" s="5">
        <v>0</v>
      </c>
      <c r="DA23" s="5">
        <v>0</v>
      </c>
      <c r="DB23" s="27"/>
      <c r="DC23" s="31"/>
      <c r="DD23" s="31"/>
      <c r="DE23" s="31"/>
      <c r="DF23" s="4">
        <v>20</v>
      </c>
      <c r="DG23" s="4">
        <v>20</v>
      </c>
      <c r="DH23" s="27"/>
      <c r="DI23" s="89">
        <v>1</v>
      </c>
      <c r="DJ23" s="4">
        <v>20</v>
      </c>
      <c r="DK23" s="4">
        <v>20</v>
      </c>
      <c r="DL23" s="27"/>
      <c r="DM23" s="27"/>
      <c r="DN23" s="27"/>
      <c r="DO23" s="27"/>
      <c r="DP23" s="27"/>
      <c r="DQ23" s="27"/>
      <c r="DR23" s="27"/>
      <c r="DS23" s="27"/>
      <c r="DT23" s="27"/>
      <c r="DU23" s="27"/>
      <c r="DV23" s="27"/>
      <c r="DW23" s="27"/>
      <c r="DX23" s="27"/>
      <c r="DY23" s="27"/>
      <c r="DZ23" s="27"/>
      <c r="EA23" s="27"/>
      <c r="EB23" s="27"/>
      <c r="EC23" s="27"/>
      <c r="ED23" s="27"/>
      <c r="EE23" s="4">
        <v>0</v>
      </c>
      <c r="EF23" s="4">
        <v>0</v>
      </c>
      <c r="EG23" s="27"/>
      <c r="EH23" s="4">
        <v>30</v>
      </c>
      <c r="EI23" s="4">
        <v>30</v>
      </c>
      <c r="EJ23" s="27"/>
      <c r="EK23" s="27"/>
      <c r="EL23" s="27"/>
      <c r="EM23" s="27"/>
      <c r="EN23" s="27"/>
      <c r="EO23" s="27"/>
      <c r="EP23" s="27"/>
      <c r="EQ23" s="27"/>
      <c r="ER23" s="27"/>
      <c r="ES23" s="27"/>
      <c r="ET23" s="27"/>
      <c r="EU23" s="27"/>
      <c r="EV23" s="27"/>
      <c r="EW23" s="27"/>
      <c r="EX23" s="27"/>
      <c r="EY23" s="27"/>
      <c r="EZ23" s="4">
        <v>5</v>
      </c>
      <c r="FA23" s="4">
        <v>5</v>
      </c>
      <c r="FB23" s="27"/>
      <c r="FC23" s="27"/>
      <c r="FD23" s="27"/>
      <c r="FE23" s="27"/>
      <c r="FF23" s="27"/>
      <c r="FG23" s="27"/>
      <c r="FH23" s="27"/>
      <c r="FI23" s="4">
        <v>15</v>
      </c>
      <c r="FJ23" s="4">
        <v>15</v>
      </c>
      <c r="FK23" s="27"/>
      <c r="FL23" s="4">
        <v>0</v>
      </c>
      <c r="FM23" s="4">
        <v>0</v>
      </c>
      <c r="FN23" s="27"/>
      <c r="FO23" s="4">
        <v>40</v>
      </c>
      <c r="FP23" s="4">
        <v>40</v>
      </c>
      <c r="FQ23" s="27"/>
      <c r="FR23" s="27"/>
      <c r="FS23" s="109"/>
      <c r="FT23" s="54">
        <f>NETWORKDAYS($I24,FO24)</f>
        <v>391</v>
      </c>
      <c r="FU23" s="54">
        <f>NETWORKDAYS($I24,FP24)</f>
        <v>391</v>
      </c>
      <c r="FV23" s="54">
        <f>IF(FQ24="",NETWORKDAYS($I24,FP24),NETWORKDAYS($I24,FQ24))</f>
        <v>391</v>
      </c>
      <c r="FW23" s="55" t="s">
        <v>464</v>
      </c>
    </row>
    <row r="24" spans="1:179" collapsed="1" x14ac:dyDescent="0.35">
      <c r="A24" s="23" t="s">
        <v>4</v>
      </c>
      <c r="B24" s="23">
        <v>107601</v>
      </c>
      <c r="C24" s="24" t="s">
        <v>486</v>
      </c>
      <c r="D24" s="65"/>
      <c r="E24" s="23" t="str">
        <f>IF(D24="","Unknown",IF(D24&lt;=FM24+90,"Red",IF(AND(D24&gt;FM24+90,D24&lt;=FM24+180),"Yellow",IF(AND(D24&gt;FM24+180,D24&lt;=FM24+690),"Green","Covered"))))</f>
        <v>Unknown</v>
      </c>
      <c r="F24" s="25" t="s">
        <v>466</v>
      </c>
      <c r="G24" s="26"/>
      <c r="H24" s="26" t="str">
        <f>IF(CR24="","Pre-Execution","Execution")</f>
        <v>Execution</v>
      </c>
      <c r="I24" s="13">
        <v>45940</v>
      </c>
      <c r="J24" s="28"/>
      <c r="K24" s="28"/>
      <c r="L24" s="28"/>
      <c r="M24" s="10">
        <v>45979</v>
      </c>
      <c r="N24" s="10">
        <f>WORKDAY(I24,N23)</f>
        <v>45979</v>
      </c>
      <c r="O24" s="56">
        <f>M24</f>
        <v>45979</v>
      </c>
      <c r="P24" s="10">
        <v>45979</v>
      </c>
      <c r="Q24" s="10">
        <f>IF(O24="",WORKDAY(N24,Q23),WORKDAY(O24,Q23))</f>
        <v>45979</v>
      </c>
      <c r="R24" s="56">
        <f>P24</f>
        <v>45979</v>
      </c>
      <c r="S24" s="28"/>
      <c r="T24" s="28"/>
      <c r="U24" s="28"/>
      <c r="V24" s="10">
        <v>46021</v>
      </c>
      <c r="W24" s="10">
        <f>IF(R24="",WORKDAY(Q24,W23),WORKDAY(R24,W23))</f>
        <v>46021</v>
      </c>
      <c r="X24" s="56">
        <f>V24</f>
        <v>46021</v>
      </c>
      <c r="Y24" s="10">
        <v>46077</v>
      </c>
      <c r="Z24" s="10">
        <f>IF(R24="",WORKDAY(Q24,Z23),WORKDAY(R24,Z23))</f>
        <v>46077</v>
      </c>
      <c r="AA24" s="56">
        <f>Y24</f>
        <v>46077</v>
      </c>
      <c r="AB24" s="10">
        <v>45940</v>
      </c>
      <c r="AC24" s="10">
        <f>WORKDAY(I24,AC23)</f>
        <v>45940</v>
      </c>
      <c r="AD24" s="56">
        <f>AB24</f>
        <v>45940</v>
      </c>
      <c r="AE24" s="10">
        <v>46045</v>
      </c>
      <c r="AF24" s="10">
        <f>IF(AD24="",WORKDAY(AC24,AF23),WORKDAY(AD24,AF23))</f>
        <v>46045</v>
      </c>
      <c r="AG24" s="56">
        <f>AE24</f>
        <v>46045</v>
      </c>
      <c r="AH24" s="10">
        <v>46084</v>
      </c>
      <c r="AI24" s="10">
        <f>WORKDAY(IF(AA24="",IF(Z24&gt;AF24,Z24,AF24),IF(AA24&gt;AG24,AA24,AG24)),AI23)</f>
        <v>46084</v>
      </c>
      <c r="AJ24" s="56"/>
      <c r="AK24" s="10">
        <v>46112</v>
      </c>
      <c r="AL24" s="10">
        <f>IF(AJ24="",WORKDAY(AI24,AL23),WORKDAY(AJ24,AL23))</f>
        <v>46112</v>
      </c>
      <c r="AM24" s="10">
        <v>46112</v>
      </c>
      <c r="AN24" s="10">
        <v>46112</v>
      </c>
      <c r="AO24" s="10">
        <v>46112</v>
      </c>
      <c r="AP24" s="10">
        <v>46112</v>
      </c>
      <c r="AQ24" s="10">
        <v>46140</v>
      </c>
      <c r="AR24" s="10">
        <v>46140</v>
      </c>
      <c r="AS24" s="10"/>
      <c r="AT24" s="10">
        <v>46119</v>
      </c>
      <c r="AU24" s="10">
        <v>46119</v>
      </c>
      <c r="AV24" s="56"/>
      <c r="AW24" s="10">
        <v>46154</v>
      </c>
      <c r="AX24" s="10">
        <v>46154</v>
      </c>
      <c r="AY24" s="56"/>
      <c r="AZ24" s="10">
        <v>46154</v>
      </c>
      <c r="BA24" s="10">
        <v>46154</v>
      </c>
      <c r="BB24" s="56"/>
      <c r="BC24" s="10">
        <v>46161</v>
      </c>
      <c r="BD24" s="10">
        <v>46161</v>
      </c>
      <c r="BE24" s="10"/>
      <c r="BF24" s="10">
        <v>46168</v>
      </c>
      <c r="BG24" s="10">
        <v>46168</v>
      </c>
      <c r="BH24" s="56"/>
      <c r="BI24" s="10">
        <v>46175</v>
      </c>
      <c r="BJ24" s="10">
        <v>46175</v>
      </c>
      <c r="BK24" s="56"/>
      <c r="BL24" s="28"/>
      <c r="BM24" s="28"/>
      <c r="BN24" s="28"/>
      <c r="BO24" s="28"/>
      <c r="BP24" s="28"/>
      <c r="BQ24" s="28"/>
      <c r="BR24" s="28"/>
      <c r="BS24" s="28"/>
      <c r="BT24" s="28"/>
      <c r="BU24" s="28"/>
      <c r="BV24" s="28"/>
      <c r="BW24" s="28"/>
      <c r="BX24" s="46"/>
      <c r="BY24" s="28"/>
      <c r="BZ24" s="28"/>
      <c r="CA24" s="28"/>
      <c r="CB24" s="28"/>
      <c r="CC24" s="28"/>
      <c r="CD24" s="28"/>
      <c r="CE24" s="28"/>
      <c r="CF24" s="28"/>
      <c r="CG24" s="28"/>
      <c r="CH24" s="28"/>
      <c r="CI24" s="28"/>
      <c r="CJ24" s="28"/>
      <c r="CK24" s="28"/>
      <c r="CL24" s="28"/>
      <c r="CM24" s="10">
        <v>46178</v>
      </c>
      <c r="CN24" s="10">
        <v>46178</v>
      </c>
      <c r="CO24" s="10">
        <f>CM24</f>
        <v>46178</v>
      </c>
      <c r="CP24" s="10">
        <v>46185</v>
      </c>
      <c r="CQ24" s="10">
        <f>IF(CO24="",WORKDAY(CN24,CQ23),WORKDAY(CO24,CQ23))</f>
        <v>46185</v>
      </c>
      <c r="CR24" s="10">
        <f>WORKDAY(CO24,CR23)</f>
        <v>46178</v>
      </c>
      <c r="CS24" s="77" t="s">
        <v>478</v>
      </c>
      <c r="CT24" s="10">
        <v>46346</v>
      </c>
      <c r="CU24" s="10">
        <f>IF(CR24="",WORKDAY(CQ24,CU23),WORKDAY(CR24,CU23))</f>
        <v>46346</v>
      </c>
      <c r="CV24" s="56">
        <f>CT24</f>
        <v>46346</v>
      </c>
      <c r="CW24" s="10">
        <v>46168</v>
      </c>
      <c r="CX24" s="10">
        <v>46168</v>
      </c>
      <c r="CY24" s="56"/>
      <c r="CZ24" s="10">
        <v>46168</v>
      </c>
      <c r="DA24" s="10">
        <v>46168</v>
      </c>
      <c r="DB24" s="56"/>
      <c r="DC24" s="45"/>
      <c r="DD24" s="45"/>
      <c r="DE24" s="45"/>
      <c r="DF24" s="10">
        <v>46374</v>
      </c>
      <c r="DG24" s="10">
        <f>IF($CV24="",IF($CU24&gt;$DA24,WORKDAY($CU24,DG23),WORKDAY($DA24,DG23)),IF($CV24&gt;$DB24,WORKDAY($CV24,DG23),WORKDAY($DB24,DG23)))</f>
        <v>46374</v>
      </c>
      <c r="DH24" s="56"/>
      <c r="DI24" s="46"/>
      <c r="DJ24" s="10">
        <v>46402</v>
      </c>
      <c r="DK24" s="10">
        <f>IF(DH24="",WORKDAY(DG24,DK23*$DI23),WORKDAY(DH24,DK23*$DI23))</f>
        <v>46402</v>
      </c>
      <c r="DL24" s="56"/>
      <c r="DM24" s="46"/>
      <c r="DN24" s="46"/>
      <c r="DO24" s="46"/>
      <c r="DP24" s="46"/>
      <c r="DQ24" s="46"/>
      <c r="DR24" s="46"/>
      <c r="DS24" s="46"/>
      <c r="DT24" s="46"/>
      <c r="DU24" s="46"/>
      <c r="DV24" s="46"/>
      <c r="DW24" s="46"/>
      <c r="DX24" s="46"/>
      <c r="DY24" s="46"/>
      <c r="DZ24" s="46"/>
      <c r="EA24" s="46"/>
      <c r="EB24" s="46"/>
      <c r="EC24" s="46"/>
      <c r="ED24" s="46"/>
      <c r="EE24" s="10">
        <v>46402</v>
      </c>
      <c r="EF24" s="10">
        <f>IF(DL24="",WORKDAY(DK24,EF23),WORKDAY(DL24,EF23))</f>
        <v>46402</v>
      </c>
      <c r="EG24" s="56"/>
      <c r="EH24" s="10">
        <f>IF(DN24="",WORKDAY(DM24,EH23),WORKDAY(DN24,EH23))</f>
        <v>41</v>
      </c>
      <c r="EI24" s="10">
        <f>IF(DO24="",WORKDAY(DN24,EI23),WORKDAY(DO24,EI23))</f>
        <v>41</v>
      </c>
      <c r="EJ24" s="56"/>
      <c r="EK24" s="27"/>
      <c r="EL24" s="27"/>
      <c r="EM24" s="27"/>
      <c r="EN24" s="27"/>
      <c r="EO24" s="28"/>
      <c r="EP24" s="28"/>
      <c r="EQ24" s="28"/>
      <c r="ER24" s="28"/>
      <c r="ES24" s="28"/>
      <c r="ET24" s="28"/>
      <c r="EU24" s="28"/>
      <c r="EV24" s="28"/>
      <c r="EW24" s="28"/>
      <c r="EX24" s="28"/>
      <c r="EY24" s="28"/>
      <c r="EZ24" s="10">
        <v>46409</v>
      </c>
      <c r="FA24" s="10">
        <f>IF(EG24="",WORKDAY(EF24,FA23),WORKDAY(EG24,FA23))</f>
        <v>46409</v>
      </c>
      <c r="FB24" s="56"/>
      <c r="FC24" s="28"/>
      <c r="FD24" s="28"/>
      <c r="FE24" s="28"/>
      <c r="FF24" s="28"/>
      <c r="FG24" s="28"/>
      <c r="FH24" s="28"/>
      <c r="FI24" s="10">
        <v>46430</v>
      </c>
      <c r="FJ24" s="10">
        <f>IF(FB24="",WORKDAY(FA24,FJ23),WORKDAY(FB24,FJ23))</f>
        <v>46430</v>
      </c>
      <c r="FK24" s="56"/>
      <c r="FL24" s="10">
        <v>46430</v>
      </c>
      <c r="FM24" s="10">
        <f>IF(FK24="",WORKDAY(FJ24,FM23),WORKDAY(FK24,FM23))</f>
        <v>46430</v>
      </c>
      <c r="FN24" s="56"/>
      <c r="FO24" s="10">
        <v>46486</v>
      </c>
      <c r="FP24" s="10">
        <f>WORKDAY(FM24,FP23)</f>
        <v>46486</v>
      </c>
      <c r="FQ24" s="56"/>
      <c r="FR24" s="77" t="str">
        <f>IF(NETWORKDAYS(FJ24,FO24)&gt;=30,"On-Track",IF(AND(NETWORKDAYS(FJ24,FO24)&lt;30,FJ24&lt;=FO24),"At Risk","Missed TCD"))</f>
        <v>On-Track</v>
      </c>
      <c r="FS24" s="110" t="s">
        <v>479</v>
      </c>
      <c r="FT24" s="57">
        <f>NETWORKDAYS(CP24,FI24)</f>
        <v>176</v>
      </c>
      <c r="FU24" s="57">
        <f>NETWORKDAYS(CQ24,FJ24)</f>
        <v>176</v>
      </c>
      <c r="FV24" s="57">
        <f>IF(BH24="",NETWORKDAYS(BG24,FJ24),IF(FK24="",NETWORKDAYS(BH24,FJ24),NETWORKDAYS(BH24,FK24)))</f>
        <v>189</v>
      </c>
      <c r="FW24" s="58" t="s">
        <v>467</v>
      </c>
    </row>
    <row r="25" spans="1:179" hidden="1" outlineLevel="1" x14ac:dyDescent="0.35">
      <c r="A25" s="23" t="s">
        <v>4</v>
      </c>
      <c r="B25" s="23">
        <v>107602</v>
      </c>
      <c r="C25" s="24">
        <v>8001659</v>
      </c>
      <c r="D25" s="95"/>
      <c r="E25" s="24"/>
      <c r="F25" s="25" t="s">
        <v>463</v>
      </c>
      <c r="G25" s="26"/>
      <c r="H25" s="26"/>
      <c r="I25" s="27"/>
      <c r="J25" s="27"/>
      <c r="K25" s="27"/>
      <c r="L25" s="27"/>
      <c r="M25" s="4">
        <v>27</v>
      </c>
      <c r="N25" s="4">
        <v>27</v>
      </c>
      <c r="O25" s="27"/>
      <c r="P25" s="4">
        <v>0</v>
      </c>
      <c r="Q25" s="4">
        <v>0</v>
      </c>
      <c r="R25" s="27"/>
      <c r="S25" s="27"/>
      <c r="T25" s="27"/>
      <c r="U25" s="27"/>
      <c r="V25" s="4">
        <v>30</v>
      </c>
      <c r="W25" s="4">
        <v>30</v>
      </c>
      <c r="X25" s="27"/>
      <c r="Y25" s="4">
        <v>70</v>
      </c>
      <c r="Z25" s="4">
        <v>70</v>
      </c>
      <c r="AA25" s="27"/>
      <c r="AB25" s="4">
        <v>0</v>
      </c>
      <c r="AC25" s="4">
        <v>0</v>
      </c>
      <c r="AD25" s="27"/>
      <c r="AE25" s="4">
        <v>75</v>
      </c>
      <c r="AF25" s="4">
        <v>75</v>
      </c>
      <c r="AG25" s="27"/>
      <c r="AH25" s="4">
        <v>5</v>
      </c>
      <c r="AI25" s="4">
        <v>5</v>
      </c>
      <c r="AJ25" s="27"/>
      <c r="AK25" s="4">
        <v>20</v>
      </c>
      <c r="AL25" s="4">
        <v>20</v>
      </c>
      <c r="AM25" s="27"/>
      <c r="AN25" s="4">
        <v>0</v>
      </c>
      <c r="AO25" s="4">
        <v>0</v>
      </c>
      <c r="AP25" s="27"/>
      <c r="AQ25" s="4">
        <v>20</v>
      </c>
      <c r="AR25" s="4">
        <v>20</v>
      </c>
      <c r="AS25" s="27"/>
      <c r="AT25" s="4">
        <v>5</v>
      </c>
      <c r="AU25" s="4">
        <v>5</v>
      </c>
      <c r="AV25" s="27"/>
      <c r="AW25" s="4">
        <v>10</v>
      </c>
      <c r="AX25" s="4">
        <v>10</v>
      </c>
      <c r="AY25" s="27"/>
      <c r="AZ25" s="4">
        <v>30</v>
      </c>
      <c r="BA25" s="4">
        <v>30</v>
      </c>
      <c r="BB25" s="27"/>
      <c r="BC25" s="4">
        <v>5</v>
      </c>
      <c r="BD25" s="4">
        <v>5</v>
      </c>
      <c r="BE25" s="27"/>
      <c r="BF25" s="4">
        <v>5</v>
      </c>
      <c r="BG25" s="4">
        <v>5</v>
      </c>
      <c r="BH25" s="27"/>
      <c r="BI25" s="4">
        <v>5</v>
      </c>
      <c r="BJ25" s="4">
        <v>5</v>
      </c>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4">
        <v>3</v>
      </c>
      <c r="CN25" s="4">
        <v>3</v>
      </c>
      <c r="CO25" s="27"/>
      <c r="CP25" s="4">
        <v>5</v>
      </c>
      <c r="CQ25" s="4">
        <v>5</v>
      </c>
      <c r="CR25" s="27"/>
      <c r="CS25" s="27"/>
      <c r="CT25" s="5">
        <v>120</v>
      </c>
      <c r="CU25" s="5">
        <v>120</v>
      </c>
      <c r="CV25" s="27"/>
      <c r="CW25" s="5">
        <v>10</v>
      </c>
      <c r="CX25" s="5">
        <v>10</v>
      </c>
      <c r="CY25" s="27"/>
      <c r="CZ25" s="5">
        <v>0</v>
      </c>
      <c r="DA25" s="5">
        <v>0</v>
      </c>
      <c r="DB25" s="27"/>
      <c r="DC25" s="31"/>
      <c r="DD25" s="31"/>
      <c r="DE25" s="31"/>
      <c r="DF25" s="4">
        <v>20</v>
      </c>
      <c r="DG25" s="4">
        <v>20</v>
      </c>
      <c r="DH25" s="27"/>
      <c r="DI25" s="89">
        <v>1</v>
      </c>
      <c r="DJ25" s="4">
        <v>20</v>
      </c>
      <c r="DK25" s="4">
        <v>20</v>
      </c>
      <c r="DL25" s="27"/>
      <c r="DM25" s="27"/>
      <c r="DN25" s="27"/>
      <c r="DO25" s="27"/>
      <c r="DP25" s="27"/>
      <c r="DQ25" s="27"/>
      <c r="DR25" s="27"/>
      <c r="DS25" s="27"/>
      <c r="DT25" s="27"/>
      <c r="DU25" s="27"/>
      <c r="DV25" s="27"/>
      <c r="DW25" s="27"/>
      <c r="DX25" s="27"/>
      <c r="DY25" s="27"/>
      <c r="DZ25" s="27"/>
      <c r="EA25" s="27"/>
      <c r="EB25" s="27"/>
      <c r="EC25" s="27"/>
      <c r="ED25" s="27"/>
      <c r="EE25" s="4">
        <v>0</v>
      </c>
      <c r="EF25" s="4">
        <v>0</v>
      </c>
      <c r="EG25" s="27"/>
      <c r="EH25" s="4">
        <v>30</v>
      </c>
      <c r="EI25" s="4">
        <v>30</v>
      </c>
      <c r="EJ25" s="27"/>
      <c r="EK25" s="27"/>
      <c r="EL25" s="27"/>
      <c r="EM25" s="27"/>
      <c r="EN25" s="27"/>
      <c r="EO25" s="27"/>
      <c r="EP25" s="27"/>
      <c r="EQ25" s="27"/>
      <c r="ER25" s="27"/>
      <c r="ES25" s="27"/>
      <c r="ET25" s="27"/>
      <c r="EU25" s="27"/>
      <c r="EV25" s="27"/>
      <c r="EW25" s="27"/>
      <c r="EX25" s="27"/>
      <c r="EY25" s="27"/>
      <c r="EZ25" s="4">
        <v>5</v>
      </c>
      <c r="FA25" s="4">
        <v>5</v>
      </c>
      <c r="FB25" s="27"/>
      <c r="FC25" s="27"/>
      <c r="FD25" s="27"/>
      <c r="FE25" s="27"/>
      <c r="FF25" s="27"/>
      <c r="FG25" s="27"/>
      <c r="FH25" s="27"/>
      <c r="FI25" s="4">
        <v>15</v>
      </c>
      <c r="FJ25" s="4">
        <v>15</v>
      </c>
      <c r="FK25" s="27"/>
      <c r="FL25" s="4">
        <v>0</v>
      </c>
      <c r="FM25" s="4">
        <v>0</v>
      </c>
      <c r="FN25" s="27"/>
      <c r="FO25" s="4">
        <v>40</v>
      </c>
      <c r="FP25" s="4">
        <v>40</v>
      </c>
      <c r="FQ25" s="27"/>
      <c r="FR25" s="27"/>
      <c r="FS25" s="109"/>
      <c r="FT25" s="54">
        <f>NETWORKDAYS($I26,FO26)</f>
        <v>391</v>
      </c>
      <c r="FU25" s="54">
        <f>NETWORKDAYS($I26,FP26)</f>
        <v>391</v>
      </c>
      <c r="FV25" s="54">
        <f>IF(FQ26="",NETWORKDAYS($I26,FP26),NETWORKDAYS($I26,FQ26))</f>
        <v>391</v>
      </c>
      <c r="FW25" s="55" t="s">
        <v>464</v>
      </c>
    </row>
    <row r="26" spans="1:179" collapsed="1" x14ac:dyDescent="0.35">
      <c r="A26" s="23" t="s">
        <v>4</v>
      </c>
      <c r="B26" s="23">
        <v>107602</v>
      </c>
      <c r="C26" s="24">
        <v>8001659</v>
      </c>
      <c r="D26" s="65"/>
      <c r="E26" s="23" t="str">
        <f>IF(D26="","Unknown",IF(D26&lt;=FM26+90,"Red",IF(AND(D26&gt;FM26+90,D26&lt;=FM26+180),"Yellow",IF(AND(D26&gt;FM26+180,D26&lt;=FM26+690),"Green","Covered"))))</f>
        <v>Unknown</v>
      </c>
      <c r="F26" s="25" t="s">
        <v>466</v>
      </c>
      <c r="G26" s="26"/>
      <c r="H26" s="26" t="str">
        <f>IF(CR26="","Pre-Execution","Execution")</f>
        <v>Execution</v>
      </c>
      <c r="I26" s="13">
        <v>45940</v>
      </c>
      <c r="J26" s="28"/>
      <c r="K26" s="28"/>
      <c r="L26" s="28"/>
      <c r="M26" s="10">
        <v>45979</v>
      </c>
      <c r="N26" s="10">
        <f>WORKDAY(I26,N25)</f>
        <v>45979</v>
      </c>
      <c r="O26" s="56">
        <f>M26</f>
        <v>45979</v>
      </c>
      <c r="P26" s="10">
        <v>45979</v>
      </c>
      <c r="Q26" s="10">
        <f>IF(O26="",WORKDAY(N26,Q25),WORKDAY(O26,Q25))</f>
        <v>45979</v>
      </c>
      <c r="R26" s="56">
        <f>P26</f>
        <v>45979</v>
      </c>
      <c r="S26" s="28"/>
      <c r="T26" s="28"/>
      <c r="U26" s="28"/>
      <c r="V26" s="10">
        <v>46021</v>
      </c>
      <c r="W26" s="10">
        <f>IF(R26="",WORKDAY(Q26,W25),WORKDAY(R26,W25))</f>
        <v>46021</v>
      </c>
      <c r="X26" s="56">
        <f>V26</f>
        <v>46021</v>
      </c>
      <c r="Y26" s="10">
        <v>46077</v>
      </c>
      <c r="Z26" s="10">
        <f>IF(R26="",WORKDAY(Q26,Z25),WORKDAY(R26,Z25))</f>
        <v>46077</v>
      </c>
      <c r="AA26" s="56">
        <f>Y26</f>
        <v>46077</v>
      </c>
      <c r="AB26" s="10">
        <v>45940</v>
      </c>
      <c r="AC26" s="10">
        <f>WORKDAY(I26,AC25)</f>
        <v>45940</v>
      </c>
      <c r="AD26" s="56">
        <f>AB26</f>
        <v>45940</v>
      </c>
      <c r="AE26" s="10">
        <v>46045</v>
      </c>
      <c r="AF26" s="10">
        <f>IF(AD26="",WORKDAY(AC26,AF25),WORKDAY(AD26,AF25))</f>
        <v>46045</v>
      </c>
      <c r="AG26" s="56">
        <f>AE26</f>
        <v>46045</v>
      </c>
      <c r="AH26" s="10">
        <v>46084</v>
      </c>
      <c r="AI26" s="10">
        <f>WORKDAY(IF(AA26="",IF(Z26&gt;AF26,Z26,AF26),IF(AA26&gt;AG26,AA26,AG26)),AI25)</f>
        <v>46084</v>
      </c>
      <c r="AJ26" s="56"/>
      <c r="AK26" s="10">
        <v>46112</v>
      </c>
      <c r="AL26" s="10">
        <f>IF(AJ26="",WORKDAY(AI26,AL25),WORKDAY(AJ26,AL25))</f>
        <v>46112</v>
      </c>
      <c r="AM26" s="10">
        <v>46112</v>
      </c>
      <c r="AN26" s="10">
        <v>46112</v>
      </c>
      <c r="AO26" s="10">
        <v>46112</v>
      </c>
      <c r="AP26" s="10">
        <v>46112</v>
      </c>
      <c r="AQ26" s="10">
        <v>46140</v>
      </c>
      <c r="AR26" s="10">
        <v>46140</v>
      </c>
      <c r="AS26" s="10"/>
      <c r="AT26" s="10">
        <v>46119</v>
      </c>
      <c r="AU26" s="10">
        <v>46119</v>
      </c>
      <c r="AV26" s="56"/>
      <c r="AW26" s="10">
        <v>46154</v>
      </c>
      <c r="AX26" s="10">
        <v>46154</v>
      </c>
      <c r="AY26" s="56"/>
      <c r="AZ26" s="10">
        <v>46154</v>
      </c>
      <c r="BA26" s="10">
        <v>46154</v>
      </c>
      <c r="BB26" s="56"/>
      <c r="BC26" s="10">
        <v>46161</v>
      </c>
      <c r="BD26" s="10">
        <v>46161</v>
      </c>
      <c r="BE26" s="10"/>
      <c r="BF26" s="10">
        <v>46168</v>
      </c>
      <c r="BG26" s="10">
        <v>46168</v>
      </c>
      <c r="BH26" s="56"/>
      <c r="BI26" s="10">
        <v>46175</v>
      </c>
      <c r="BJ26" s="10">
        <v>46175</v>
      </c>
      <c r="BK26" s="56"/>
      <c r="BL26" s="28"/>
      <c r="BM26" s="28"/>
      <c r="BN26" s="28"/>
      <c r="BO26" s="28"/>
      <c r="BP26" s="28"/>
      <c r="BQ26" s="28"/>
      <c r="BR26" s="28"/>
      <c r="BS26" s="28"/>
      <c r="BT26" s="28"/>
      <c r="BU26" s="28"/>
      <c r="BV26" s="28"/>
      <c r="BW26" s="28"/>
      <c r="BX26" s="46"/>
      <c r="BY26" s="28"/>
      <c r="BZ26" s="28"/>
      <c r="CA26" s="28"/>
      <c r="CB26" s="28"/>
      <c r="CC26" s="28"/>
      <c r="CD26" s="28"/>
      <c r="CE26" s="28"/>
      <c r="CF26" s="28"/>
      <c r="CG26" s="28"/>
      <c r="CH26" s="28"/>
      <c r="CI26" s="28"/>
      <c r="CJ26" s="28"/>
      <c r="CK26" s="28"/>
      <c r="CL26" s="28"/>
      <c r="CM26" s="10">
        <v>46178</v>
      </c>
      <c r="CN26" s="10">
        <v>46178</v>
      </c>
      <c r="CO26" s="10">
        <f>CM26</f>
        <v>46178</v>
      </c>
      <c r="CP26" s="10">
        <v>46185</v>
      </c>
      <c r="CQ26" s="10">
        <f>IF(CO26="",WORKDAY(CN26,CQ25),WORKDAY(CO26,CQ25))</f>
        <v>46185</v>
      </c>
      <c r="CR26" s="10">
        <f>WORKDAY(CO26,CR25)</f>
        <v>46178</v>
      </c>
      <c r="CS26" s="77" t="s">
        <v>478</v>
      </c>
      <c r="CT26" s="10">
        <v>46346</v>
      </c>
      <c r="CU26" s="10">
        <f>IF(CR26="",WORKDAY(CQ26,CU25),WORKDAY(CR26,CU25))</f>
        <v>46346</v>
      </c>
      <c r="CV26" s="56">
        <f>CT26</f>
        <v>46346</v>
      </c>
      <c r="CW26" s="10">
        <v>46168</v>
      </c>
      <c r="CX26" s="10">
        <v>46168</v>
      </c>
      <c r="CY26" s="56"/>
      <c r="CZ26" s="10">
        <v>46168</v>
      </c>
      <c r="DA26" s="10">
        <v>46168</v>
      </c>
      <c r="DB26" s="56"/>
      <c r="DC26" s="45"/>
      <c r="DD26" s="45"/>
      <c r="DE26" s="45"/>
      <c r="DF26" s="10">
        <v>46374</v>
      </c>
      <c r="DG26" s="10">
        <f>IF($CV26="",IF($CU26&gt;$DA26,WORKDAY($CU26,DG25),WORKDAY($DA26,DG25)),IF($CV26&gt;$DB26,WORKDAY($CV26,DG25),WORKDAY($DB26,DG25)))</f>
        <v>46374</v>
      </c>
      <c r="DH26" s="56"/>
      <c r="DI26" s="46"/>
      <c r="DJ26" s="10">
        <v>46402</v>
      </c>
      <c r="DK26" s="10">
        <f>IF(DH26="",WORKDAY(DG26,DK25*$DI25),WORKDAY(DH26,DK25*$DI25))</f>
        <v>46402</v>
      </c>
      <c r="DL26" s="56"/>
      <c r="DM26" s="46"/>
      <c r="DN26" s="46"/>
      <c r="DO26" s="46"/>
      <c r="DP26" s="46"/>
      <c r="DQ26" s="46"/>
      <c r="DR26" s="46"/>
      <c r="DS26" s="46"/>
      <c r="DT26" s="46"/>
      <c r="DU26" s="46"/>
      <c r="DV26" s="46"/>
      <c r="DW26" s="46"/>
      <c r="DX26" s="46"/>
      <c r="DY26" s="46"/>
      <c r="DZ26" s="46"/>
      <c r="EA26" s="46"/>
      <c r="EB26" s="46"/>
      <c r="EC26" s="46"/>
      <c r="ED26" s="46"/>
      <c r="EE26" s="10">
        <v>46402</v>
      </c>
      <c r="EF26" s="10">
        <f>IF(DL26="",WORKDAY(DK26,EF25),WORKDAY(DL26,EF25))</f>
        <v>46402</v>
      </c>
      <c r="EG26" s="56"/>
      <c r="EH26" s="10">
        <f>IF(DN26="",WORKDAY(DM26,EH25),WORKDAY(DN26,EH25))</f>
        <v>41</v>
      </c>
      <c r="EI26" s="10">
        <f>IF(DO26="",WORKDAY(DN26,EI25),WORKDAY(DO26,EI25))</f>
        <v>41</v>
      </c>
      <c r="EJ26" s="56"/>
      <c r="EK26" s="27"/>
      <c r="EL26" s="27"/>
      <c r="EM26" s="27"/>
      <c r="EN26" s="27"/>
      <c r="EO26" s="28"/>
      <c r="EP26" s="28"/>
      <c r="EQ26" s="28"/>
      <c r="ER26" s="28"/>
      <c r="ES26" s="28"/>
      <c r="ET26" s="28"/>
      <c r="EU26" s="28"/>
      <c r="EV26" s="28"/>
      <c r="EW26" s="28"/>
      <c r="EX26" s="28"/>
      <c r="EY26" s="28"/>
      <c r="EZ26" s="10">
        <v>46409</v>
      </c>
      <c r="FA26" s="10">
        <f>IF(EG26="",WORKDAY(EF26,FA25),WORKDAY(EG26,FA25))</f>
        <v>46409</v>
      </c>
      <c r="FB26" s="56"/>
      <c r="FC26" s="28"/>
      <c r="FD26" s="28"/>
      <c r="FE26" s="28"/>
      <c r="FF26" s="28"/>
      <c r="FG26" s="28"/>
      <c r="FH26" s="28"/>
      <c r="FI26" s="10">
        <v>46430</v>
      </c>
      <c r="FJ26" s="10">
        <f>IF(FB26="",WORKDAY(FA26,FJ25),WORKDAY(FB26,FJ25))</f>
        <v>46430</v>
      </c>
      <c r="FK26" s="56"/>
      <c r="FL26" s="10">
        <v>46430</v>
      </c>
      <c r="FM26" s="10">
        <f>IF(FK26="",WORKDAY(FJ26,FM25),WORKDAY(FK26,FM25))</f>
        <v>46430</v>
      </c>
      <c r="FN26" s="56"/>
      <c r="FO26" s="10">
        <v>46486</v>
      </c>
      <c r="FP26" s="10">
        <f>WORKDAY(FM26,FP25)</f>
        <v>46486</v>
      </c>
      <c r="FQ26" s="56"/>
      <c r="FR26" s="77" t="str">
        <f>IF(NETWORKDAYS(FJ26,FO26)&gt;=30,"On-Track",IF(AND(NETWORKDAYS(FJ26,FO26)&lt;30,FJ26&lt;=FO26),"At Risk","Missed TCD"))</f>
        <v>On-Track</v>
      </c>
      <c r="FS26" s="110" t="s">
        <v>479</v>
      </c>
      <c r="FT26" s="57">
        <f>NETWORKDAYS(CP26,FI26)</f>
        <v>176</v>
      </c>
      <c r="FU26" s="57">
        <f>NETWORKDAYS(CQ26,FJ26)</f>
        <v>176</v>
      </c>
      <c r="FV26" s="57">
        <f>IF(BH26="",NETWORKDAYS(BG26,FJ26),IF(FK26="",NETWORKDAYS(BH26,FJ26),NETWORKDAYS(BH26,FK26)))</f>
        <v>189</v>
      </c>
      <c r="FW26" s="58" t="s">
        <v>467</v>
      </c>
    </row>
    <row r="27" spans="1:179" hidden="1" outlineLevel="1" x14ac:dyDescent="0.35">
      <c r="A27" s="23" t="s">
        <v>4</v>
      </c>
      <c r="B27" s="23">
        <v>107603</v>
      </c>
      <c r="C27" s="24" t="s">
        <v>487</v>
      </c>
      <c r="D27" s="95"/>
      <c r="E27" s="24"/>
      <c r="F27" s="25" t="s">
        <v>463</v>
      </c>
      <c r="G27" s="26"/>
      <c r="H27" s="26"/>
      <c r="I27" s="27"/>
      <c r="J27" s="27"/>
      <c r="K27" s="27"/>
      <c r="L27" s="27"/>
      <c r="M27" s="4">
        <v>27</v>
      </c>
      <c r="N27" s="4">
        <v>27</v>
      </c>
      <c r="O27" s="27"/>
      <c r="P27" s="4">
        <v>0</v>
      </c>
      <c r="Q27" s="4">
        <v>0</v>
      </c>
      <c r="R27" s="27"/>
      <c r="S27" s="27"/>
      <c r="T27" s="27"/>
      <c r="U27" s="27"/>
      <c r="V27" s="4">
        <v>30</v>
      </c>
      <c r="W27" s="4">
        <v>30</v>
      </c>
      <c r="X27" s="27"/>
      <c r="Y27" s="4">
        <v>70</v>
      </c>
      <c r="Z27" s="4">
        <v>70</v>
      </c>
      <c r="AA27" s="27"/>
      <c r="AB27" s="4">
        <v>0</v>
      </c>
      <c r="AC27" s="4">
        <v>0</v>
      </c>
      <c r="AD27" s="27"/>
      <c r="AE27" s="4">
        <v>75</v>
      </c>
      <c r="AF27" s="4">
        <v>75</v>
      </c>
      <c r="AG27" s="27"/>
      <c r="AH27" s="4">
        <v>5</v>
      </c>
      <c r="AI27" s="4">
        <v>5</v>
      </c>
      <c r="AJ27" s="27"/>
      <c r="AK27" s="4">
        <v>20</v>
      </c>
      <c r="AL27" s="4">
        <v>20</v>
      </c>
      <c r="AM27" s="27"/>
      <c r="AN27" s="4">
        <v>0</v>
      </c>
      <c r="AO27" s="4">
        <v>0</v>
      </c>
      <c r="AP27" s="27"/>
      <c r="AQ27" s="4">
        <v>20</v>
      </c>
      <c r="AR27" s="4">
        <v>20</v>
      </c>
      <c r="AS27" s="27"/>
      <c r="AT27" s="4">
        <v>5</v>
      </c>
      <c r="AU27" s="4">
        <v>5</v>
      </c>
      <c r="AV27" s="27"/>
      <c r="AW27" s="4">
        <v>10</v>
      </c>
      <c r="AX27" s="4">
        <v>10</v>
      </c>
      <c r="AY27" s="27"/>
      <c r="AZ27" s="4">
        <v>30</v>
      </c>
      <c r="BA27" s="4">
        <v>30</v>
      </c>
      <c r="BB27" s="27"/>
      <c r="BC27" s="4">
        <v>5</v>
      </c>
      <c r="BD27" s="4">
        <v>5</v>
      </c>
      <c r="BE27" s="27"/>
      <c r="BF27" s="4">
        <v>5</v>
      </c>
      <c r="BG27" s="4">
        <v>5</v>
      </c>
      <c r="BH27" s="27"/>
      <c r="BI27" s="4">
        <v>5</v>
      </c>
      <c r="BJ27" s="4">
        <v>5</v>
      </c>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4">
        <v>3</v>
      </c>
      <c r="CN27" s="4">
        <v>3</v>
      </c>
      <c r="CO27" s="27"/>
      <c r="CP27" s="4">
        <v>5</v>
      </c>
      <c r="CQ27" s="4">
        <v>5</v>
      </c>
      <c r="CR27" s="27"/>
      <c r="CS27" s="27"/>
      <c r="CT27" s="5">
        <v>120</v>
      </c>
      <c r="CU27" s="5">
        <v>120</v>
      </c>
      <c r="CV27" s="27"/>
      <c r="CW27" s="5">
        <v>10</v>
      </c>
      <c r="CX27" s="5">
        <v>10</v>
      </c>
      <c r="CY27" s="27"/>
      <c r="CZ27" s="5">
        <v>0</v>
      </c>
      <c r="DA27" s="5">
        <v>0</v>
      </c>
      <c r="DB27" s="27"/>
      <c r="DC27" s="31"/>
      <c r="DD27" s="31"/>
      <c r="DE27" s="31"/>
      <c r="DF27" s="4">
        <v>20</v>
      </c>
      <c r="DG27" s="4">
        <v>20</v>
      </c>
      <c r="DH27" s="27"/>
      <c r="DI27" s="89">
        <v>1</v>
      </c>
      <c r="DJ27" s="4">
        <v>20</v>
      </c>
      <c r="DK27" s="4">
        <v>20</v>
      </c>
      <c r="DL27" s="27"/>
      <c r="DM27" s="27"/>
      <c r="DN27" s="27"/>
      <c r="DO27" s="27"/>
      <c r="DP27" s="27"/>
      <c r="DQ27" s="27"/>
      <c r="DR27" s="27"/>
      <c r="DS27" s="27"/>
      <c r="DT27" s="27"/>
      <c r="DU27" s="27"/>
      <c r="DV27" s="27"/>
      <c r="DW27" s="27"/>
      <c r="DX27" s="27"/>
      <c r="DY27" s="27"/>
      <c r="DZ27" s="27"/>
      <c r="EA27" s="27"/>
      <c r="EB27" s="27"/>
      <c r="EC27" s="27"/>
      <c r="ED27" s="27"/>
      <c r="EE27" s="4">
        <v>0</v>
      </c>
      <c r="EF27" s="4">
        <v>0</v>
      </c>
      <c r="EG27" s="27"/>
      <c r="EH27" s="4">
        <v>30</v>
      </c>
      <c r="EI27" s="4">
        <v>30</v>
      </c>
      <c r="EJ27" s="27"/>
      <c r="EK27" s="27"/>
      <c r="EL27" s="27"/>
      <c r="EM27" s="27"/>
      <c r="EN27" s="27"/>
      <c r="EO27" s="27"/>
      <c r="EP27" s="27"/>
      <c r="EQ27" s="27"/>
      <c r="ER27" s="27"/>
      <c r="ES27" s="27"/>
      <c r="ET27" s="27"/>
      <c r="EU27" s="27"/>
      <c r="EV27" s="27"/>
      <c r="EW27" s="27"/>
      <c r="EX27" s="27"/>
      <c r="EY27" s="27"/>
      <c r="EZ27" s="4">
        <v>5</v>
      </c>
      <c r="FA27" s="4">
        <v>5</v>
      </c>
      <c r="FB27" s="27"/>
      <c r="FC27" s="27"/>
      <c r="FD27" s="27"/>
      <c r="FE27" s="27"/>
      <c r="FF27" s="27"/>
      <c r="FG27" s="27"/>
      <c r="FH27" s="27"/>
      <c r="FI27" s="4">
        <v>15</v>
      </c>
      <c r="FJ27" s="4">
        <v>15</v>
      </c>
      <c r="FK27" s="27"/>
      <c r="FL27" s="4">
        <v>0</v>
      </c>
      <c r="FM27" s="4">
        <v>0</v>
      </c>
      <c r="FN27" s="27"/>
      <c r="FO27" s="4">
        <v>40</v>
      </c>
      <c r="FP27" s="4">
        <v>40</v>
      </c>
      <c r="FQ27" s="27"/>
      <c r="FR27" s="27"/>
      <c r="FS27" s="109"/>
      <c r="FT27" s="54">
        <f>NETWORKDAYS($I28,FO28)</f>
        <v>391</v>
      </c>
      <c r="FU27" s="54">
        <f>NETWORKDAYS($I28,FP28)</f>
        <v>391</v>
      </c>
      <c r="FV27" s="54">
        <f>IF(FQ28="",NETWORKDAYS($I28,FP28),NETWORKDAYS($I28,FQ28))</f>
        <v>391</v>
      </c>
      <c r="FW27" s="55" t="s">
        <v>464</v>
      </c>
    </row>
    <row r="28" spans="1:179" collapsed="1" x14ac:dyDescent="0.35">
      <c r="A28" s="23" t="s">
        <v>4</v>
      </c>
      <c r="B28" s="23">
        <v>107603</v>
      </c>
      <c r="C28" s="24" t="s">
        <v>487</v>
      </c>
      <c r="D28" s="65"/>
      <c r="E28" s="23" t="str">
        <f>IF(D28="","Unknown",IF(D28&lt;=FM28+90,"Red",IF(AND(D28&gt;FM28+90,D28&lt;=FM28+180),"Yellow",IF(AND(D28&gt;FM28+180,D28&lt;=FM28+690),"Green","Covered"))))</f>
        <v>Unknown</v>
      </c>
      <c r="F28" s="25" t="s">
        <v>466</v>
      </c>
      <c r="G28" s="26"/>
      <c r="H28" s="26" t="str">
        <f>IF(CR28="","Pre-Execution","Execution")</f>
        <v>Execution</v>
      </c>
      <c r="I28" s="13">
        <v>45940</v>
      </c>
      <c r="J28" s="28"/>
      <c r="K28" s="28"/>
      <c r="L28" s="28"/>
      <c r="M28" s="10">
        <v>45979</v>
      </c>
      <c r="N28" s="10">
        <f>WORKDAY(I28,N27)</f>
        <v>45979</v>
      </c>
      <c r="O28" s="56">
        <f>M28</f>
        <v>45979</v>
      </c>
      <c r="P28" s="10">
        <v>45979</v>
      </c>
      <c r="Q28" s="10">
        <f>IF(O28="",WORKDAY(N28,Q27),WORKDAY(O28,Q27))</f>
        <v>45979</v>
      </c>
      <c r="R28" s="56">
        <f>P28</f>
        <v>45979</v>
      </c>
      <c r="S28" s="28"/>
      <c r="T28" s="28"/>
      <c r="U28" s="28"/>
      <c r="V28" s="10">
        <v>46021</v>
      </c>
      <c r="W28" s="10">
        <f>IF(R28="",WORKDAY(Q28,W27),WORKDAY(R28,W27))</f>
        <v>46021</v>
      </c>
      <c r="X28" s="56">
        <f>V28</f>
        <v>46021</v>
      </c>
      <c r="Y28" s="10">
        <v>46077</v>
      </c>
      <c r="Z28" s="10">
        <f>IF(R28="",WORKDAY(Q28,Z27),WORKDAY(R28,Z27))</f>
        <v>46077</v>
      </c>
      <c r="AA28" s="56">
        <f>Y28</f>
        <v>46077</v>
      </c>
      <c r="AB28" s="10">
        <v>45940</v>
      </c>
      <c r="AC28" s="10">
        <f>WORKDAY(I28,AC27)</f>
        <v>45940</v>
      </c>
      <c r="AD28" s="56">
        <f>AB28</f>
        <v>45940</v>
      </c>
      <c r="AE28" s="10">
        <v>46045</v>
      </c>
      <c r="AF28" s="10">
        <f>IF(AD28="",WORKDAY(AC28,AF27),WORKDAY(AD28,AF27))</f>
        <v>46045</v>
      </c>
      <c r="AG28" s="56">
        <f>AE28</f>
        <v>46045</v>
      </c>
      <c r="AH28" s="10">
        <v>46084</v>
      </c>
      <c r="AI28" s="10">
        <f>WORKDAY(IF(AA28="",IF(Z28&gt;AF28,Z28,AF28),IF(AA28&gt;AG28,AA28,AG28)),AI27)</f>
        <v>46084</v>
      </c>
      <c r="AJ28" s="56"/>
      <c r="AK28" s="10">
        <v>46112</v>
      </c>
      <c r="AL28" s="10">
        <f>IF(AJ28="",WORKDAY(AI28,AL27),WORKDAY(AJ28,AL27))</f>
        <v>46112</v>
      </c>
      <c r="AM28" s="10">
        <v>46112</v>
      </c>
      <c r="AN28" s="10">
        <v>46112</v>
      </c>
      <c r="AO28" s="10">
        <v>46112</v>
      </c>
      <c r="AP28" s="10">
        <v>46112</v>
      </c>
      <c r="AQ28" s="10">
        <v>46140</v>
      </c>
      <c r="AR28" s="10">
        <v>46140</v>
      </c>
      <c r="AS28" s="10"/>
      <c r="AT28" s="10">
        <v>46119</v>
      </c>
      <c r="AU28" s="10">
        <v>46119</v>
      </c>
      <c r="AV28" s="56"/>
      <c r="AW28" s="10">
        <v>46154</v>
      </c>
      <c r="AX28" s="10">
        <v>46154</v>
      </c>
      <c r="AY28" s="56"/>
      <c r="AZ28" s="10">
        <v>46154</v>
      </c>
      <c r="BA28" s="10">
        <v>46154</v>
      </c>
      <c r="BB28" s="56"/>
      <c r="BC28" s="10">
        <v>46161</v>
      </c>
      <c r="BD28" s="10">
        <v>46161</v>
      </c>
      <c r="BE28" s="10"/>
      <c r="BF28" s="10">
        <v>46168</v>
      </c>
      <c r="BG28" s="10">
        <v>46168</v>
      </c>
      <c r="BH28" s="56"/>
      <c r="BI28" s="10">
        <v>46175</v>
      </c>
      <c r="BJ28" s="10">
        <v>46175</v>
      </c>
      <c r="BK28" s="56"/>
      <c r="BL28" s="28"/>
      <c r="BM28" s="28"/>
      <c r="BN28" s="28"/>
      <c r="BO28" s="28"/>
      <c r="BP28" s="28"/>
      <c r="BQ28" s="28"/>
      <c r="BR28" s="28"/>
      <c r="BS28" s="28"/>
      <c r="BT28" s="28"/>
      <c r="BU28" s="28"/>
      <c r="BV28" s="28"/>
      <c r="BW28" s="28"/>
      <c r="BX28" s="46"/>
      <c r="BY28" s="28"/>
      <c r="BZ28" s="28"/>
      <c r="CA28" s="28"/>
      <c r="CB28" s="28"/>
      <c r="CC28" s="28"/>
      <c r="CD28" s="28"/>
      <c r="CE28" s="28"/>
      <c r="CF28" s="28"/>
      <c r="CG28" s="28"/>
      <c r="CH28" s="28"/>
      <c r="CI28" s="28"/>
      <c r="CJ28" s="28"/>
      <c r="CK28" s="28"/>
      <c r="CL28" s="28"/>
      <c r="CM28" s="10">
        <v>46178</v>
      </c>
      <c r="CN28" s="10">
        <v>46178</v>
      </c>
      <c r="CO28" s="10">
        <f>CM28</f>
        <v>46178</v>
      </c>
      <c r="CP28" s="10">
        <v>46185</v>
      </c>
      <c r="CQ28" s="10">
        <f>IF(CO28="",WORKDAY(CN28,CQ27),WORKDAY(CO28,CQ27))</f>
        <v>46185</v>
      </c>
      <c r="CR28" s="10">
        <f>WORKDAY(CO28,CR27)</f>
        <v>46178</v>
      </c>
      <c r="CS28" s="77" t="s">
        <v>478</v>
      </c>
      <c r="CT28" s="10">
        <v>46346</v>
      </c>
      <c r="CU28" s="10">
        <f>IF(CR28="",WORKDAY(CQ28,CU27),WORKDAY(CR28,CU27))</f>
        <v>46346</v>
      </c>
      <c r="CV28" s="56">
        <f>CT28</f>
        <v>46346</v>
      </c>
      <c r="CW28" s="10">
        <v>46168</v>
      </c>
      <c r="CX28" s="10">
        <v>46168</v>
      </c>
      <c r="CY28" s="56"/>
      <c r="CZ28" s="10">
        <v>46168</v>
      </c>
      <c r="DA28" s="10">
        <v>46168</v>
      </c>
      <c r="DB28" s="56"/>
      <c r="DC28" s="45"/>
      <c r="DD28" s="45"/>
      <c r="DE28" s="45"/>
      <c r="DF28" s="10">
        <v>46374</v>
      </c>
      <c r="DG28" s="10">
        <f>IF($CV28="",IF($CU28&gt;$DA28,WORKDAY($CU28,DG27),WORKDAY($DA28,DG27)),IF($CV28&gt;$DB28,WORKDAY($CV28,DG27),WORKDAY($DB28,DG27)))</f>
        <v>46374</v>
      </c>
      <c r="DH28" s="56"/>
      <c r="DI28" s="46"/>
      <c r="DJ28" s="10">
        <v>46402</v>
      </c>
      <c r="DK28" s="10">
        <f>IF(DH28="",WORKDAY(DG28,DK27*$DI27),WORKDAY(DH28,DK27*$DI27))</f>
        <v>46402</v>
      </c>
      <c r="DL28" s="56"/>
      <c r="DM28" s="46"/>
      <c r="DN28" s="46"/>
      <c r="DO28" s="46"/>
      <c r="DP28" s="46"/>
      <c r="DQ28" s="46"/>
      <c r="DR28" s="46"/>
      <c r="DS28" s="46"/>
      <c r="DT28" s="46"/>
      <c r="DU28" s="46"/>
      <c r="DV28" s="46"/>
      <c r="DW28" s="46"/>
      <c r="DX28" s="46"/>
      <c r="DY28" s="46"/>
      <c r="DZ28" s="46"/>
      <c r="EA28" s="46"/>
      <c r="EB28" s="46"/>
      <c r="EC28" s="46"/>
      <c r="ED28" s="46"/>
      <c r="EE28" s="10">
        <v>46402</v>
      </c>
      <c r="EF28" s="10">
        <f>IF(DL28="",WORKDAY(DK28,EF27),WORKDAY(DL28,EF27))</f>
        <v>46402</v>
      </c>
      <c r="EG28" s="56"/>
      <c r="EH28" s="10">
        <f>IF(DN28="",WORKDAY(DM28,EH27),WORKDAY(DN28,EH27))</f>
        <v>41</v>
      </c>
      <c r="EI28" s="10">
        <f>IF(DO28="",WORKDAY(DN28,EI27),WORKDAY(DO28,EI27))</f>
        <v>41</v>
      </c>
      <c r="EJ28" s="56"/>
      <c r="EK28" s="27"/>
      <c r="EL28" s="27"/>
      <c r="EM28" s="27"/>
      <c r="EN28" s="27"/>
      <c r="EO28" s="28"/>
      <c r="EP28" s="28"/>
      <c r="EQ28" s="28"/>
      <c r="ER28" s="28"/>
      <c r="ES28" s="28"/>
      <c r="ET28" s="28"/>
      <c r="EU28" s="28"/>
      <c r="EV28" s="28"/>
      <c r="EW28" s="28"/>
      <c r="EX28" s="28"/>
      <c r="EY28" s="28"/>
      <c r="EZ28" s="10">
        <v>46409</v>
      </c>
      <c r="FA28" s="10">
        <f>IF(EG28="",WORKDAY(EF28,FA27),WORKDAY(EG28,FA27))</f>
        <v>46409</v>
      </c>
      <c r="FB28" s="56"/>
      <c r="FC28" s="28"/>
      <c r="FD28" s="28"/>
      <c r="FE28" s="28"/>
      <c r="FF28" s="28"/>
      <c r="FG28" s="28"/>
      <c r="FH28" s="28"/>
      <c r="FI28" s="10">
        <v>46430</v>
      </c>
      <c r="FJ28" s="10">
        <f>IF(FB28="",WORKDAY(FA28,FJ27),WORKDAY(FB28,FJ27))</f>
        <v>46430</v>
      </c>
      <c r="FK28" s="56"/>
      <c r="FL28" s="10">
        <v>46430</v>
      </c>
      <c r="FM28" s="10">
        <f>IF(FK28="",WORKDAY(FJ28,FM27),WORKDAY(FK28,FM27))</f>
        <v>46430</v>
      </c>
      <c r="FN28" s="56"/>
      <c r="FO28" s="10">
        <v>46486</v>
      </c>
      <c r="FP28" s="10">
        <f>WORKDAY(FM28,FP27)</f>
        <v>46486</v>
      </c>
      <c r="FQ28" s="56"/>
      <c r="FR28" s="77" t="str">
        <f>IF(NETWORKDAYS(FJ28,FO28)&gt;=30,"On-Track",IF(AND(NETWORKDAYS(FJ28,FO28)&lt;30,FJ28&lt;=FO28),"At Risk","Missed TCD"))</f>
        <v>On-Track</v>
      </c>
      <c r="FS28" s="110" t="s">
        <v>479</v>
      </c>
      <c r="FT28" s="57">
        <f>NETWORKDAYS(CP28,FI28)</f>
        <v>176</v>
      </c>
      <c r="FU28" s="57">
        <f>NETWORKDAYS(CQ28,FJ28)</f>
        <v>176</v>
      </c>
      <c r="FV28" s="57">
        <f>IF(BH28="",NETWORKDAYS(BG28,FJ28),IF(FK28="",NETWORKDAYS(BH28,FJ28),NETWORKDAYS(BH28,FK28)))</f>
        <v>189</v>
      </c>
      <c r="FW28" s="58" t="s">
        <v>467</v>
      </c>
    </row>
    <row r="29" spans="1:179" hidden="1" outlineLevel="1" x14ac:dyDescent="0.35">
      <c r="A29" s="23" t="s">
        <v>4</v>
      </c>
      <c r="B29" s="23">
        <v>107606</v>
      </c>
      <c r="C29" s="24" t="s">
        <v>488</v>
      </c>
      <c r="D29" s="95"/>
      <c r="E29" s="24"/>
      <c r="F29" s="25" t="s">
        <v>463</v>
      </c>
      <c r="G29" s="26"/>
      <c r="H29" s="26"/>
      <c r="I29" s="27"/>
      <c r="J29" s="27"/>
      <c r="K29" s="27"/>
      <c r="L29" s="27"/>
      <c r="M29" s="4">
        <v>27</v>
      </c>
      <c r="N29" s="4">
        <v>27</v>
      </c>
      <c r="O29" s="27"/>
      <c r="P29" s="4">
        <v>0</v>
      </c>
      <c r="Q29" s="4">
        <v>0</v>
      </c>
      <c r="R29" s="27"/>
      <c r="S29" s="27"/>
      <c r="T29" s="27"/>
      <c r="U29" s="27"/>
      <c r="V29" s="4">
        <v>30</v>
      </c>
      <c r="W29" s="4">
        <v>30</v>
      </c>
      <c r="X29" s="27"/>
      <c r="Y29" s="4">
        <v>70</v>
      </c>
      <c r="Z29" s="4">
        <v>70</v>
      </c>
      <c r="AA29" s="27"/>
      <c r="AB29" s="4">
        <v>0</v>
      </c>
      <c r="AC29" s="4">
        <v>0</v>
      </c>
      <c r="AD29" s="27"/>
      <c r="AE29" s="4">
        <v>75</v>
      </c>
      <c r="AF29" s="4">
        <v>75</v>
      </c>
      <c r="AG29" s="27"/>
      <c r="AH29" s="4">
        <v>5</v>
      </c>
      <c r="AI29" s="4">
        <v>5</v>
      </c>
      <c r="AJ29" s="27"/>
      <c r="AK29" s="4">
        <v>20</v>
      </c>
      <c r="AL29" s="4">
        <v>20</v>
      </c>
      <c r="AM29" s="27"/>
      <c r="AN29" s="4">
        <v>0</v>
      </c>
      <c r="AO29" s="4">
        <v>0</v>
      </c>
      <c r="AP29" s="27"/>
      <c r="AQ29" s="4">
        <v>20</v>
      </c>
      <c r="AR29" s="4">
        <v>20</v>
      </c>
      <c r="AS29" s="27"/>
      <c r="AT29" s="4">
        <v>5</v>
      </c>
      <c r="AU29" s="4">
        <v>5</v>
      </c>
      <c r="AV29" s="27"/>
      <c r="AW29" s="4">
        <v>10</v>
      </c>
      <c r="AX29" s="4">
        <v>10</v>
      </c>
      <c r="AY29" s="27"/>
      <c r="AZ29" s="4">
        <v>30</v>
      </c>
      <c r="BA29" s="4">
        <v>30</v>
      </c>
      <c r="BB29" s="27"/>
      <c r="BC29" s="4">
        <v>5</v>
      </c>
      <c r="BD29" s="4">
        <v>5</v>
      </c>
      <c r="BE29" s="27"/>
      <c r="BF29" s="4">
        <v>5</v>
      </c>
      <c r="BG29" s="4">
        <v>5</v>
      </c>
      <c r="BH29" s="27"/>
      <c r="BI29" s="4">
        <v>5</v>
      </c>
      <c r="BJ29" s="4">
        <v>5</v>
      </c>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4">
        <v>3</v>
      </c>
      <c r="CN29" s="4">
        <v>3</v>
      </c>
      <c r="CO29" s="27"/>
      <c r="CP29" s="4">
        <v>5</v>
      </c>
      <c r="CQ29" s="4">
        <v>5</v>
      </c>
      <c r="CR29" s="27"/>
      <c r="CS29" s="27"/>
      <c r="CT29" s="5">
        <v>120</v>
      </c>
      <c r="CU29" s="5">
        <v>120</v>
      </c>
      <c r="CV29" s="27"/>
      <c r="CW29" s="5">
        <v>10</v>
      </c>
      <c r="CX29" s="5">
        <v>10</v>
      </c>
      <c r="CY29" s="27"/>
      <c r="CZ29" s="5">
        <v>0</v>
      </c>
      <c r="DA29" s="5">
        <v>0</v>
      </c>
      <c r="DB29" s="27"/>
      <c r="DC29" s="31"/>
      <c r="DD29" s="31"/>
      <c r="DE29" s="31"/>
      <c r="DF29" s="4">
        <v>20</v>
      </c>
      <c r="DG29" s="4">
        <v>20</v>
      </c>
      <c r="DH29" s="27"/>
      <c r="DI29" s="89">
        <v>1</v>
      </c>
      <c r="DJ29" s="4">
        <v>20</v>
      </c>
      <c r="DK29" s="4">
        <v>20</v>
      </c>
      <c r="DL29" s="27"/>
      <c r="DM29" s="27"/>
      <c r="DN29" s="27"/>
      <c r="DO29" s="27"/>
      <c r="DP29" s="27"/>
      <c r="DQ29" s="27"/>
      <c r="DR29" s="27"/>
      <c r="DS29" s="27"/>
      <c r="DT29" s="27"/>
      <c r="DU29" s="27"/>
      <c r="DV29" s="27"/>
      <c r="DW29" s="27"/>
      <c r="DX29" s="27"/>
      <c r="DY29" s="27"/>
      <c r="DZ29" s="27"/>
      <c r="EA29" s="27"/>
      <c r="EB29" s="27"/>
      <c r="EC29" s="27"/>
      <c r="ED29" s="27"/>
      <c r="EE29" s="4">
        <v>0</v>
      </c>
      <c r="EF29" s="4">
        <v>0</v>
      </c>
      <c r="EG29" s="27"/>
      <c r="EH29" s="4">
        <v>30</v>
      </c>
      <c r="EI29" s="4">
        <v>30</v>
      </c>
      <c r="EJ29" s="27"/>
      <c r="EK29" s="27"/>
      <c r="EL29" s="27"/>
      <c r="EM29" s="27"/>
      <c r="EN29" s="27"/>
      <c r="EO29" s="27"/>
      <c r="EP29" s="27"/>
      <c r="EQ29" s="27"/>
      <c r="ER29" s="27"/>
      <c r="ES29" s="27"/>
      <c r="ET29" s="27"/>
      <c r="EU29" s="27"/>
      <c r="EV29" s="27"/>
      <c r="EW29" s="27"/>
      <c r="EX29" s="27"/>
      <c r="EY29" s="27"/>
      <c r="EZ29" s="4">
        <v>5</v>
      </c>
      <c r="FA29" s="4">
        <v>5</v>
      </c>
      <c r="FB29" s="27"/>
      <c r="FC29" s="27"/>
      <c r="FD29" s="27"/>
      <c r="FE29" s="27"/>
      <c r="FF29" s="27"/>
      <c r="FG29" s="27"/>
      <c r="FH29" s="27"/>
      <c r="FI29" s="4">
        <v>15</v>
      </c>
      <c r="FJ29" s="4">
        <v>15</v>
      </c>
      <c r="FK29" s="27"/>
      <c r="FL29" s="4">
        <v>0</v>
      </c>
      <c r="FM29" s="4">
        <v>0</v>
      </c>
      <c r="FN29" s="27"/>
      <c r="FO29" s="4">
        <v>40</v>
      </c>
      <c r="FP29" s="4">
        <v>40</v>
      </c>
      <c r="FQ29" s="27"/>
      <c r="FR29" s="27"/>
      <c r="FS29" s="109"/>
      <c r="FT29" s="54">
        <f>NETWORKDAYS($I30,FO30)</f>
        <v>391</v>
      </c>
      <c r="FU29" s="54">
        <f>NETWORKDAYS($I30,FP30)</f>
        <v>391</v>
      </c>
      <c r="FV29" s="54">
        <f>IF(FQ30="",NETWORKDAYS($I30,FP30),NETWORKDAYS($I30,FQ30))</f>
        <v>391</v>
      </c>
      <c r="FW29" s="55" t="s">
        <v>464</v>
      </c>
    </row>
    <row r="30" spans="1:179" collapsed="1" x14ac:dyDescent="0.35">
      <c r="A30" s="23" t="s">
        <v>4</v>
      </c>
      <c r="B30" s="23">
        <v>107606</v>
      </c>
      <c r="C30" s="24" t="s">
        <v>488</v>
      </c>
      <c r="D30" s="65"/>
      <c r="E30" s="23" t="str">
        <f>IF(D30="","Unknown",IF(D30&lt;=FM30+90,"Red",IF(AND(D30&gt;FM30+90,D30&lt;=FM30+180),"Yellow",IF(AND(D30&gt;FM30+180,D30&lt;=FM30+690),"Green","Covered"))))</f>
        <v>Unknown</v>
      </c>
      <c r="F30" s="25" t="s">
        <v>466</v>
      </c>
      <c r="G30" s="26"/>
      <c r="H30" s="26" t="str">
        <f>IF(CR30="","Pre-Execution","Execution")</f>
        <v>Execution</v>
      </c>
      <c r="I30" s="13">
        <v>45940</v>
      </c>
      <c r="J30" s="28"/>
      <c r="K30" s="28"/>
      <c r="L30" s="28"/>
      <c r="M30" s="10">
        <v>45979</v>
      </c>
      <c r="N30" s="10">
        <f>WORKDAY(I30,N29)</f>
        <v>45979</v>
      </c>
      <c r="O30" s="56">
        <f>M30</f>
        <v>45979</v>
      </c>
      <c r="P30" s="10">
        <v>45979</v>
      </c>
      <c r="Q30" s="10">
        <f>IF(O30="",WORKDAY(N30,Q29),WORKDAY(O30,Q29))</f>
        <v>45979</v>
      </c>
      <c r="R30" s="56">
        <f>P30</f>
        <v>45979</v>
      </c>
      <c r="S30" s="28"/>
      <c r="T30" s="28"/>
      <c r="U30" s="28"/>
      <c r="V30" s="10">
        <v>46021</v>
      </c>
      <c r="W30" s="10">
        <f>IF(R30="",WORKDAY(Q30,W29),WORKDAY(R30,W29))</f>
        <v>46021</v>
      </c>
      <c r="X30" s="56">
        <f>V30</f>
        <v>46021</v>
      </c>
      <c r="Y30" s="10">
        <v>46077</v>
      </c>
      <c r="Z30" s="10">
        <f>IF(R30="",WORKDAY(Q30,Z29),WORKDAY(R30,Z29))</f>
        <v>46077</v>
      </c>
      <c r="AA30" s="56">
        <f>Y30</f>
        <v>46077</v>
      </c>
      <c r="AB30" s="10">
        <v>45940</v>
      </c>
      <c r="AC30" s="10">
        <f>WORKDAY(I30,AC29)</f>
        <v>45940</v>
      </c>
      <c r="AD30" s="56">
        <f>AB30</f>
        <v>45940</v>
      </c>
      <c r="AE30" s="10">
        <v>46045</v>
      </c>
      <c r="AF30" s="10">
        <f>IF(AD30="",WORKDAY(AC30,AF29),WORKDAY(AD30,AF29))</f>
        <v>46045</v>
      </c>
      <c r="AG30" s="56">
        <f>AE30</f>
        <v>46045</v>
      </c>
      <c r="AH30" s="10">
        <v>46084</v>
      </c>
      <c r="AI30" s="10">
        <f>WORKDAY(IF(AA30="",IF(Z30&gt;AF30,Z30,AF30),IF(AA30&gt;AG30,AA30,AG30)),AI29)</f>
        <v>46084</v>
      </c>
      <c r="AJ30" s="56"/>
      <c r="AK30" s="10">
        <v>46112</v>
      </c>
      <c r="AL30" s="10">
        <f>IF(AJ30="",WORKDAY(AI30,AL29),WORKDAY(AJ30,AL29))</f>
        <v>46112</v>
      </c>
      <c r="AM30" s="10">
        <v>46112</v>
      </c>
      <c r="AN30" s="10">
        <v>46112</v>
      </c>
      <c r="AO30" s="10">
        <v>46112</v>
      </c>
      <c r="AP30" s="10">
        <v>46112</v>
      </c>
      <c r="AQ30" s="10">
        <v>46140</v>
      </c>
      <c r="AR30" s="10">
        <v>46140</v>
      </c>
      <c r="AS30" s="10"/>
      <c r="AT30" s="10">
        <v>46119</v>
      </c>
      <c r="AU30" s="10">
        <v>46119</v>
      </c>
      <c r="AV30" s="56"/>
      <c r="AW30" s="10">
        <v>46154</v>
      </c>
      <c r="AX30" s="10">
        <v>46154</v>
      </c>
      <c r="AY30" s="56"/>
      <c r="AZ30" s="10">
        <v>46154</v>
      </c>
      <c r="BA30" s="10">
        <v>46154</v>
      </c>
      <c r="BB30" s="56"/>
      <c r="BC30" s="10">
        <v>46161</v>
      </c>
      <c r="BD30" s="10">
        <v>46161</v>
      </c>
      <c r="BE30" s="10"/>
      <c r="BF30" s="10">
        <v>46168</v>
      </c>
      <c r="BG30" s="10">
        <v>46168</v>
      </c>
      <c r="BH30" s="56"/>
      <c r="BI30" s="10">
        <v>46175</v>
      </c>
      <c r="BJ30" s="10">
        <v>46175</v>
      </c>
      <c r="BK30" s="56"/>
      <c r="BL30" s="28"/>
      <c r="BM30" s="28"/>
      <c r="BN30" s="28"/>
      <c r="BO30" s="28"/>
      <c r="BP30" s="28"/>
      <c r="BQ30" s="28"/>
      <c r="BR30" s="28"/>
      <c r="BS30" s="28"/>
      <c r="BT30" s="28"/>
      <c r="BU30" s="28"/>
      <c r="BV30" s="28"/>
      <c r="BW30" s="28"/>
      <c r="BX30" s="46"/>
      <c r="BY30" s="28"/>
      <c r="BZ30" s="28"/>
      <c r="CA30" s="28"/>
      <c r="CB30" s="28"/>
      <c r="CC30" s="28"/>
      <c r="CD30" s="28"/>
      <c r="CE30" s="28"/>
      <c r="CF30" s="28"/>
      <c r="CG30" s="28"/>
      <c r="CH30" s="28"/>
      <c r="CI30" s="28"/>
      <c r="CJ30" s="28"/>
      <c r="CK30" s="28"/>
      <c r="CL30" s="28"/>
      <c r="CM30" s="10">
        <v>46178</v>
      </c>
      <c r="CN30" s="10">
        <v>46178</v>
      </c>
      <c r="CO30" s="10">
        <f>CM30</f>
        <v>46178</v>
      </c>
      <c r="CP30" s="10">
        <v>46185</v>
      </c>
      <c r="CQ30" s="10">
        <f>IF(CO30="",WORKDAY(CN30,CQ29),WORKDAY(CO30,CQ29))</f>
        <v>46185</v>
      </c>
      <c r="CR30" s="10">
        <f>WORKDAY(CO30,CR29)</f>
        <v>46178</v>
      </c>
      <c r="CS30" s="77" t="s">
        <v>478</v>
      </c>
      <c r="CT30" s="10">
        <v>46346</v>
      </c>
      <c r="CU30" s="10">
        <f>IF(CR30="",WORKDAY(CQ30,CU29),WORKDAY(CR30,CU29))</f>
        <v>46346</v>
      </c>
      <c r="CV30" s="56">
        <f>CT30</f>
        <v>46346</v>
      </c>
      <c r="CW30" s="10">
        <v>46168</v>
      </c>
      <c r="CX30" s="10">
        <v>46168</v>
      </c>
      <c r="CY30" s="56"/>
      <c r="CZ30" s="10">
        <v>46168</v>
      </c>
      <c r="DA30" s="10">
        <v>46168</v>
      </c>
      <c r="DB30" s="56"/>
      <c r="DC30" s="45"/>
      <c r="DD30" s="45"/>
      <c r="DE30" s="45"/>
      <c r="DF30" s="10">
        <v>46374</v>
      </c>
      <c r="DG30" s="10">
        <f>IF($CV30="",IF($CU30&gt;$DA30,WORKDAY($CU30,DG29),WORKDAY($DA30,DG29)),IF($CV30&gt;$DB30,WORKDAY($CV30,DG29),WORKDAY($DB30,DG29)))</f>
        <v>46374</v>
      </c>
      <c r="DH30" s="56"/>
      <c r="DI30" s="46"/>
      <c r="DJ30" s="10">
        <v>46402</v>
      </c>
      <c r="DK30" s="10">
        <f>IF(DH30="",WORKDAY(DG30,DK29*$DI29),WORKDAY(DH30,DK29*$DI29))</f>
        <v>46402</v>
      </c>
      <c r="DL30" s="56"/>
      <c r="DM30" s="46"/>
      <c r="DN30" s="46"/>
      <c r="DO30" s="46"/>
      <c r="DP30" s="46"/>
      <c r="DQ30" s="46"/>
      <c r="DR30" s="46"/>
      <c r="DS30" s="46"/>
      <c r="DT30" s="46"/>
      <c r="DU30" s="46"/>
      <c r="DV30" s="46"/>
      <c r="DW30" s="46"/>
      <c r="DX30" s="46"/>
      <c r="DY30" s="46"/>
      <c r="DZ30" s="46"/>
      <c r="EA30" s="46"/>
      <c r="EB30" s="46"/>
      <c r="EC30" s="46"/>
      <c r="ED30" s="46"/>
      <c r="EE30" s="10">
        <v>46402</v>
      </c>
      <c r="EF30" s="10">
        <f>IF(DL30="",WORKDAY(DK30,EF29),WORKDAY(DL30,EF29))</f>
        <v>46402</v>
      </c>
      <c r="EG30" s="56"/>
      <c r="EH30" s="10">
        <f>IF(DN30="",WORKDAY(DM30,EH29),WORKDAY(DN30,EH29))</f>
        <v>41</v>
      </c>
      <c r="EI30" s="10">
        <f>IF(DO30="",WORKDAY(DN30,EI29),WORKDAY(DO30,EI29))</f>
        <v>41</v>
      </c>
      <c r="EJ30" s="56"/>
      <c r="EK30" s="27"/>
      <c r="EL30" s="27"/>
      <c r="EM30" s="27"/>
      <c r="EN30" s="27"/>
      <c r="EO30" s="28"/>
      <c r="EP30" s="28"/>
      <c r="EQ30" s="28"/>
      <c r="ER30" s="28"/>
      <c r="ES30" s="28"/>
      <c r="ET30" s="28"/>
      <c r="EU30" s="28"/>
      <c r="EV30" s="28"/>
      <c r="EW30" s="28"/>
      <c r="EX30" s="28"/>
      <c r="EY30" s="28"/>
      <c r="EZ30" s="10">
        <v>46409</v>
      </c>
      <c r="FA30" s="10">
        <f>IF(EG30="",WORKDAY(EF30,FA29),WORKDAY(EG30,FA29))</f>
        <v>46409</v>
      </c>
      <c r="FB30" s="56"/>
      <c r="FC30" s="28"/>
      <c r="FD30" s="28"/>
      <c r="FE30" s="28"/>
      <c r="FF30" s="28"/>
      <c r="FG30" s="28"/>
      <c r="FH30" s="28"/>
      <c r="FI30" s="10">
        <v>46430</v>
      </c>
      <c r="FJ30" s="10">
        <f>IF(FB30="",WORKDAY(FA30,FJ29),WORKDAY(FB30,FJ29))</f>
        <v>46430</v>
      </c>
      <c r="FK30" s="56"/>
      <c r="FL30" s="10">
        <v>46430</v>
      </c>
      <c r="FM30" s="10">
        <f>IF(FK30="",WORKDAY(FJ30,FM29),WORKDAY(FK30,FM29))</f>
        <v>46430</v>
      </c>
      <c r="FN30" s="56"/>
      <c r="FO30" s="10">
        <v>46486</v>
      </c>
      <c r="FP30" s="10">
        <f>WORKDAY(FM30,FP29)</f>
        <v>46486</v>
      </c>
      <c r="FQ30" s="56"/>
      <c r="FR30" s="77" t="str">
        <f>IF(NETWORKDAYS(FJ30,FO30)&gt;=30,"On-Track",IF(AND(NETWORKDAYS(FJ30,FO30)&lt;30,FJ30&lt;=FO30),"At Risk","Missed TCD"))</f>
        <v>On-Track</v>
      </c>
      <c r="FS30" s="110" t="s">
        <v>479</v>
      </c>
      <c r="FT30" s="57">
        <f>NETWORKDAYS(CP30,FI30)</f>
        <v>176</v>
      </c>
      <c r="FU30" s="57">
        <f>NETWORKDAYS(CQ30,FJ30)</f>
        <v>176</v>
      </c>
      <c r="FV30" s="57">
        <f>IF(BH30="",NETWORKDAYS(BG30,FJ30),IF(FK30="",NETWORKDAYS(BH30,FJ30),NETWORKDAYS(BH30,FK30)))</f>
        <v>189</v>
      </c>
      <c r="FW30" s="58" t="s">
        <v>467</v>
      </c>
    </row>
    <row r="31" spans="1:179" hidden="1" outlineLevel="1" x14ac:dyDescent="0.35">
      <c r="A31" s="23" t="s">
        <v>4</v>
      </c>
      <c r="B31" s="23">
        <v>107607</v>
      </c>
      <c r="C31" s="24" t="s">
        <v>489</v>
      </c>
      <c r="D31" s="95"/>
      <c r="E31" s="24"/>
      <c r="F31" s="25" t="s">
        <v>463</v>
      </c>
      <c r="G31" s="26"/>
      <c r="H31" s="26"/>
      <c r="I31" s="27"/>
      <c r="J31" s="27"/>
      <c r="K31" s="27"/>
      <c r="L31" s="27"/>
      <c r="M31" s="4">
        <v>27</v>
      </c>
      <c r="N31" s="4">
        <v>27</v>
      </c>
      <c r="O31" s="27"/>
      <c r="P31" s="4">
        <v>0</v>
      </c>
      <c r="Q31" s="4">
        <v>0</v>
      </c>
      <c r="R31" s="27"/>
      <c r="S31" s="27"/>
      <c r="T31" s="27"/>
      <c r="U31" s="27"/>
      <c r="V31" s="4">
        <v>30</v>
      </c>
      <c r="W31" s="4">
        <v>30</v>
      </c>
      <c r="X31" s="27"/>
      <c r="Y31" s="4">
        <v>70</v>
      </c>
      <c r="Z31" s="4">
        <v>70</v>
      </c>
      <c r="AA31" s="27"/>
      <c r="AB31" s="4">
        <v>0</v>
      </c>
      <c r="AC31" s="4">
        <v>0</v>
      </c>
      <c r="AD31" s="27"/>
      <c r="AE31" s="4">
        <v>75</v>
      </c>
      <c r="AF31" s="4">
        <v>75</v>
      </c>
      <c r="AG31" s="27"/>
      <c r="AH31" s="4">
        <v>5</v>
      </c>
      <c r="AI31" s="4">
        <v>5</v>
      </c>
      <c r="AJ31" s="27"/>
      <c r="AK31" s="4">
        <v>20</v>
      </c>
      <c r="AL31" s="4">
        <v>20</v>
      </c>
      <c r="AM31" s="27"/>
      <c r="AN31" s="4">
        <v>0</v>
      </c>
      <c r="AO31" s="4">
        <v>0</v>
      </c>
      <c r="AP31" s="27"/>
      <c r="AQ31" s="4">
        <v>20</v>
      </c>
      <c r="AR31" s="4">
        <v>20</v>
      </c>
      <c r="AS31" s="27"/>
      <c r="AT31" s="4">
        <v>5</v>
      </c>
      <c r="AU31" s="4">
        <v>5</v>
      </c>
      <c r="AV31" s="27"/>
      <c r="AW31" s="4">
        <v>10</v>
      </c>
      <c r="AX31" s="4">
        <v>10</v>
      </c>
      <c r="AY31" s="27"/>
      <c r="AZ31" s="4">
        <v>30</v>
      </c>
      <c r="BA31" s="4">
        <v>30</v>
      </c>
      <c r="BB31" s="27"/>
      <c r="BC31" s="4">
        <v>5</v>
      </c>
      <c r="BD31" s="4">
        <v>5</v>
      </c>
      <c r="BE31" s="27"/>
      <c r="BF31" s="4">
        <v>5</v>
      </c>
      <c r="BG31" s="4">
        <v>5</v>
      </c>
      <c r="BH31" s="27"/>
      <c r="BI31" s="4">
        <v>5</v>
      </c>
      <c r="BJ31" s="4">
        <v>5</v>
      </c>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4">
        <v>3</v>
      </c>
      <c r="CN31" s="4">
        <v>3</v>
      </c>
      <c r="CO31" s="27"/>
      <c r="CP31" s="4">
        <v>5</v>
      </c>
      <c r="CQ31" s="4">
        <v>5</v>
      </c>
      <c r="CR31" s="27"/>
      <c r="CS31" s="27"/>
      <c r="CT31" s="5">
        <v>120</v>
      </c>
      <c r="CU31" s="5">
        <v>120</v>
      </c>
      <c r="CV31" s="27"/>
      <c r="CW31" s="5">
        <v>10</v>
      </c>
      <c r="CX31" s="5">
        <v>10</v>
      </c>
      <c r="CY31" s="27"/>
      <c r="CZ31" s="5">
        <v>0</v>
      </c>
      <c r="DA31" s="5">
        <v>0</v>
      </c>
      <c r="DB31" s="27"/>
      <c r="DC31" s="31"/>
      <c r="DD31" s="31"/>
      <c r="DE31" s="31"/>
      <c r="DF31" s="4">
        <v>20</v>
      </c>
      <c r="DG31" s="4">
        <v>20</v>
      </c>
      <c r="DH31" s="27"/>
      <c r="DI31" s="89">
        <v>1</v>
      </c>
      <c r="DJ31" s="4">
        <v>20</v>
      </c>
      <c r="DK31" s="4">
        <v>20</v>
      </c>
      <c r="DL31" s="27"/>
      <c r="DM31" s="27"/>
      <c r="DN31" s="27"/>
      <c r="DO31" s="27"/>
      <c r="DP31" s="27"/>
      <c r="DQ31" s="27"/>
      <c r="DR31" s="27"/>
      <c r="DS31" s="27"/>
      <c r="DT31" s="27"/>
      <c r="DU31" s="27"/>
      <c r="DV31" s="27"/>
      <c r="DW31" s="27"/>
      <c r="DX31" s="27"/>
      <c r="DY31" s="27"/>
      <c r="DZ31" s="27"/>
      <c r="EA31" s="27"/>
      <c r="EB31" s="27"/>
      <c r="EC31" s="27"/>
      <c r="ED31" s="27"/>
      <c r="EE31" s="4">
        <v>0</v>
      </c>
      <c r="EF31" s="4">
        <v>0</v>
      </c>
      <c r="EG31" s="27"/>
      <c r="EH31" s="4">
        <v>30</v>
      </c>
      <c r="EI31" s="4">
        <v>30</v>
      </c>
      <c r="EJ31" s="27"/>
      <c r="EK31" s="27"/>
      <c r="EL31" s="27"/>
      <c r="EM31" s="27"/>
      <c r="EN31" s="27"/>
      <c r="EO31" s="27"/>
      <c r="EP31" s="27"/>
      <c r="EQ31" s="27"/>
      <c r="ER31" s="27"/>
      <c r="ES31" s="27"/>
      <c r="ET31" s="27"/>
      <c r="EU31" s="27"/>
      <c r="EV31" s="27"/>
      <c r="EW31" s="27"/>
      <c r="EX31" s="27"/>
      <c r="EY31" s="27"/>
      <c r="EZ31" s="4">
        <v>5</v>
      </c>
      <c r="FA31" s="4">
        <v>5</v>
      </c>
      <c r="FB31" s="27"/>
      <c r="FC31" s="27"/>
      <c r="FD31" s="27"/>
      <c r="FE31" s="27"/>
      <c r="FF31" s="27"/>
      <c r="FG31" s="27"/>
      <c r="FH31" s="27"/>
      <c r="FI31" s="4">
        <v>15</v>
      </c>
      <c r="FJ31" s="4">
        <v>15</v>
      </c>
      <c r="FK31" s="27"/>
      <c r="FL31" s="4">
        <v>0</v>
      </c>
      <c r="FM31" s="4">
        <v>0</v>
      </c>
      <c r="FN31" s="27"/>
      <c r="FO31" s="4">
        <v>40</v>
      </c>
      <c r="FP31" s="4">
        <v>40</v>
      </c>
      <c r="FQ31" s="27"/>
      <c r="FR31" s="27"/>
      <c r="FS31" s="109"/>
      <c r="FT31" s="54">
        <f>NETWORKDAYS($I32,FO32)</f>
        <v>391</v>
      </c>
      <c r="FU31" s="54">
        <f>NETWORKDAYS($I32,FP32)</f>
        <v>391</v>
      </c>
      <c r="FV31" s="54">
        <f>IF(FQ32="",NETWORKDAYS($I32,FP32),NETWORKDAYS($I32,FQ32))</f>
        <v>391</v>
      </c>
      <c r="FW31" s="55" t="s">
        <v>464</v>
      </c>
    </row>
    <row r="32" spans="1:179" collapsed="1" x14ac:dyDescent="0.35">
      <c r="A32" s="23" t="s">
        <v>4</v>
      </c>
      <c r="B32" s="23">
        <v>107607</v>
      </c>
      <c r="C32" s="24" t="s">
        <v>489</v>
      </c>
      <c r="D32" s="65"/>
      <c r="E32" s="23" t="str">
        <f>IF(D32="","Unknown",IF(D32&lt;=FM32+90,"Red",IF(AND(D32&gt;FM32+90,D32&lt;=FM32+180),"Yellow",IF(AND(D32&gt;FM32+180,D32&lt;=FM32+690),"Green","Covered"))))</f>
        <v>Unknown</v>
      </c>
      <c r="F32" s="25" t="s">
        <v>466</v>
      </c>
      <c r="G32" s="26"/>
      <c r="H32" s="26" t="str">
        <f>IF(CR32="","Pre-Execution","Execution")</f>
        <v>Execution</v>
      </c>
      <c r="I32" s="13">
        <v>45940</v>
      </c>
      <c r="J32" s="28"/>
      <c r="K32" s="28"/>
      <c r="L32" s="28"/>
      <c r="M32" s="10">
        <v>45979</v>
      </c>
      <c r="N32" s="10">
        <f>WORKDAY(I32,N31)</f>
        <v>45979</v>
      </c>
      <c r="O32" s="56">
        <f>M32</f>
        <v>45979</v>
      </c>
      <c r="P32" s="10">
        <v>45979</v>
      </c>
      <c r="Q32" s="10">
        <f>IF(O32="",WORKDAY(N32,Q31),WORKDAY(O32,Q31))</f>
        <v>45979</v>
      </c>
      <c r="R32" s="56">
        <f>P32</f>
        <v>45979</v>
      </c>
      <c r="S32" s="28"/>
      <c r="T32" s="28"/>
      <c r="U32" s="28"/>
      <c r="V32" s="10">
        <v>46021</v>
      </c>
      <c r="W32" s="10">
        <f>IF(R32="",WORKDAY(Q32,W31),WORKDAY(R32,W31))</f>
        <v>46021</v>
      </c>
      <c r="X32" s="56">
        <f>V32</f>
        <v>46021</v>
      </c>
      <c r="Y32" s="10">
        <v>46077</v>
      </c>
      <c r="Z32" s="10">
        <f>IF(R32="",WORKDAY(Q32,Z31),WORKDAY(R32,Z31))</f>
        <v>46077</v>
      </c>
      <c r="AA32" s="56">
        <f>Y32</f>
        <v>46077</v>
      </c>
      <c r="AB32" s="10">
        <v>45940</v>
      </c>
      <c r="AC32" s="10">
        <f>WORKDAY(I32,AC31)</f>
        <v>45940</v>
      </c>
      <c r="AD32" s="56">
        <f>AB32</f>
        <v>45940</v>
      </c>
      <c r="AE32" s="10">
        <v>46045</v>
      </c>
      <c r="AF32" s="10">
        <f>IF(AD32="",WORKDAY(AC32,AF31),WORKDAY(AD32,AF31))</f>
        <v>46045</v>
      </c>
      <c r="AG32" s="56">
        <f>AE32</f>
        <v>46045</v>
      </c>
      <c r="AH32" s="10">
        <v>46084</v>
      </c>
      <c r="AI32" s="10">
        <f>WORKDAY(IF(AA32="",IF(Z32&gt;AF32,Z32,AF32),IF(AA32&gt;AG32,AA32,AG32)),AI31)</f>
        <v>46084</v>
      </c>
      <c r="AJ32" s="56"/>
      <c r="AK32" s="10">
        <v>46112</v>
      </c>
      <c r="AL32" s="10">
        <f>IF(AJ32="",WORKDAY(AI32,AL31),WORKDAY(AJ32,AL31))</f>
        <v>46112</v>
      </c>
      <c r="AM32" s="10">
        <v>46112</v>
      </c>
      <c r="AN32" s="10">
        <v>46112</v>
      </c>
      <c r="AO32" s="10">
        <v>46112</v>
      </c>
      <c r="AP32" s="10">
        <v>46112</v>
      </c>
      <c r="AQ32" s="10">
        <v>46140</v>
      </c>
      <c r="AR32" s="10">
        <v>46140</v>
      </c>
      <c r="AS32" s="10"/>
      <c r="AT32" s="10">
        <v>46119</v>
      </c>
      <c r="AU32" s="10">
        <v>46119</v>
      </c>
      <c r="AV32" s="56"/>
      <c r="AW32" s="10">
        <v>46154</v>
      </c>
      <c r="AX32" s="10">
        <v>46154</v>
      </c>
      <c r="AY32" s="56"/>
      <c r="AZ32" s="10">
        <v>46154</v>
      </c>
      <c r="BA32" s="10">
        <v>46154</v>
      </c>
      <c r="BB32" s="56"/>
      <c r="BC32" s="10">
        <v>46161</v>
      </c>
      <c r="BD32" s="10">
        <v>46161</v>
      </c>
      <c r="BE32" s="10"/>
      <c r="BF32" s="10">
        <v>46168</v>
      </c>
      <c r="BG32" s="10">
        <v>46168</v>
      </c>
      <c r="BH32" s="56"/>
      <c r="BI32" s="10">
        <v>46175</v>
      </c>
      <c r="BJ32" s="10">
        <v>46175</v>
      </c>
      <c r="BK32" s="56"/>
      <c r="BL32" s="28"/>
      <c r="BM32" s="28"/>
      <c r="BN32" s="28"/>
      <c r="BO32" s="28"/>
      <c r="BP32" s="28"/>
      <c r="BQ32" s="28"/>
      <c r="BR32" s="28"/>
      <c r="BS32" s="28"/>
      <c r="BT32" s="28"/>
      <c r="BU32" s="28"/>
      <c r="BV32" s="28"/>
      <c r="BW32" s="28"/>
      <c r="BX32" s="46"/>
      <c r="BY32" s="28"/>
      <c r="BZ32" s="28"/>
      <c r="CA32" s="28"/>
      <c r="CB32" s="28"/>
      <c r="CC32" s="28"/>
      <c r="CD32" s="28"/>
      <c r="CE32" s="28"/>
      <c r="CF32" s="28"/>
      <c r="CG32" s="28"/>
      <c r="CH32" s="28"/>
      <c r="CI32" s="28"/>
      <c r="CJ32" s="28"/>
      <c r="CK32" s="28"/>
      <c r="CL32" s="28"/>
      <c r="CM32" s="10">
        <v>46178</v>
      </c>
      <c r="CN32" s="10">
        <v>46178</v>
      </c>
      <c r="CO32" s="10">
        <f>CM32</f>
        <v>46178</v>
      </c>
      <c r="CP32" s="10">
        <v>46185</v>
      </c>
      <c r="CQ32" s="10">
        <f>IF(CO32="",WORKDAY(CN32,CQ31),WORKDAY(CO32,CQ31))</f>
        <v>46185</v>
      </c>
      <c r="CR32" s="10">
        <f>WORKDAY(CO32,CR31)</f>
        <v>46178</v>
      </c>
      <c r="CS32" s="77" t="s">
        <v>478</v>
      </c>
      <c r="CT32" s="10">
        <v>46346</v>
      </c>
      <c r="CU32" s="10">
        <f>IF(CR32="",WORKDAY(CQ32,CU31),WORKDAY(CR32,CU31))</f>
        <v>46346</v>
      </c>
      <c r="CV32" s="56">
        <f>CT32</f>
        <v>46346</v>
      </c>
      <c r="CW32" s="10">
        <v>46168</v>
      </c>
      <c r="CX32" s="10">
        <v>46168</v>
      </c>
      <c r="CY32" s="56"/>
      <c r="CZ32" s="10">
        <v>46168</v>
      </c>
      <c r="DA32" s="10">
        <v>46168</v>
      </c>
      <c r="DB32" s="56"/>
      <c r="DC32" s="45"/>
      <c r="DD32" s="45"/>
      <c r="DE32" s="45"/>
      <c r="DF32" s="10">
        <v>46374</v>
      </c>
      <c r="DG32" s="10">
        <f>IF($CV32="",IF($CU32&gt;$DA32,WORKDAY($CU32,DG31),WORKDAY($DA32,DG31)),IF($CV32&gt;$DB32,WORKDAY($CV32,DG31),WORKDAY($DB32,DG31)))</f>
        <v>46374</v>
      </c>
      <c r="DH32" s="56"/>
      <c r="DI32" s="46"/>
      <c r="DJ32" s="10">
        <v>46402</v>
      </c>
      <c r="DK32" s="10">
        <f>IF(DH32="",WORKDAY(DG32,DK31*$DI31),WORKDAY(DH32,DK31*$DI31))</f>
        <v>46402</v>
      </c>
      <c r="DL32" s="56"/>
      <c r="DM32" s="46"/>
      <c r="DN32" s="46"/>
      <c r="DO32" s="46"/>
      <c r="DP32" s="46"/>
      <c r="DQ32" s="46"/>
      <c r="DR32" s="46"/>
      <c r="DS32" s="46"/>
      <c r="DT32" s="46"/>
      <c r="DU32" s="46"/>
      <c r="DV32" s="46"/>
      <c r="DW32" s="46"/>
      <c r="DX32" s="46"/>
      <c r="DY32" s="46"/>
      <c r="DZ32" s="46"/>
      <c r="EA32" s="46"/>
      <c r="EB32" s="46"/>
      <c r="EC32" s="46"/>
      <c r="ED32" s="46"/>
      <c r="EE32" s="10">
        <v>46402</v>
      </c>
      <c r="EF32" s="10">
        <f>IF(DL32="",WORKDAY(DK32,EF31),WORKDAY(DL32,EF31))</f>
        <v>46402</v>
      </c>
      <c r="EG32" s="56"/>
      <c r="EH32" s="10">
        <f>IF(DN32="",WORKDAY(DM32,EH31),WORKDAY(DN32,EH31))</f>
        <v>41</v>
      </c>
      <c r="EI32" s="10">
        <f>IF(DO32="",WORKDAY(DN32,EI31),WORKDAY(DO32,EI31))</f>
        <v>41</v>
      </c>
      <c r="EJ32" s="56"/>
      <c r="EK32" s="27"/>
      <c r="EL32" s="27"/>
      <c r="EM32" s="27"/>
      <c r="EN32" s="27"/>
      <c r="EO32" s="28"/>
      <c r="EP32" s="28"/>
      <c r="EQ32" s="28"/>
      <c r="ER32" s="28"/>
      <c r="ES32" s="28"/>
      <c r="ET32" s="28"/>
      <c r="EU32" s="28"/>
      <c r="EV32" s="28"/>
      <c r="EW32" s="28"/>
      <c r="EX32" s="28"/>
      <c r="EY32" s="28"/>
      <c r="EZ32" s="10">
        <v>46409</v>
      </c>
      <c r="FA32" s="10">
        <f>IF(EG32="",WORKDAY(EF32,FA31),WORKDAY(EG32,FA31))</f>
        <v>46409</v>
      </c>
      <c r="FB32" s="56"/>
      <c r="FC32" s="28"/>
      <c r="FD32" s="28"/>
      <c r="FE32" s="28"/>
      <c r="FF32" s="28"/>
      <c r="FG32" s="28"/>
      <c r="FH32" s="28"/>
      <c r="FI32" s="10">
        <v>46430</v>
      </c>
      <c r="FJ32" s="10">
        <f>IF(FB32="",WORKDAY(FA32,FJ31),WORKDAY(FB32,FJ31))</f>
        <v>46430</v>
      </c>
      <c r="FK32" s="56"/>
      <c r="FL32" s="10">
        <v>46430</v>
      </c>
      <c r="FM32" s="10">
        <f>IF(FK32="",WORKDAY(FJ32,FM31),WORKDAY(FK32,FM31))</f>
        <v>46430</v>
      </c>
      <c r="FN32" s="56"/>
      <c r="FO32" s="10">
        <v>46486</v>
      </c>
      <c r="FP32" s="10">
        <f>WORKDAY(FM32,FP31)</f>
        <v>46486</v>
      </c>
      <c r="FQ32" s="56"/>
      <c r="FR32" s="77" t="str">
        <f>IF(NETWORKDAYS(FJ32,FO32)&gt;=30,"On-Track",IF(AND(NETWORKDAYS(FJ32,FO32)&lt;30,FJ32&lt;=FO32),"At Risk","Missed TCD"))</f>
        <v>On-Track</v>
      </c>
      <c r="FS32" s="110" t="s">
        <v>479</v>
      </c>
      <c r="FT32" s="57">
        <f>NETWORKDAYS(CP32,FI32)</f>
        <v>176</v>
      </c>
      <c r="FU32" s="57">
        <f>NETWORKDAYS(CQ32,FJ32)</f>
        <v>176</v>
      </c>
      <c r="FV32" s="57">
        <f>IF(BH32="",NETWORKDAYS(BG32,FJ32),IF(FK32="",NETWORKDAYS(BH32,FJ32),NETWORKDAYS(BH32,FK32)))</f>
        <v>189</v>
      </c>
      <c r="FW32" s="58" t="s">
        <v>467</v>
      </c>
    </row>
    <row r="33" spans="1:179" hidden="1" outlineLevel="1" x14ac:dyDescent="0.35">
      <c r="A33" s="23" t="s">
        <v>4</v>
      </c>
      <c r="B33" s="23">
        <v>107613</v>
      </c>
      <c r="C33" s="24" t="s">
        <v>490</v>
      </c>
      <c r="D33" s="95"/>
      <c r="E33" s="24"/>
      <c r="F33" s="25" t="s">
        <v>463</v>
      </c>
      <c r="G33" s="26"/>
      <c r="H33" s="26"/>
      <c r="I33" s="27"/>
      <c r="J33" s="27"/>
      <c r="K33" s="27"/>
      <c r="L33" s="27"/>
      <c r="M33" s="4">
        <v>27</v>
      </c>
      <c r="N33" s="4">
        <v>27</v>
      </c>
      <c r="O33" s="27"/>
      <c r="P33" s="4">
        <v>0</v>
      </c>
      <c r="Q33" s="4">
        <v>0</v>
      </c>
      <c r="R33" s="27"/>
      <c r="S33" s="27"/>
      <c r="T33" s="27"/>
      <c r="U33" s="27"/>
      <c r="V33" s="4">
        <v>30</v>
      </c>
      <c r="W33" s="4">
        <v>30</v>
      </c>
      <c r="X33" s="27"/>
      <c r="Y33" s="4">
        <v>70</v>
      </c>
      <c r="Z33" s="4">
        <v>70</v>
      </c>
      <c r="AA33" s="27"/>
      <c r="AB33" s="4">
        <v>0</v>
      </c>
      <c r="AC33" s="4">
        <v>0</v>
      </c>
      <c r="AD33" s="27"/>
      <c r="AE33" s="4">
        <v>75</v>
      </c>
      <c r="AF33" s="4">
        <v>75</v>
      </c>
      <c r="AG33" s="27"/>
      <c r="AH33" s="4">
        <v>5</v>
      </c>
      <c r="AI33" s="4">
        <v>5</v>
      </c>
      <c r="AJ33" s="27"/>
      <c r="AK33" s="4">
        <v>20</v>
      </c>
      <c r="AL33" s="4">
        <v>20</v>
      </c>
      <c r="AM33" s="27"/>
      <c r="AN33" s="4">
        <v>0</v>
      </c>
      <c r="AO33" s="4">
        <v>0</v>
      </c>
      <c r="AP33" s="27"/>
      <c r="AQ33" s="4">
        <v>20</v>
      </c>
      <c r="AR33" s="4">
        <v>20</v>
      </c>
      <c r="AS33" s="27"/>
      <c r="AT33" s="4">
        <v>5</v>
      </c>
      <c r="AU33" s="4">
        <v>5</v>
      </c>
      <c r="AV33" s="27"/>
      <c r="AW33" s="4">
        <v>10</v>
      </c>
      <c r="AX33" s="4">
        <v>10</v>
      </c>
      <c r="AY33" s="27"/>
      <c r="AZ33" s="4">
        <v>30</v>
      </c>
      <c r="BA33" s="4">
        <v>30</v>
      </c>
      <c r="BB33" s="27"/>
      <c r="BC33" s="4">
        <v>5</v>
      </c>
      <c r="BD33" s="4">
        <v>5</v>
      </c>
      <c r="BE33" s="27"/>
      <c r="BF33" s="4">
        <v>5</v>
      </c>
      <c r="BG33" s="4">
        <v>5</v>
      </c>
      <c r="BH33" s="27"/>
      <c r="BI33" s="4">
        <v>5</v>
      </c>
      <c r="BJ33" s="4">
        <v>5</v>
      </c>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4">
        <v>3</v>
      </c>
      <c r="CN33" s="4">
        <v>3</v>
      </c>
      <c r="CO33" s="27"/>
      <c r="CP33" s="4">
        <v>5</v>
      </c>
      <c r="CQ33" s="4">
        <v>5</v>
      </c>
      <c r="CR33" s="27"/>
      <c r="CS33" s="27"/>
      <c r="CT33" s="5">
        <v>120</v>
      </c>
      <c r="CU33" s="5">
        <v>120</v>
      </c>
      <c r="CV33" s="27"/>
      <c r="CW33" s="5">
        <v>10</v>
      </c>
      <c r="CX33" s="5">
        <v>10</v>
      </c>
      <c r="CY33" s="27"/>
      <c r="CZ33" s="5">
        <v>0</v>
      </c>
      <c r="DA33" s="5">
        <v>0</v>
      </c>
      <c r="DB33" s="27"/>
      <c r="DC33" s="31"/>
      <c r="DD33" s="31"/>
      <c r="DE33" s="31"/>
      <c r="DF33" s="4">
        <v>20</v>
      </c>
      <c r="DG33" s="4">
        <v>20</v>
      </c>
      <c r="DH33" s="27"/>
      <c r="DI33" s="89">
        <v>1</v>
      </c>
      <c r="DJ33" s="4">
        <v>20</v>
      </c>
      <c r="DK33" s="4">
        <v>20</v>
      </c>
      <c r="DL33" s="27"/>
      <c r="DM33" s="27"/>
      <c r="DN33" s="27"/>
      <c r="DO33" s="27"/>
      <c r="DP33" s="27"/>
      <c r="DQ33" s="27"/>
      <c r="DR33" s="27"/>
      <c r="DS33" s="27"/>
      <c r="DT33" s="27"/>
      <c r="DU33" s="27"/>
      <c r="DV33" s="27"/>
      <c r="DW33" s="27"/>
      <c r="DX33" s="27"/>
      <c r="DY33" s="27"/>
      <c r="DZ33" s="27"/>
      <c r="EA33" s="27"/>
      <c r="EB33" s="27"/>
      <c r="EC33" s="27"/>
      <c r="ED33" s="27"/>
      <c r="EE33" s="4">
        <v>0</v>
      </c>
      <c r="EF33" s="4">
        <v>0</v>
      </c>
      <c r="EG33" s="27"/>
      <c r="EH33" s="4">
        <v>30</v>
      </c>
      <c r="EI33" s="4">
        <v>30</v>
      </c>
      <c r="EJ33" s="27"/>
      <c r="EK33" s="27"/>
      <c r="EL33" s="27"/>
      <c r="EM33" s="27"/>
      <c r="EN33" s="27"/>
      <c r="EO33" s="27"/>
      <c r="EP33" s="27"/>
      <c r="EQ33" s="27"/>
      <c r="ER33" s="27"/>
      <c r="ES33" s="27"/>
      <c r="ET33" s="27"/>
      <c r="EU33" s="27"/>
      <c r="EV33" s="27"/>
      <c r="EW33" s="27"/>
      <c r="EX33" s="27"/>
      <c r="EY33" s="27"/>
      <c r="EZ33" s="4">
        <v>5</v>
      </c>
      <c r="FA33" s="4">
        <v>5</v>
      </c>
      <c r="FB33" s="27"/>
      <c r="FC33" s="27"/>
      <c r="FD33" s="27"/>
      <c r="FE33" s="27"/>
      <c r="FF33" s="27"/>
      <c r="FG33" s="27"/>
      <c r="FH33" s="27"/>
      <c r="FI33" s="4">
        <v>15</v>
      </c>
      <c r="FJ33" s="4">
        <v>15</v>
      </c>
      <c r="FK33" s="27"/>
      <c r="FL33" s="4">
        <v>0</v>
      </c>
      <c r="FM33" s="4">
        <v>0</v>
      </c>
      <c r="FN33" s="27"/>
      <c r="FO33" s="4">
        <v>40</v>
      </c>
      <c r="FP33" s="4">
        <v>40</v>
      </c>
      <c r="FQ33" s="27"/>
      <c r="FR33" s="27"/>
      <c r="FS33" s="109"/>
      <c r="FT33" s="54">
        <f>NETWORKDAYS($I34,FO34)</f>
        <v>391</v>
      </c>
      <c r="FU33" s="54">
        <f>NETWORKDAYS($I34,FP34)</f>
        <v>391</v>
      </c>
      <c r="FV33" s="54">
        <f>IF(FQ34="",NETWORKDAYS($I34,FP34),NETWORKDAYS($I34,FQ34))</f>
        <v>391</v>
      </c>
      <c r="FW33" s="55" t="s">
        <v>464</v>
      </c>
    </row>
    <row r="34" spans="1:179" collapsed="1" x14ac:dyDescent="0.35">
      <c r="A34" s="23" t="s">
        <v>4</v>
      </c>
      <c r="B34" s="23">
        <v>107613</v>
      </c>
      <c r="C34" s="24" t="s">
        <v>490</v>
      </c>
      <c r="D34" s="65"/>
      <c r="E34" s="23" t="str">
        <f>IF(D34="","Unknown",IF(D34&lt;=FM34+90,"Red",IF(AND(D34&gt;FM34+90,D34&lt;=FM34+180),"Yellow",IF(AND(D34&gt;FM34+180,D34&lt;=FM34+690),"Green","Covered"))))</f>
        <v>Unknown</v>
      </c>
      <c r="F34" s="25" t="s">
        <v>466</v>
      </c>
      <c r="G34" s="26"/>
      <c r="H34" s="26" t="str">
        <f>IF(CR34="","Pre-Execution","Execution")</f>
        <v>Execution</v>
      </c>
      <c r="I34" s="13">
        <v>45940</v>
      </c>
      <c r="J34" s="28"/>
      <c r="K34" s="28"/>
      <c r="L34" s="28"/>
      <c r="M34" s="10">
        <v>45979</v>
      </c>
      <c r="N34" s="10">
        <f>WORKDAY(I34,N33)</f>
        <v>45979</v>
      </c>
      <c r="O34" s="56">
        <f>M34</f>
        <v>45979</v>
      </c>
      <c r="P34" s="10">
        <v>45979</v>
      </c>
      <c r="Q34" s="10">
        <f>IF(O34="",WORKDAY(N34,Q33),WORKDAY(O34,Q33))</f>
        <v>45979</v>
      </c>
      <c r="R34" s="56">
        <f>P34</f>
        <v>45979</v>
      </c>
      <c r="S34" s="28"/>
      <c r="T34" s="28"/>
      <c r="U34" s="28"/>
      <c r="V34" s="10">
        <v>46021</v>
      </c>
      <c r="W34" s="10">
        <f>IF(R34="",WORKDAY(Q34,W33),WORKDAY(R34,W33))</f>
        <v>46021</v>
      </c>
      <c r="X34" s="56">
        <f>V34</f>
        <v>46021</v>
      </c>
      <c r="Y34" s="10">
        <v>46077</v>
      </c>
      <c r="Z34" s="10">
        <f>IF(R34="",WORKDAY(Q34,Z33),WORKDAY(R34,Z33))</f>
        <v>46077</v>
      </c>
      <c r="AA34" s="56">
        <f>Y34</f>
        <v>46077</v>
      </c>
      <c r="AB34" s="10">
        <v>45940</v>
      </c>
      <c r="AC34" s="10">
        <f>WORKDAY(I34,AC33)</f>
        <v>45940</v>
      </c>
      <c r="AD34" s="56">
        <f>AB34</f>
        <v>45940</v>
      </c>
      <c r="AE34" s="10">
        <v>46045</v>
      </c>
      <c r="AF34" s="10">
        <f>IF(AD34="",WORKDAY(AC34,AF33),WORKDAY(AD34,AF33))</f>
        <v>46045</v>
      </c>
      <c r="AG34" s="56">
        <f>AE34</f>
        <v>46045</v>
      </c>
      <c r="AH34" s="10">
        <v>46084</v>
      </c>
      <c r="AI34" s="10">
        <f>WORKDAY(IF(AA34="",IF(Z34&gt;AF34,Z34,AF34),IF(AA34&gt;AG34,AA34,AG34)),AI33)</f>
        <v>46084</v>
      </c>
      <c r="AJ34" s="56"/>
      <c r="AK34" s="10">
        <v>46112</v>
      </c>
      <c r="AL34" s="10">
        <f>IF(AJ34="",WORKDAY(AI34,AL33),WORKDAY(AJ34,AL33))</f>
        <v>46112</v>
      </c>
      <c r="AM34" s="10">
        <v>46112</v>
      </c>
      <c r="AN34" s="10">
        <v>46112</v>
      </c>
      <c r="AO34" s="10">
        <v>46112</v>
      </c>
      <c r="AP34" s="10">
        <v>46112</v>
      </c>
      <c r="AQ34" s="10">
        <v>46140</v>
      </c>
      <c r="AR34" s="10">
        <v>46140</v>
      </c>
      <c r="AS34" s="10"/>
      <c r="AT34" s="10">
        <v>46119</v>
      </c>
      <c r="AU34" s="10">
        <v>46119</v>
      </c>
      <c r="AV34" s="56"/>
      <c r="AW34" s="10">
        <v>46154</v>
      </c>
      <c r="AX34" s="10">
        <v>46154</v>
      </c>
      <c r="AY34" s="56"/>
      <c r="AZ34" s="10">
        <v>46154</v>
      </c>
      <c r="BA34" s="10">
        <v>46154</v>
      </c>
      <c r="BB34" s="56"/>
      <c r="BC34" s="10">
        <v>46161</v>
      </c>
      <c r="BD34" s="10">
        <v>46161</v>
      </c>
      <c r="BE34" s="10"/>
      <c r="BF34" s="10">
        <v>46168</v>
      </c>
      <c r="BG34" s="10">
        <v>46168</v>
      </c>
      <c r="BH34" s="56"/>
      <c r="BI34" s="10">
        <v>46175</v>
      </c>
      <c r="BJ34" s="10">
        <v>46175</v>
      </c>
      <c r="BK34" s="56"/>
      <c r="BL34" s="28"/>
      <c r="BM34" s="28"/>
      <c r="BN34" s="28"/>
      <c r="BO34" s="28"/>
      <c r="BP34" s="28"/>
      <c r="BQ34" s="28"/>
      <c r="BR34" s="28"/>
      <c r="BS34" s="28"/>
      <c r="BT34" s="28"/>
      <c r="BU34" s="28"/>
      <c r="BV34" s="28"/>
      <c r="BW34" s="28"/>
      <c r="BX34" s="46"/>
      <c r="BY34" s="28"/>
      <c r="BZ34" s="28"/>
      <c r="CA34" s="28"/>
      <c r="CB34" s="28"/>
      <c r="CC34" s="28"/>
      <c r="CD34" s="28"/>
      <c r="CE34" s="28"/>
      <c r="CF34" s="28"/>
      <c r="CG34" s="28"/>
      <c r="CH34" s="28"/>
      <c r="CI34" s="28"/>
      <c r="CJ34" s="28"/>
      <c r="CK34" s="28"/>
      <c r="CL34" s="28"/>
      <c r="CM34" s="10">
        <v>46178</v>
      </c>
      <c r="CN34" s="10">
        <v>46178</v>
      </c>
      <c r="CO34" s="10">
        <f>CM34</f>
        <v>46178</v>
      </c>
      <c r="CP34" s="10">
        <v>46185</v>
      </c>
      <c r="CQ34" s="10">
        <f>IF(CO34="",WORKDAY(CN34,CQ33),WORKDAY(CO34,CQ33))</f>
        <v>46185</v>
      </c>
      <c r="CR34" s="10">
        <f>WORKDAY(CO34,CR33)</f>
        <v>46178</v>
      </c>
      <c r="CS34" s="77" t="s">
        <v>478</v>
      </c>
      <c r="CT34" s="10">
        <v>46346</v>
      </c>
      <c r="CU34" s="10">
        <f>IF(CR34="",WORKDAY(CQ34,CU33),WORKDAY(CR34,CU33))</f>
        <v>46346</v>
      </c>
      <c r="CV34" s="56">
        <f>CT34</f>
        <v>46346</v>
      </c>
      <c r="CW34" s="10">
        <v>46168</v>
      </c>
      <c r="CX34" s="10">
        <v>46168</v>
      </c>
      <c r="CY34" s="56"/>
      <c r="CZ34" s="10">
        <v>46168</v>
      </c>
      <c r="DA34" s="10">
        <v>46168</v>
      </c>
      <c r="DB34" s="56"/>
      <c r="DC34" s="45"/>
      <c r="DD34" s="45"/>
      <c r="DE34" s="45"/>
      <c r="DF34" s="10">
        <v>46374</v>
      </c>
      <c r="DG34" s="10">
        <f>IF($CV34="",IF($CU34&gt;$DA34,WORKDAY($CU34,DG33),WORKDAY($DA34,DG33)),IF($CV34&gt;$DB34,WORKDAY($CV34,DG33),WORKDAY($DB34,DG33)))</f>
        <v>46374</v>
      </c>
      <c r="DH34" s="56"/>
      <c r="DI34" s="46"/>
      <c r="DJ34" s="10">
        <v>46402</v>
      </c>
      <c r="DK34" s="10">
        <f>IF(DH34="",WORKDAY(DG34,DK33*$DI33),WORKDAY(DH34,DK33*$DI33))</f>
        <v>46402</v>
      </c>
      <c r="DL34" s="56"/>
      <c r="DM34" s="46"/>
      <c r="DN34" s="46"/>
      <c r="DO34" s="46"/>
      <c r="DP34" s="46"/>
      <c r="DQ34" s="46"/>
      <c r="DR34" s="46"/>
      <c r="DS34" s="46"/>
      <c r="DT34" s="46"/>
      <c r="DU34" s="46"/>
      <c r="DV34" s="46"/>
      <c r="DW34" s="46"/>
      <c r="DX34" s="46"/>
      <c r="DY34" s="46"/>
      <c r="DZ34" s="46"/>
      <c r="EA34" s="46"/>
      <c r="EB34" s="46"/>
      <c r="EC34" s="46"/>
      <c r="ED34" s="46"/>
      <c r="EE34" s="10">
        <v>46402</v>
      </c>
      <c r="EF34" s="10">
        <f>IF(DL34="",WORKDAY(DK34,EF33),WORKDAY(DL34,EF33))</f>
        <v>46402</v>
      </c>
      <c r="EG34" s="56"/>
      <c r="EH34" s="10">
        <f>IF(DN34="",WORKDAY(DM34,EH33),WORKDAY(DN34,EH33))</f>
        <v>41</v>
      </c>
      <c r="EI34" s="10">
        <f>IF(DO34="",WORKDAY(DN34,EI33),WORKDAY(DO34,EI33))</f>
        <v>41</v>
      </c>
      <c r="EJ34" s="56"/>
      <c r="EK34" s="27"/>
      <c r="EL34" s="27"/>
      <c r="EM34" s="27"/>
      <c r="EN34" s="27"/>
      <c r="EO34" s="28"/>
      <c r="EP34" s="28"/>
      <c r="EQ34" s="28"/>
      <c r="ER34" s="28"/>
      <c r="ES34" s="28"/>
      <c r="ET34" s="28"/>
      <c r="EU34" s="28"/>
      <c r="EV34" s="28"/>
      <c r="EW34" s="28"/>
      <c r="EX34" s="28"/>
      <c r="EY34" s="28"/>
      <c r="EZ34" s="10">
        <v>46409</v>
      </c>
      <c r="FA34" s="10">
        <f>IF(EG34="",WORKDAY(EF34,FA33),WORKDAY(EG34,FA33))</f>
        <v>46409</v>
      </c>
      <c r="FB34" s="56"/>
      <c r="FC34" s="28"/>
      <c r="FD34" s="28"/>
      <c r="FE34" s="28"/>
      <c r="FF34" s="28"/>
      <c r="FG34" s="28"/>
      <c r="FH34" s="28"/>
      <c r="FI34" s="10">
        <v>46430</v>
      </c>
      <c r="FJ34" s="10">
        <f>IF(FB34="",WORKDAY(FA34,FJ33),WORKDAY(FB34,FJ33))</f>
        <v>46430</v>
      </c>
      <c r="FK34" s="56"/>
      <c r="FL34" s="10">
        <v>46430</v>
      </c>
      <c r="FM34" s="10">
        <f>IF(FK34="",WORKDAY(FJ34,FM33),WORKDAY(FK34,FM33))</f>
        <v>46430</v>
      </c>
      <c r="FN34" s="56"/>
      <c r="FO34" s="10">
        <v>46486</v>
      </c>
      <c r="FP34" s="10">
        <f>WORKDAY(FM34,FP33)</f>
        <v>46486</v>
      </c>
      <c r="FQ34" s="56"/>
      <c r="FR34" s="77" t="str">
        <f>IF(NETWORKDAYS(FJ34,FO34)&gt;=30,"On-Track",IF(AND(NETWORKDAYS(FJ34,FO34)&lt;30,FJ34&lt;=FO34),"At Risk","Missed TCD"))</f>
        <v>On-Track</v>
      </c>
      <c r="FS34" s="110" t="s">
        <v>479</v>
      </c>
      <c r="FT34" s="57">
        <f>NETWORKDAYS(CP34,FI34)</f>
        <v>176</v>
      </c>
      <c r="FU34" s="57">
        <f>NETWORKDAYS(CQ34,FJ34)</f>
        <v>176</v>
      </c>
      <c r="FV34" s="57">
        <f>IF(BH34="",NETWORKDAYS(BG34,FJ34),IF(FK34="",NETWORKDAYS(BH34,FJ34),NETWORKDAYS(BH34,FK34)))</f>
        <v>189</v>
      </c>
      <c r="FW34" s="58" t="s">
        <v>467</v>
      </c>
    </row>
    <row r="35" spans="1:179" hidden="1" outlineLevel="1" x14ac:dyDescent="0.35">
      <c r="A35" s="23" t="s">
        <v>4</v>
      </c>
      <c r="B35" s="23">
        <v>107615</v>
      </c>
      <c r="C35" s="24" t="s">
        <v>491</v>
      </c>
      <c r="D35" s="95"/>
      <c r="E35" s="24"/>
      <c r="F35" s="25" t="s">
        <v>463</v>
      </c>
      <c r="G35" s="26"/>
      <c r="H35" s="26"/>
      <c r="I35" s="27"/>
      <c r="J35" s="27"/>
      <c r="K35" s="27"/>
      <c r="L35" s="27"/>
      <c r="M35" s="4">
        <v>27</v>
      </c>
      <c r="N35" s="4">
        <v>27</v>
      </c>
      <c r="O35" s="27"/>
      <c r="P35" s="4">
        <v>0</v>
      </c>
      <c r="Q35" s="4">
        <v>0</v>
      </c>
      <c r="R35" s="27"/>
      <c r="S35" s="27"/>
      <c r="T35" s="27"/>
      <c r="U35" s="27"/>
      <c r="V35" s="4">
        <v>30</v>
      </c>
      <c r="W35" s="4">
        <v>30</v>
      </c>
      <c r="X35" s="27"/>
      <c r="Y35" s="4">
        <v>70</v>
      </c>
      <c r="Z35" s="4">
        <v>70</v>
      </c>
      <c r="AA35" s="27"/>
      <c r="AB35" s="4">
        <v>0</v>
      </c>
      <c r="AC35" s="4">
        <v>0</v>
      </c>
      <c r="AD35" s="27"/>
      <c r="AE35" s="4">
        <v>75</v>
      </c>
      <c r="AF35" s="4">
        <v>75</v>
      </c>
      <c r="AG35" s="27"/>
      <c r="AH35" s="4">
        <v>5</v>
      </c>
      <c r="AI35" s="4">
        <v>5</v>
      </c>
      <c r="AJ35" s="27"/>
      <c r="AK35" s="4">
        <v>20</v>
      </c>
      <c r="AL35" s="4">
        <v>20</v>
      </c>
      <c r="AM35" s="27"/>
      <c r="AN35" s="4">
        <v>0</v>
      </c>
      <c r="AO35" s="4">
        <v>0</v>
      </c>
      <c r="AP35" s="27"/>
      <c r="AQ35" s="4">
        <v>20</v>
      </c>
      <c r="AR35" s="4">
        <v>20</v>
      </c>
      <c r="AS35" s="27"/>
      <c r="AT35" s="4">
        <v>5</v>
      </c>
      <c r="AU35" s="4">
        <v>5</v>
      </c>
      <c r="AV35" s="27"/>
      <c r="AW35" s="4">
        <v>10</v>
      </c>
      <c r="AX35" s="4">
        <v>10</v>
      </c>
      <c r="AY35" s="27"/>
      <c r="AZ35" s="4">
        <v>30</v>
      </c>
      <c r="BA35" s="4">
        <v>30</v>
      </c>
      <c r="BB35" s="27"/>
      <c r="BC35" s="4">
        <v>5</v>
      </c>
      <c r="BD35" s="4">
        <v>5</v>
      </c>
      <c r="BE35" s="27"/>
      <c r="BF35" s="4">
        <v>5</v>
      </c>
      <c r="BG35" s="4">
        <v>5</v>
      </c>
      <c r="BH35" s="27"/>
      <c r="BI35" s="4">
        <v>5</v>
      </c>
      <c r="BJ35" s="4">
        <v>5</v>
      </c>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4">
        <v>3</v>
      </c>
      <c r="CN35" s="4">
        <v>3</v>
      </c>
      <c r="CO35" s="27"/>
      <c r="CP35" s="4">
        <v>5</v>
      </c>
      <c r="CQ35" s="4">
        <v>5</v>
      </c>
      <c r="CR35" s="27"/>
      <c r="CS35" s="27"/>
      <c r="CT35" s="5">
        <v>120</v>
      </c>
      <c r="CU35" s="5">
        <v>120</v>
      </c>
      <c r="CV35" s="27"/>
      <c r="CW35" s="5">
        <v>10</v>
      </c>
      <c r="CX35" s="5">
        <v>10</v>
      </c>
      <c r="CY35" s="27"/>
      <c r="CZ35" s="5">
        <v>0</v>
      </c>
      <c r="DA35" s="5">
        <v>0</v>
      </c>
      <c r="DB35" s="27"/>
      <c r="DC35" s="31"/>
      <c r="DD35" s="31"/>
      <c r="DE35" s="31"/>
      <c r="DF35" s="4">
        <v>20</v>
      </c>
      <c r="DG35" s="4">
        <v>20</v>
      </c>
      <c r="DH35" s="27"/>
      <c r="DI35" s="89">
        <v>1</v>
      </c>
      <c r="DJ35" s="4">
        <v>20</v>
      </c>
      <c r="DK35" s="4">
        <v>20</v>
      </c>
      <c r="DL35" s="27"/>
      <c r="DM35" s="27"/>
      <c r="DN35" s="27"/>
      <c r="DO35" s="27"/>
      <c r="DP35" s="27"/>
      <c r="DQ35" s="27"/>
      <c r="DR35" s="27"/>
      <c r="DS35" s="27"/>
      <c r="DT35" s="27"/>
      <c r="DU35" s="27"/>
      <c r="DV35" s="27"/>
      <c r="DW35" s="27"/>
      <c r="DX35" s="27"/>
      <c r="DY35" s="27"/>
      <c r="DZ35" s="27"/>
      <c r="EA35" s="27"/>
      <c r="EB35" s="27"/>
      <c r="EC35" s="27"/>
      <c r="ED35" s="27"/>
      <c r="EE35" s="4">
        <v>0</v>
      </c>
      <c r="EF35" s="4">
        <v>0</v>
      </c>
      <c r="EG35" s="27"/>
      <c r="EH35" s="4">
        <v>30</v>
      </c>
      <c r="EI35" s="4">
        <v>30</v>
      </c>
      <c r="EJ35" s="27"/>
      <c r="EK35" s="27"/>
      <c r="EL35" s="27"/>
      <c r="EM35" s="27"/>
      <c r="EN35" s="27"/>
      <c r="EO35" s="27"/>
      <c r="EP35" s="27"/>
      <c r="EQ35" s="27"/>
      <c r="ER35" s="27"/>
      <c r="ES35" s="27"/>
      <c r="ET35" s="27"/>
      <c r="EU35" s="27"/>
      <c r="EV35" s="27"/>
      <c r="EW35" s="27"/>
      <c r="EX35" s="27"/>
      <c r="EY35" s="27"/>
      <c r="EZ35" s="4">
        <v>5</v>
      </c>
      <c r="FA35" s="4">
        <v>5</v>
      </c>
      <c r="FB35" s="27"/>
      <c r="FC35" s="27"/>
      <c r="FD35" s="27"/>
      <c r="FE35" s="27"/>
      <c r="FF35" s="27"/>
      <c r="FG35" s="27"/>
      <c r="FH35" s="27"/>
      <c r="FI35" s="4">
        <v>15</v>
      </c>
      <c r="FJ35" s="4">
        <v>15</v>
      </c>
      <c r="FK35" s="27"/>
      <c r="FL35" s="4">
        <v>0</v>
      </c>
      <c r="FM35" s="4">
        <v>0</v>
      </c>
      <c r="FN35" s="27"/>
      <c r="FO35" s="4">
        <v>40</v>
      </c>
      <c r="FP35" s="4">
        <v>40</v>
      </c>
      <c r="FQ35" s="27"/>
      <c r="FR35" s="27"/>
      <c r="FS35" s="109"/>
      <c r="FT35" s="54">
        <f>NETWORKDAYS($I36,FO36)</f>
        <v>391</v>
      </c>
      <c r="FU35" s="54">
        <f>NETWORKDAYS($I36,FP36)</f>
        <v>391</v>
      </c>
      <c r="FV35" s="54">
        <f>IF(FQ36="",NETWORKDAYS($I36,FP36),NETWORKDAYS($I36,FQ36))</f>
        <v>391</v>
      </c>
      <c r="FW35" s="55" t="s">
        <v>464</v>
      </c>
    </row>
    <row r="36" spans="1:179" collapsed="1" x14ac:dyDescent="0.35">
      <c r="A36" s="23" t="s">
        <v>4</v>
      </c>
      <c r="B36" s="23">
        <v>107615</v>
      </c>
      <c r="C36" s="24" t="s">
        <v>491</v>
      </c>
      <c r="D36" s="65"/>
      <c r="E36" s="23" t="str">
        <f>IF(D36="","Unknown",IF(D36&lt;=FM36+90,"Red",IF(AND(D36&gt;FM36+90,D36&lt;=FM36+180),"Yellow",IF(AND(D36&gt;FM36+180,D36&lt;=FM36+690),"Green","Covered"))))</f>
        <v>Unknown</v>
      </c>
      <c r="F36" s="25" t="s">
        <v>466</v>
      </c>
      <c r="G36" s="26"/>
      <c r="H36" s="26" t="str">
        <f>IF(CR36="","Pre-Execution","Execution")</f>
        <v>Execution</v>
      </c>
      <c r="I36" s="13">
        <v>45940</v>
      </c>
      <c r="J36" s="28"/>
      <c r="K36" s="28"/>
      <c r="L36" s="28"/>
      <c r="M36" s="10">
        <v>45979</v>
      </c>
      <c r="N36" s="10">
        <f>WORKDAY(I36,N35)</f>
        <v>45979</v>
      </c>
      <c r="O36" s="56">
        <f>M36</f>
        <v>45979</v>
      </c>
      <c r="P36" s="10">
        <v>45979</v>
      </c>
      <c r="Q36" s="10">
        <f>IF(O36="",WORKDAY(N36,Q35),WORKDAY(O36,Q35))</f>
        <v>45979</v>
      </c>
      <c r="R36" s="56">
        <f>P36</f>
        <v>45979</v>
      </c>
      <c r="S36" s="28"/>
      <c r="T36" s="28"/>
      <c r="U36" s="28"/>
      <c r="V36" s="10">
        <v>46021</v>
      </c>
      <c r="W36" s="10">
        <f>IF(R36="",WORKDAY(Q36,W35),WORKDAY(R36,W35))</f>
        <v>46021</v>
      </c>
      <c r="X36" s="56">
        <f>V36</f>
        <v>46021</v>
      </c>
      <c r="Y36" s="10">
        <v>46077</v>
      </c>
      <c r="Z36" s="10">
        <f>IF(R36="",WORKDAY(Q36,Z35),WORKDAY(R36,Z35))</f>
        <v>46077</v>
      </c>
      <c r="AA36" s="56">
        <f>Y36</f>
        <v>46077</v>
      </c>
      <c r="AB36" s="10">
        <v>45940</v>
      </c>
      <c r="AC36" s="10">
        <f>WORKDAY(I36,AC35)</f>
        <v>45940</v>
      </c>
      <c r="AD36" s="56">
        <f>AB36</f>
        <v>45940</v>
      </c>
      <c r="AE36" s="10">
        <v>46045</v>
      </c>
      <c r="AF36" s="10">
        <f>IF(AD36="",WORKDAY(AC36,AF35),WORKDAY(AD36,AF35))</f>
        <v>46045</v>
      </c>
      <c r="AG36" s="56">
        <f>AE36</f>
        <v>46045</v>
      </c>
      <c r="AH36" s="10">
        <v>46084</v>
      </c>
      <c r="AI36" s="10">
        <f>WORKDAY(IF(AA36="",IF(Z36&gt;AF36,Z36,AF36),IF(AA36&gt;AG36,AA36,AG36)),AI35)</f>
        <v>46084</v>
      </c>
      <c r="AJ36" s="56"/>
      <c r="AK36" s="10">
        <v>46112</v>
      </c>
      <c r="AL36" s="10">
        <f>IF(AJ36="",WORKDAY(AI36,AL35),WORKDAY(AJ36,AL35))</f>
        <v>46112</v>
      </c>
      <c r="AM36" s="10">
        <v>46112</v>
      </c>
      <c r="AN36" s="10">
        <v>46112</v>
      </c>
      <c r="AO36" s="10">
        <v>46112</v>
      </c>
      <c r="AP36" s="10">
        <v>46112</v>
      </c>
      <c r="AQ36" s="10">
        <v>46140</v>
      </c>
      <c r="AR36" s="10">
        <v>46140</v>
      </c>
      <c r="AS36" s="10"/>
      <c r="AT36" s="10">
        <v>46119</v>
      </c>
      <c r="AU36" s="10">
        <v>46119</v>
      </c>
      <c r="AV36" s="56"/>
      <c r="AW36" s="10">
        <v>46154</v>
      </c>
      <c r="AX36" s="10">
        <v>46154</v>
      </c>
      <c r="AY36" s="56"/>
      <c r="AZ36" s="10">
        <v>46154</v>
      </c>
      <c r="BA36" s="10">
        <v>46154</v>
      </c>
      <c r="BB36" s="56"/>
      <c r="BC36" s="10">
        <v>46161</v>
      </c>
      <c r="BD36" s="10">
        <v>46161</v>
      </c>
      <c r="BE36" s="10"/>
      <c r="BF36" s="10">
        <v>46168</v>
      </c>
      <c r="BG36" s="10">
        <v>46168</v>
      </c>
      <c r="BH36" s="56"/>
      <c r="BI36" s="10">
        <v>46175</v>
      </c>
      <c r="BJ36" s="10">
        <v>46175</v>
      </c>
      <c r="BK36" s="56"/>
      <c r="BL36" s="28"/>
      <c r="BM36" s="28"/>
      <c r="BN36" s="28"/>
      <c r="BO36" s="28"/>
      <c r="BP36" s="28"/>
      <c r="BQ36" s="28"/>
      <c r="BR36" s="28"/>
      <c r="BS36" s="28"/>
      <c r="BT36" s="28"/>
      <c r="BU36" s="28"/>
      <c r="BV36" s="28"/>
      <c r="BW36" s="28"/>
      <c r="BX36" s="46"/>
      <c r="BY36" s="28"/>
      <c r="BZ36" s="28"/>
      <c r="CA36" s="28"/>
      <c r="CB36" s="28"/>
      <c r="CC36" s="28"/>
      <c r="CD36" s="28"/>
      <c r="CE36" s="28"/>
      <c r="CF36" s="28"/>
      <c r="CG36" s="28"/>
      <c r="CH36" s="28"/>
      <c r="CI36" s="28"/>
      <c r="CJ36" s="28"/>
      <c r="CK36" s="28"/>
      <c r="CL36" s="28"/>
      <c r="CM36" s="10">
        <v>46178</v>
      </c>
      <c r="CN36" s="10">
        <v>46178</v>
      </c>
      <c r="CO36" s="10">
        <f>CM36</f>
        <v>46178</v>
      </c>
      <c r="CP36" s="10">
        <v>46185</v>
      </c>
      <c r="CQ36" s="10">
        <f>IF(CO36="",WORKDAY(CN36,CQ35),WORKDAY(CO36,CQ35))</f>
        <v>46185</v>
      </c>
      <c r="CR36" s="10">
        <f>WORKDAY(CO36,CR35)</f>
        <v>46178</v>
      </c>
      <c r="CS36" s="77" t="s">
        <v>478</v>
      </c>
      <c r="CT36" s="10">
        <v>46346</v>
      </c>
      <c r="CU36" s="10">
        <f>IF(CR36="",WORKDAY(CQ36,CU35),WORKDAY(CR36,CU35))</f>
        <v>46346</v>
      </c>
      <c r="CV36" s="56">
        <f>CT36</f>
        <v>46346</v>
      </c>
      <c r="CW36" s="10">
        <v>46168</v>
      </c>
      <c r="CX36" s="10">
        <v>46168</v>
      </c>
      <c r="CY36" s="56"/>
      <c r="CZ36" s="10">
        <v>46168</v>
      </c>
      <c r="DA36" s="10">
        <v>46168</v>
      </c>
      <c r="DB36" s="56"/>
      <c r="DC36" s="45"/>
      <c r="DD36" s="45"/>
      <c r="DE36" s="45"/>
      <c r="DF36" s="10">
        <v>46374</v>
      </c>
      <c r="DG36" s="10">
        <f>IF($CV36="",IF($CU36&gt;$DA36,WORKDAY($CU36,DG35),WORKDAY($DA36,DG35)),IF($CV36&gt;$DB36,WORKDAY($CV36,DG35),WORKDAY($DB36,DG35)))</f>
        <v>46374</v>
      </c>
      <c r="DH36" s="56"/>
      <c r="DI36" s="46"/>
      <c r="DJ36" s="10">
        <v>46402</v>
      </c>
      <c r="DK36" s="10">
        <f>IF(DH36="",WORKDAY(DG36,DK35*$DI35),WORKDAY(DH36,DK35*$DI35))</f>
        <v>46402</v>
      </c>
      <c r="DL36" s="56"/>
      <c r="DM36" s="46"/>
      <c r="DN36" s="46"/>
      <c r="DO36" s="46"/>
      <c r="DP36" s="46"/>
      <c r="DQ36" s="46"/>
      <c r="DR36" s="46"/>
      <c r="DS36" s="46"/>
      <c r="DT36" s="46"/>
      <c r="DU36" s="46"/>
      <c r="DV36" s="46"/>
      <c r="DW36" s="46"/>
      <c r="DX36" s="46"/>
      <c r="DY36" s="46"/>
      <c r="DZ36" s="46"/>
      <c r="EA36" s="46"/>
      <c r="EB36" s="46"/>
      <c r="EC36" s="46"/>
      <c r="ED36" s="46"/>
      <c r="EE36" s="10">
        <v>46402</v>
      </c>
      <c r="EF36" s="10">
        <f>IF(DL36="",WORKDAY(DK36,EF35),WORKDAY(DL36,EF35))</f>
        <v>46402</v>
      </c>
      <c r="EG36" s="56"/>
      <c r="EH36" s="10">
        <f>IF(DN36="",WORKDAY(DM36,EH35),WORKDAY(DN36,EH35))</f>
        <v>41</v>
      </c>
      <c r="EI36" s="10">
        <f>IF(DO36="",WORKDAY(DN36,EI35),WORKDAY(DO36,EI35))</f>
        <v>41</v>
      </c>
      <c r="EJ36" s="56"/>
      <c r="EK36" s="27"/>
      <c r="EL36" s="27"/>
      <c r="EM36" s="27"/>
      <c r="EN36" s="27"/>
      <c r="EO36" s="28"/>
      <c r="EP36" s="28"/>
      <c r="EQ36" s="28"/>
      <c r="ER36" s="28"/>
      <c r="ES36" s="28"/>
      <c r="ET36" s="28"/>
      <c r="EU36" s="28"/>
      <c r="EV36" s="28"/>
      <c r="EW36" s="28"/>
      <c r="EX36" s="28"/>
      <c r="EY36" s="28"/>
      <c r="EZ36" s="10">
        <v>46409</v>
      </c>
      <c r="FA36" s="10">
        <f>IF(EG36="",WORKDAY(EF36,FA35),WORKDAY(EG36,FA35))</f>
        <v>46409</v>
      </c>
      <c r="FB36" s="56"/>
      <c r="FC36" s="28"/>
      <c r="FD36" s="28"/>
      <c r="FE36" s="28"/>
      <c r="FF36" s="28"/>
      <c r="FG36" s="28"/>
      <c r="FH36" s="28"/>
      <c r="FI36" s="10">
        <v>46430</v>
      </c>
      <c r="FJ36" s="10">
        <f>IF(FB36="",WORKDAY(FA36,FJ35),WORKDAY(FB36,FJ35))</f>
        <v>46430</v>
      </c>
      <c r="FK36" s="56"/>
      <c r="FL36" s="10">
        <v>46430</v>
      </c>
      <c r="FM36" s="10">
        <f>IF(FK36="",WORKDAY(FJ36,FM35),WORKDAY(FK36,FM35))</f>
        <v>46430</v>
      </c>
      <c r="FN36" s="56"/>
      <c r="FO36" s="10">
        <v>46486</v>
      </c>
      <c r="FP36" s="10">
        <f>WORKDAY(FM36,FP35)</f>
        <v>46486</v>
      </c>
      <c r="FQ36" s="56"/>
      <c r="FR36" s="77" t="str">
        <f>IF(NETWORKDAYS(FJ36,FO36)&gt;=30,"On-Track",IF(AND(NETWORKDAYS(FJ36,FO36)&lt;30,FJ36&lt;=FO36),"At Risk","Missed TCD"))</f>
        <v>On-Track</v>
      </c>
      <c r="FS36" s="110" t="s">
        <v>479</v>
      </c>
      <c r="FT36" s="57">
        <f>NETWORKDAYS(CP36,FI36)</f>
        <v>176</v>
      </c>
      <c r="FU36" s="57">
        <f>NETWORKDAYS(CQ36,FJ36)</f>
        <v>176</v>
      </c>
      <c r="FV36" s="57">
        <f>IF(BH36="",NETWORKDAYS(BG36,FJ36),IF(FK36="",NETWORKDAYS(BH36,FJ36),NETWORKDAYS(BH36,FK36)))</f>
        <v>189</v>
      </c>
      <c r="FW36" s="58" t="s">
        <v>467</v>
      </c>
    </row>
    <row r="37" spans="1:179" hidden="1" outlineLevel="1" x14ac:dyDescent="0.35">
      <c r="A37" s="23" t="s">
        <v>4</v>
      </c>
      <c r="B37" s="23">
        <v>107616</v>
      </c>
      <c r="C37" s="24" t="s">
        <v>492</v>
      </c>
      <c r="D37" s="95"/>
      <c r="E37" s="24"/>
      <c r="F37" s="25" t="s">
        <v>463</v>
      </c>
      <c r="G37" s="26"/>
      <c r="H37" s="26"/>
      <c r="I37" s="27"/>
      <c r="J37" s="27"/>
      <c r="K37" s="27"/>
      <c r="L37" s="27"/>
      <c r="M37" s="4">
        <v>27</v>
      </c>
      <c r="N37" s="4">
        <v>27</v>
      </c>
      <c r="O37" s="27"/>
      <c r="P37" s="4">
        <v>0</v>
      </c>
      <c r="Q37" s="4">
        <v>0</v>
      </c>
      <c r="R37" s="27"/>
      <c r="S37" s="27"/>
      <c r="T37" s="27"/>
      <c r="U37" s="27"/>
      <c r="V37" s="4">
        <v>30</v>
      </c>
      <c r="W37" s="4">
        <v>30</v>
      </c>
      <c r="X37" s="27"/>
      <c r="Y37" s="4">
        <v>70</v>
      </c>
      <c r="Z37" s="4">
        <v>70</v>
      </c>
      <c r="AA37" s="27"/>
      <c r="AB37" s="4">
        <v>0</v>
      </c>
      <c r="AC37" s="4">
        <v>0</v>
      </c>
      <c r="AD37" s="27"/>
      <c r="AE37" s="4">
        <v>75</v>
      </c>
      <c r="AF37" s="4">
        <v>75</v>
      </c>
      <c r="AG37" s="27"/>
      <c r="AH37" s="4">
        <v>5</v>
      </c>
      <c r="AI37" s="4">
        <v>5</v>
      </c>
      <c r="AJ37" s="27"/>
      <c r="AK37" s="4">
        <v>20</v>
      </c>
      <c r="AL37" s="4">
        <v>20</v>
      </c>
      <c r="AM37" s="27"/>
      <c r="AN37" s="4">
        <v>0</v>
      </c>
      <c r="AO37" s="4">
        <v>0</v>
      </c>
      <c r="AP37" s="27"/>
      <c r="AQ37" s="4">
        <v>20</v>
      </c>
      <c r="AR37" s="4">
        <v>20</v>
      </c>
      <c r="AS37" s="27"/>
      <c r="AT37" s="4">
        <v>5</v>
      </c>
      <c r="AU37" s="4">
        <v>5</v>
      </c>
      <c r="AV37" s="27"/>
      <c r="AW37" s="4">
        <v>10</v>
      </c>
      <c r="AX37" s="4">
        <v>10</v>
      </c>
      <c r="AY37" s="27"/>
      <c r="AZ37" s="4">
        <v>30</v>
      </c>
      <c r="BA37" s="4">
        <v>30</v>
      </c>
      <c r="BB37" s="27"/>
      <c r="BC37" s="4">
        <v>5</v>
      </c>
      <c r="BD37" s="4">
        <v>5</v>
      </c>
      <c r="BE37" s="27"/>
      <c r="BF37" s="4">
        <v>5</v>
      </c>
      <c r="BG37" s="4">
        <v>5</v>
      </c>
      <c r="BH37" s="27"/>
      <c r="BI37" s="4">
        <v>5</v>
      </c>
      <c r="BJ37" s="4">
        <v>5</v>
      </c>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4">
        <v>3</v>
      </c>
      <c r="CN37" s="4">
        <v>3</v>
      </c>
      <c r="CO37" s="27"/>
      <c r="CP37" s="4">
        <v>5</v>
      </c>
      <c r="CQ37" s="4">
        <v>5</v>
      </c>
      <c r="CR37" s="27"/>
      <c r="CS37" s="27"/>
      <c r="CT37" s="5">
        <v>120</v>
      </c>
      <c r="CU37" s="5">
        <v>120</v>
      </c>
      <c r="CV37" s="27"/>
      <c r="CW37" s="5">
        <v>10</v>
      </c>
      <c r="CX37" s="5">
        <v>10</v>
      </c>
      <c r="CY37" s="27"/>
      <c r="CZ37" s="5">
        <v>0</v>
      </c>
      <c r="DA37" s="5">
        <v>0</v>
      </c>
      <c r="DB37" s="27"/>
      <c r="DC37" s="31"/>
      <c r="DD37" s="31"/>
      <c r="DE37" s="31"/>
      <c r="DF37" s="4">
        <v>20</v>
      </c>
      <c r="DG37" s="4">
        <v>20</v>
      </c>
      <c r="DH37" s="27"/>
      <c r="DI37" s="89">
        <v>1</v>
      </c>
      <c r="DJ37" s="4">
        <v>20</v>
      </c>
      <c r="DK37" s="4">
        <v>20</v>
      </c>
      <c r="DL37" s="27"/>
      <c r="DM37" s="27"/>
      <c r="DN37" s="27"/>
      <c r="DO37" s="27"/>
      <c r="DP37" s="27"/>
      <c r="DQ37" s="27"/>
      <c r="DR37" s="27"/>
      <c r="DS37" s="27"/>
      <c r="DT37" s="27"/>
      <c r="DU37" s="27"/>
      <c r="DV37" s="27"/>
      <c r="DW37" s="27"/>
      <c r="DX37" s="27"/>
      <c r="DY37" s="27"/>
      <c r="DZ37" s="27"/>
      <c r="EA37" s="27"/>
      <c r="EB37" s="27"/>
      <c r="EC37" s="27"/>
      <c r="ED37" s="27"/>
      <c r="EE37" s="4">
        <v>0</v>
      </c>
      <c r="EF37" s="4">
        <v>0</v>
      </c>
      <c r="EG37" s="27"/>
      <c r="EH37" s="4">
        <v>30</v>
      </c>
      <c r="EI37" s="4">
        <v>30</v>
      </c>
      <c r="EJ37" s="27"/>
      <c r="EK37" s="27"/>
      <c r="EL37" s="27"/>
      <c r="EM37" s="27"/>
      <c r="EN37" s="27"/>
      <c r="EO37" s="27"/>
      <c r="EP37" s="27"/>
      <c r="EQ37" s="27"/>
      <c r="ER37" s="27"/>
      <c r="ES37" s="27"/>
      <c r="ET37" s="27"/>
      <c r="EU37" s="27"/>
      <c r="EV37" s="27"/>
      <c r="EW37" s="27"/>
      <c r="EX37" s="27"/>
      <c r="EY37" s="27"/>
      <c r="EZ37" s="4">
        <v>5</v>
      </c>
      <c r="FA37" s="4">
        <v>5</v>
      </c>
      <c r="FB37" s="27"/>
      <c r="FC37" s="27"/>
      <c r="FD37" s="27"/>
      <c r="FE37" s="27"/>
      <c r="FF37" s="27"/>
      <c r="FG37" s="27"/>
      <c r="FH37" s="27"/>
      <c r="FI37" s="4">
        <v>15</v>
      </c>
      <c r="FJ37" s="4">
        <v>15</v>
      </c>
      <c r="FK37" s="27"/>
      <c r="FL37" s="4">
        <v>0</v>
      </c>
      <c r="FM37" s="4">
        <v>0</v>
      </c>
      <c r="FN37" s="27"/>
      <c r="FO37" s="4">
        <v>40</v>
      </c>
      <c r="FP37" s="4">
        <v>40</v>
      </c>
      <c r="FQ37" s="27"/>
      <c r="FR37" s="27"/>
      <c r="FS37" s="109"/>
      <c r="FT37" s="54">
        <f>NETWORKDAYS($I38,FO38)</f>
        <v>391</v>
      </c>
      <c r="FU37" s="54">
        <f>NETWORKDAYS($I38,FP38)</f>
        <v>391</v>
      </c>
      <c r="FV37" s="54">
        <f>IF(FQ38="",NETWORKDAYS($I38,FP38),NETWORKDAYS($I38,FQ38))</f>
        <v>391</v>
      </c>
      <c r="FW37" s="55" t="s">
        <v>464</v>
      </c>
    </row>
    <row r="38" spans="1:179" collapsed="1" x14ac:dyDescent="0.35">
      <c r="A38" s="23" t="s">
        <v>4</v>
      </c>
      <c r="B38" s="23">
        <v>107616</v>
      </c>
      <c r="C38" s="24" t="s">
        <v>492</v>
      </c>
      <c r="D38" s="65"/>
      <c r="E38" s="23" t="str">
        <f>IF(D38="","Unknown",IF(D38&lt;=FM38+90,"Red",IF(AND(D38&gt;FM38+90,D38&lt;=FM38+180),"Yellow",IF(AND(D38&gt;FM38+180,D38&lt;=FM38+690),"Green","Covered"))))</f>
        <v>Unknown</v>
      </c>
      <c r="F38" s="25" t="s">
        <v>466</v>
      </c>
      <c r="G38" s="26"/>
      <c r="H38" s="26" t="str">
        <f>IF(CR38="","Pre-Execution","Execution")</f>
        <v>Execution</v>
      </c>
      <c r="I38" s="13">
        <v>45940</v>
      </c>
      <c r="J38" s="28"/>
      <c r="K38" s="28"/>
      <c r="L38" s="28"/>
      <c r="M38" s="10">
        <v>45979</v>
      </c>
      <c r="N38" s="10">
        <f>WORKDAY(I38,N37)</f>
        <v>45979</v>
      </c>
      <c r="O38" s="56">
        <f>M38</f>
        <v>45979</v>
      </c>
      <c r="P38" s="10">
        <v>45979</v>
      </c>
      <c r="Q38" s="10">
        <f>IF(O38="",WORKDAY(N38,Q37),WORKDAY(O38,Q37))</f>
        <v>45979</v>
      </c>
      <c r="R38" s="56">
        <f>P38</f>
        <v>45979</v>
      </c>
      <c r="S38" s="28"/>
      <c r="T38" s="28"/>
      <c r="U38" s="28"/>
      <c r="V38" s="10">
        <v>46021</v>
      </c>
      <c r="W38" s="10">
        <f>IF(R38="",WORKDAY(Q38,W37),WORKDAY(R38,W37))</f>
        <v>46021</v>
      </c>
      <c r="X38" s="56">
        <f>V38</f>
        <v>46021</v>
      </c>
      <c r="Y38" s="10">
        <v>46077</v>
      </c>
      <c r="Z38" s="10">
        <f>IF(R38="",WORKDAY(Q38,Z37),WORKDAY(R38,Z37))</f>
        <v>46077</v>
      </c>
      <c r="AA38" s="56">
        <f>Y38</f>
        <v>46077</v>
      </c>
      <c r="AB38" s="10">
        <v>45940</v>
      </c>
      <c r="AC38" s="10">
        <f>WORKDAY(I38,AC37)</f>
        <v>45940</v>
      </c>
      <c r="AD38" s="56">
        <f>AB38</f>
        <v>45940</v>
      </c>
      <c r="AE38" s="10">
        <v>46045</v>
      </c>
      <c r="AF38" s="10">
        <f>IF(AD38="",WORKDAY(AC38,AF37),WORKDAY(AD38,AF37))</f>
        <v>46045</v>
      </c>
      <c r="AG38" s="56">
        <f>AE38</f>
        <v>46045</v>
      </c>
      <c r="AH38" s="10">
        <v>46084</v>
      </c>
      <c r="AI38" s="10">
        <f>WORKDAY(IF(AA38="",IF(Z38&gt;AF38,Z38,AF38),IF(AA38&gt;AG38,AA38,AG38)),AI37)</f>
        <v>46084</v>
      </c>
      <c r="AJ38" s="56"/>
      <c r="AK38" s="10">
        <v>46112</v>
      </c>
      <c r="AL38" s="10">
        <f>IF(AJ38="",WORKDAY(AI38,AL37),WORKDAY(AJ38,AL37))</f>
        <v>46112</v>
      </c>
      <c r="AM38" s="10">
        <v>46112</v>
      </c>
      <c r="AN38" s="10">
        <v>46112</v>
      </c>
      <c r="AO38" s="10">
        <v>46112</v>
      </c>
      <c r="AP38" s="10">
        <v>46112</v>
      </c>
      <c r="AQ38" s="10">
        <v>46140</v>
      </c>
      <c r="AR38" s="10">
        <v>46140</v>
      </c>
      <c r="AS38" s="10"/>
      <c r="AT38" s="10">
        <v>46119</v>
      </c>
      <c r="AU38" s="10">
        <v>46119</v>
      </c>
      <c r="AV38" s="56"/>
      <c r="AW38" s="10">
        <v>46154</v>
      </c>
      <c r="AX38" s="10">
        <v>46154</v>
      </c>
      <c r="AY38" s="56"/>
      <c r="AZ38" s="10">
        <v>46154</v>
      </c>
      <c r="BA38" s="10">
        <v>46154</v>
      </c>
      <c r="BB38" s="56"/>
      <c r="BC38" s="10">
        <v>46161</v>
      </c>
      <c r="BD38" s="10">
        <v>46161</v>
      </c>
      <c r="BE38" s="10"/>
      <c r="BF38" s="10">
        <v>46168</v>
      </c>
      <c r="BG38" s="10">
        <v>46168</v>
      </c>
      <c r="BH38" s="56"/>
      <c r="BI38" s="10">
        <v>46175</v>
      </c>
      <c r="BJ38" s="10">
        <v>46175</v>
      </c>
      <c r="BK38" s="56"/>
      <c r="BL38" s="28"/>
      <c r="BM38" s="28"/>
      <c r="BN38" s="28"/>
      <c r="BO38" s="28"/>
      <c r="BP38" s="28"/>
      <c r="BQ38" s="28"/>
      <c r="BR38" s="28"/>
      <c r="BS38" s="28"/>
      <c r="BT38" s="28"/>
      <c r="BU38" s="28"/>
      <c r="BV38" s="28"/>
      <c r="BW38" s="28"/>
      <c r="BX38" s="46"/>
      <c r="BY38" s="28"/>
      <c r="BZ38" s="28"/>
      <c r="CA38" s="28"/>
      <c r="CB38" s="28"/>
      <c r="CC38" s="28"/>
      <c r="CD38" s="28"/>
      <c r="CE38" s="28"/>
      <c r="CF38" s="28"/>
      <c r="CG38" s="28"/>
      <c r="CH38" s="28"/>
      <c r="CI38" s="28"/>
      <c r="CJ38" s="28"/>
      <c r="CK38" s="28"/>
      <c r="CL38" s="28"/>
      <c r="CM38" s="10">
        <v>46178</v>
      </c>
      <c r="CN38" s="10">
        <v>46178</v>
      </c>
      <c r="CO38" s="10">
        <f>CM38</f>
        <v>46178</v>
      </c>
      <c r="CP38" s="10">
        <v>46185</v>
      </c>
      <c r="CQ38" s="10">
        <f>IF(CO38="",WORKDAY(CN38,CQ37),WORKDAY(CO38,CQ37))</f>
        <v>46185</v>
      </c>
      <c r="CR38" s="10">
        <f>WORKDAY(CO38,CR37)</f>
        <v>46178</v>
      </c>
      <c r="CS38" s="77" t="s">
        <v>478</v>
      </c>
      <c r="CT38" s="10">
        <v>46346</v>
      </c>
      <c r="CU38" s="10">
        <f>IF(CR38="",WORKDAY(CQ38,CU37),WORKDAY(CR38,CU37))</f>
        <v>46346</v>
      </c>
      <c r="CV38" s="56">
        <f>CT38</f>
        <v>46346</v>
      </c>
      <c r="CW38" s="10">
        <v>46168</v>
      </c>
      <c r="CX38" s="10">
        <v>46168</v>
      </c>
      <c r="CY38" s="56"/>
      <c r="CZ38" s="10">
        <v>46168</v>
      </c>
      <c r="DA38" s="10">
        <v>46168</v>
      </c>
      <c r="DB38" s="56"/>
      <c r="DC38" s="45"/>
      <c r="DD38" s="45"/>
      <c r="DE38" s="45"/>
      <c r="DF38" s="10">
        <v>46374</v>
      </c>
      <c r="DG38" s="10">
        <f>IF($CV38="",IF($CU38&gt;$DA38,WORKDAY($CU38,DG37),WORKDAY($DA38,DG37)),IF($CV38&gt;$DB38,WORKDAY($CV38,DG37),WORKDAY($DB38,DG37)))</f>
        <v>46374</v>
      </c>
      <c r="DH38" s="56"/>
      <c r="DI38" s="46"/>
      <c r="DJ38" s="10">
        <v>46402</v>
      </c>
      <c r="DK38" s="10">
        <f>IF(DH38="",WORKDAY(DG38,DK37*$DI37),WORKDAY(DH38,DK37*$DI37))</f>
        <v>46402</v>
      </c>
      <c r="DL38" s="56"/>
      <c r="DM38" s="46"/>
      <c r="DN38" s="46"/>
      <c r="DO38" s="46"/>
      <c r="DP38" s="46"/>
      <c r="DQ38" s="46"/>
      <c r="DR38" s="46"/>
      <c r="DS38" s="46"/>
      <c r="DT38" s="46"/>
      <c r="DU38" s="46"/>
      <c r="DV38" s="46"/>
      <c r="DW38" s="46"/>
      <c r="DX38" s="46"/>
      <c r="DY38" s="46"/>
      <c r="DZ38" s="46"/>
      <c r="EA38" s="46"/>
      <c r="EB38" s="46"/>
      <c r="EC38" s="46"/>
      <c r="ED38" s="46"/>
      <c r="EE38" s="10">
        <v>46402</v>
      </c>
      <c r="EF38" s="10">
        <f>IF(DL38="",WORKDAY(DK38,EF37),WORKDAY(DL38,EF37))</f>
        <v>46402</v>
      </c>
      <c r="EG38" s="56"/>
      <c r="EH38" s="10">
        <f>IF(DN38="",WORKDAY(DM38,EH37),WORKDAY(DN38,EH37))</f>
        <v>41</v>
      </c>
      <c r="EI38" s="10">
        <f>IF(DO38="",WORKDAY(DN38,EI37),WORKDAY(DO38,EI37))</f>
        <v>41</v>
      </c>
      <c r="EJ38" s="56"/>
      <c r="EK38" s="27"/>
      <c r="EL38" s="27"/>
      <c r="EM38" s="27"/>
      <c r="EN38" s="27"/>
      <c r="EO38" s="28"/>
      <c r="EP38" s="28"/>
      <c r="EQ38" s="28"/>
      <c r="ER38" s="28"/>
      <c r="ES38" s="28"/>
      <c r="ET38" s="28"/>
      <c r="EU38" s="28"/>
      <c r="EV38" s="28"/>
      <c r="EW38" s="28"/>
      <c r="EX38" s="28"/>
      <c r="EY38" s="28"/>
      <c r="EZ38" s="10">
        <v>46409</v>
      </c>
      <c r="FA38" s="10">
        <f>IF(EG38="",WORKDAY(EF38,FA37),WORKDAY(EG38,FA37))</f>
        <v>46409</v>
      </c>
      <c r="FB38" s="56"/>
      <c r="FC38" s="28"/>
      <c r="FD38" s="28"/>
      <c r="FE38" s="28"/>
      <c r="FF38" s="28"/>
      <c r="FG38" s="28"/>
      <c r="FH38" s="28"/>
      <c r="FI38" s="10">
        <v>46430</v>
      </c>
      <c r="FJ38" s="10">
        <f>IF(FB38="",WORKDAY(FA38,FJ37),WORKDAY(FB38,FJ37))</f>
        <v>46430</v>
      </c>
      <c r="FK38" s="56"/>
      <c r="FL38" s="10">
        <v>46430</v>
      </c>
      <c r="FM38" s="10">
        <f>IF(FK38="",WORKDAY(FJ38,FM37),WORKDAY(FK38,FM37))</f>
        <v>46430</v>
      </c>
      <c r="FN38" s="56"/>
      <c r="FO38" s="10">
        <v>46486</v>
      </c>
      <c r="FP38" s="10">
        <f>WORKDAY(FM38,FP37)</f>
        <v>46486</v>
      </c>
      <c r="FQ38" s="56"/>
      <c r="FR38" s="77" t="str">
        <f>IF(NETWORKDAYS(FJ38,FO38)&gt;=30,"On-Track",IF(AND(NETWORKDAYS(FJ38,FO38)&lt;30,FJ38&lt;=FO38),"At Risk","Missed TCD"))</f>
        <v>On-Track</v>
      </c>
      <c r="FS38" s="110" t="s">
        <v>479</v>
      </c>
      <c r="FT38" s="57">
        <f>NETWORKDAYS(CP38,FI38)</f>
        <v>176</v>
      </c>
      <c r="FU38" s="57">
        <f>NETWORKDAYS(CQ38,FJ38)</f>
        <v>176</v>
      </c>
      <c r="FV38" s="57">
        <f>IF(BH38="",NETWORKDAYS(BG38,FJ38),IF(FK38="",NETWORKDAYS(BH38,FJ38),NETWORKDAYS(BH38,FK38)))</f>
        <v>189</v>
      </c>
      <c r="FW38" s="58" t="s">
        <v>467</v>
      </c>
    </row>
    <row r="39" spans="1:179" hidden="1" outlineLevel="1" x14ac:dyDescent="0.35">
      <c r="A39" s="23" t="s">
        <v>4</v>
      </c>
      <c r="B39" s="23">
        <v>107617</v>
      </c>
      <c r="C39" s="24" t="s">
        <v>493</v>
      </c>
      <c r="D39" s="95"/>
      <c r="E39" s="24"/>
      <c r="F39" s="25" t="s">
        <v>463</v>
      </c>
      <c r="G39" s="26"/>
      <c r="H39" s="26"/>
      <c r="I39" s="27"/>
      <c r="J39" s="27"/>
      <c r="K39" s="27"/>
      <c r="L39" s="27"/>
      <c r="M39" s="4">
        <v>27</v>
      </c>
      <c r="N39" s="4">
        <v>27</v>
      </c>
      <c r="O39" s="27"/>
      <c r="P39" s="4">
        <v>0</v>
      </c>
      <c r="Q39" s="4">
        <v>0</v>
      </c>
      <c r="R39" s="27"/>
      <c r="S39" s="27"/>
      <c r="T39" s="27"/>
      <c r="U39" s="27"/>
      <c r="V39" s="4">
        <v>30</v>
      </c>
      <c r="W39" s="4">
        <v>30</v>
      </c>
      <c r="X39" s="27"/>
      <c r="Y39" s="4">
        <v>70</v>
      </c>
      <c r="Z39" s="4">
        <v>70</v>
      </c>
      <c r="AA39" s="27"/>
      <c r="AB39" s="4">
        <v>0</v>
      </c>
      <c r="AC39" s="4">
        <v>0</v>
      </c>
      <c r="AD39" s="27"/>
      <c r="AE39" s="4">
        <v>75</v>
      </c>
      <c r="AF39" s="4">
        <v>75</v>
      </c>
      <c r="AG39" s="27"/>
      <c r="AH39" s="4">
        <v>5</v>
      </c>
      <c r="AI39" s="4">
        <v>5</v>
      </c>
      <c r="AJ39" s="27"/>
      <c r="AK39" s="4">
        <v>20</v>
      </c>
      <c r="AL39" s="4">
        <v>20</v>
      </c>
      <c r="AM39" s="27"/>
      <c r="AN39" s="4">
        <v>0</v>
      </c>
      <c r="AO39" s="4">
        <v>0</v>
      </c>
      <c r="AP39" s="27"/>
      <c r="AQ39" s="4">
        <v>20</v>
      </c>
      <c r="AR39" s="4">
        <v>20</v>
      </c>
      <c r="AS39" s="27"/>
      <c r="AT39" s="4">
        <v>5</v>
      </c>
      <c r="AU39" s="4">
        <v>5</v>
      </c>
      <c r="AV39" s="27"/>
      <c r="AW39" s="4">
        <v>10</v>
      </c>
      <c r="AX39" s="4">
        <v>10</v>
      </c>
      <c r="AY39" s="27"/>
      <c r="AZ39" s="4">
        <v>30</v>
      </c>
      <c r="BA39" s="4">
        <v>30</v>
      </c>
      <c r="BB39" s="27"/>
      <c r="BC39" s="4">
        <v>5</v>
      </c>
      <c r="BD39" s="4">
        <v>5</v>
      </c>
      <c r="BE39" s="27"/>
      <c r="BF39" s="4">
        <v>5</v>
      </c>
      <c r="BG39" s="4">
        <v>5</v>
      </c>
      <c r="BH39" s="27"/>
      <c r="BI39" s="4">
        <v>5</v>
      </c>
      <c r="BJ39" s="4">
        <v>5</v>
      </c>
      <c r="BK39" s="27"/>
      <c r="BL39" s="27"/>
      <c r="BM39" s="27"/>
      <c r="BN39" s="27"/>
      <c r="BO39" s="27"/>
      <c r="BP39" s="27"/>
      <c r="BQ39" s="27"/>
      <c r="BR39" s="27"/>
      <c r="BS39" s="27"/>
      <c r="BT39" s="27"/>
      <c r="BU39" s="27"/>
      <c r="BV39" s="27"/>
      <c r="BW39" s="27"/>
      <c r="BX39" s="27"/>
      <c r="BY39" s="27"/>
      <c r="BZ39" s="27"/>
      <c r="CA39" s="27"/>
      <c r="CB39" s="27"/>
      <c r="CC39" s="27"/>
      <c r="CD39" s="27"/>
      <c r="CE39" s="27"/>
      <c r="CF39" s="27"/>
      <c r="CG39" s="27"/>
      <c r="CH39" s="27"/>
      <c r="CI39" s="27"/>
      <c r="CJ39" s="27"/>
      <c r="CK39" s="27"/>
      <c r="CL39" s="27"/>
      <c r="CM39" s="4">
        <v>3</v>
      </c>
      <c r="CN39" s="4">
        <v>3</v>
      </c>
      <c r="CO39" s="27"/>
      <c r="CP39" s="4">
        <v>5</v>
      </c>
      <c r="CQ39" s="4">
        <v>5</v>
      </c>
      <c r="CR39" s="27"/>
      <c r="CS39" s="27"/>
      <c r="CT39" s="5">
        <v>120</v>
      </c>
      <c r="CU39" s="5">
        <v>120</v>
      </c>
      <c r="CV39" s="27"/>
      <c r="CW39" s="5">
        <v>10</v>
      </c>
      <c r="CX39" s="5">
        <v>10</v>
      </c>
      <c r="CY39" s="27"/>
      <c r="CZ39" s="5">
        <v>0</v>
      </c>
      <c r="DA39" s="5">
        <v>0</v>
      </c>
      <c r="DB39" s="27"/>
      <c r="DC39" s="31"/>
      <c r="DD39" s="31"/>
      <c r="DE39" s="31"/>
      <c r="DF39" s="4">
        <v>20</v>
      </c>
      <c r="DG39" s="4">
        <v>20</v>
      </c>
      <c r="DH39" s="27"/>
      <c r="DI39" s="89">
        <v>1</v>
      </c>
      <c r="DJ39" s="4">
        <v>20</v>
      </c>
      <c r="DK39" s="4">
        <v>20</v>
      </c>
      <c r="DL39" s="27"/>
      <c r="DM39" s="27"/>
      <c r="DN39" s="27"/>
      <c r="DO39" s="27"/>
      <c r="DP39" s="27"/>
      <c r="DQ39" s="27"/>
      <c r="DR39" s="27"/>
      <c r="DS39" s="27"/>
      <c r="DT39" s="27"/>
      <c r="DU39" s="27"/>
      <c r="DV39" s="27"/>
      <c r="DW39" s="27"/>
      <c r="DX39" s="27"/>
      <c r="DY39" s="27"/>
      <c r="DZ39" s="27"/>
      <c r="EA39" s="27"/>
      <c r="EB39" s="27"/>
      <c r="EC39" s="27"/>
      <c r="ED39" s="27"/>
      <c r="EE39" s="4">
        <v>0</v>
      </c>
      <c r="EF39" s="4">
        <v>0</v>
      </c>
      <c r="EG39" s="27"/>
      <c r="EH39" s="4">
        <v>30</v>
      </c>
      <c r="EI39" s="4">
        <v>30</v>
      </c>
      <c r="EJ39" s="27"/>
      <c r="EK39" s="27"/>
      <c r="EL39" s="27"/>
      <c r="EM39" s="27"/>
      <c r="EN39" s="27"/>
      <c r="EO39" s="27"/>
      <c r="EP39" s="27"/>
      <c r="EQ39" s="27"/>
      <c r="ER39" s="27"/>
      <c r="ES39" s="27"/>
      <c r="ET39" s="27"/>
      <c r="EU39" s="27"/>
      <c r="EV39" s="27"/>
      <c r="EW39" s="27"/>
      <c r="EX39" s="27"/>
      <c r="EY39" s="27"/>
      <c r="EZ39" s="4">
        <v>5</v>
      </c>
      <c r="FA39" s="4">
        <v>5</v>
      </c>
      <c r="FB39" s="27"/>
      <c r="FC39" s="27"/>
      <c r="FD39" s="27"/>
      <c r="FE39" s="27"/>
      <c r="FF39" s="27"/>
      <c r="FG39" s="27"/>
      <c r="FH39" s="27"/>
      <c r="FI39" s="4">
        <v>15</v>
      </c>
      <c r="FJ39" s="4">
        <v>15</v>
      </c>
      <c r="FK39" s="27"/>
      <c r="FL39" s="4">
        <v>0</v>
      </c>
      <c r="FM39" s="4">
        <v>0</v>
      </c>
      <c r="FN39" s="27"/>
      <c r="FO39" s="4">
        <v>40</v>
      </c>
      <c r="FP39" s="4">
        <v>40</v>
      </c>
      <c r="FQ39" s="27"/>
      <c r="FR39" s="27"/>
      <c r="FS39" s="109"/>
      <c r="FT39" s="54">
        <f>NETWORKDAYS($I40,FO40)</f>
        <v>391</v>
      </c>
      <c r="FU39" s="54">
        <f>NETWORKDAYS($I40,FP40)</f>
        <v>391</v>
      </c>
      <c r="FV39" s="54">
        <f>IF(FQ40="",NETWORKDAYS($I40,FP40),NETWORKDAYS($I40,FQ40))</f>
        <v>391</v>
      </c>
      <c r="FW39" s="55" t="s">
        <v>464</v>
      </c>
    </row>
    <row r="40" spans="1:179" collapsed="1" x14ac:dyDescent="0.35">
      <c r="A40" s="23" t="s">
        <v>4</v>
      </c>
      <c r="B40" s="23">
        <v>107617</v>
      </c>
      <c r="C40" s="24" t="s">
        <v>493</v>
      </c>
      <c r="D40" s="65"/>
      <c r="E40" s="23" t="str">
        <f>IF(D40="","Unknown",IF(D40&lt;=FM40+90,"Red",IF(AND(D40&gt;FM40+90,D40&lt;=FM40+180),"Yellow",IF(AND(D40&gt;FM40+180,D40&lt;=FM40+690),"Green","Covered"))))</f>
        <v>Unknown</v>
      </c>
      <c r="F40" s="25" t="s">
        <v>466</v>
      </c>
      <c r="G40" s="26"/>
      <c r="H40" s="26" t="str">
        <f>IF(CR40="","Pre-Execution","Execution")</f>
        <v>Execution</v>
      </c>
      <c r="I40" s="13">
        <v>45940</v>
      </c>
      <c r="J40" s="28"/>
      <c r="K40" s="28"/>
      <c r="L40" s="28"/>
      <c r="M40" s="10">
        <v>45979</v>
      </c>
      <c r="N40" s="10">
        <f>WORKDAY(I40,N39)</f>
        <v>45979</v>
      </c>
      <c r="O40" s="56">
        <f>M40</f>
        <v>45979</v>
      </c>
      <c r="P40" s="10">
        <v>45979</v>
      </c>
      <c r="Q40" s="10">
        <f>IF(O40="",WORKDAY(N40,Q39),WORKDAY(O40,Q39))</f>
        <v>45979</v>
      </c>
      <c r="R40" s="56">
        <f>P40</f>
        <v>45979</v>
      </c>
      <c r="S40" s="28"/>
      <c r="T40" s="28"/>
      <c r="U40" s="28"/>
      <c r="V40" s="10">
        <v>46021</v>
      </c>
      <c r="W40" s="10">
        <f>IF(R40="",WORKDAY(Q40,W39),WORKDAY(R40,W39))</f>
        <v>46021</v>
      </c>
      <c r="X40" s="56">
        <f>V40</f>
        <v>46021</v>
      </c>
      <c r="Y40" s="10">
        <v>46077</v>
      </c>
      <c r="Z40" s="10">
        <f>IF(R40="",WORKDAY(Q40,Z39),WORKDAY(R40,Z39))</f>
        <v>46077</v>
      </c>
      <c r="AA40" s="56">
        <f>Y40</f>
        <v>46077</v>
      </c>
      <c r="AB40" s="10">
        <v>45940</v>
      </c>
      <c r="AC40" s="10">
        <f>WORKDAY(I40,AC39)</f>
        <v>45940</v>
      </c>
      <c r="AD40" s="56">
        <f>AB40</f>
        <v>45940</v>
      </c>
      <c r="AE40" s="10">
        <v>46045</v>
      </c>
      <c r="AF40" s="10">
        <f>IF(AD40="",WORKDAY(AC40,AF39),WORKDAY(AD40,AF39))</f>
        <v>46045</v>
      </c>
      <c r="AG40" s="56">
        <f>AE40</f>
        <v>46045</v>
      </c>
      <c r="AH40" s="10">
        <v>46084</v>
      </c>
      <c r="AI40" s="10">
        <f>WORKDAY(IF(AA40="",IF(Z40&gt;AF40,Z40,AF40),IF(AA40&gt;AG40,AA40,AG40)),AI39)</f>
        <v>46084</v>
      </c>
      <c r="AJ40" s="56"/>
      <c r="AK40" s="10">
        <v>46112</v>
      </c>
      <c r="AL40" s="10">
        <f>IF(AJ40="",WORKDAY(AI40,AL39),WORKDAY(AJ40,AL39))</f>
        <v>46112</v>
      </c>
      <c r="AM40" s="10">
        <v>46112</v>
      </c>
      <c r="AN40" s="10">
        <v>46112</v>
      </c>
      <c r="AO40" s="10">
        <v>46112</v>
      </c>
      <c r="AP40" s="10">
        <v>46112</v>
      </c>
      <c r="AQ40" s="10">
        <v>46140</v>
      </c>
      <c r="AR40" s="10">
        <v>46140</v>
      </c>
      <c r="AS40" s="10"/>
      <c r="AT40" s="10">
        <v>46119</v>
      </c>
      <c r="AU40" s="10">
        <v>46119</v>
      </c>
      <c r="AV40" s="56"/>
      <c r="AW40" s="10">
        <v>46154</v>
      </c>
      <c r="AX40" s="10">
        <v>46154</v>
      </c>
      <c r="AY40" s="56"/>
      <c r="AZ40" s="10">
        <v>46154</v>
      </c>
      <c r="BA40" s="10">
        <v>46154</v>
      </c>
      <c r="BB40" s="56"/>
      <c r="BC40" s="10">
        <v>46161</v>
      </c>
      <c r="BD40" s="10">
        <v>46161</v>
      </c>
      <c r="BE40" s="10"/>
      <c r="BF40" s="10">
        <v>46168</v>
      </c>
      <c r="BG40" s="10">
        <v>46168</v>
      </c>
      <c r="BH40" s="56"/>
      <c r="BI40" s="10">
        <v>46175</v>
      </c>
      <c r="BJ40" s="10">
        <v>46175</v>
      </c>
      <c r="BK40" s="56"/>
      <c r="BL40" s="28"/>
      <c r="BM40" s="28"/>
      <c r="BN40" s="28"/>
      <c r="BO40" s="28"/>
      <c r="BP40" s="28"/>
      <c r="BQ40" s="28"/>
      <c r="BR40" s="28"/>
      <c r="BS40" s="28"/>
      <c r="BT40" s="28"/>
      <c r="BU40" s="28"/>
      <c r="BV40" s="28"/>
      <c r="BW40" s="28"/>
      <c r="BX40" s="46"/>
      <c r="BY40" s="28"/>
      <c r="BZ40" s="28"/>
      <c r="CA40" s="28"/>
      <c r="CB40" s="28"/>
      <c r="CC40" s="28"/>
      <c r="CD40" s="28"/>
      <c r="CE40" s="28"/>
      <c r="CF40" s="28"/>
      <c r="CG40" s="28"/>
      <c r="CH40" s="28"/>
      <c r="CI40" s="28"/>
      <c r="CJ40" s="28"/>
      <c r="CK40" s="28"/>
      <c r="CL40" s="28"/>
      <c r="CM40" s="10">
        <v>46178</v>
      </c>
      <c r="CN40" s="10">
        <v>46178</v>
      </c>
      <c r="CO40" s="10">
        <f>CM40</f>
        <v>46178</v>
      </c>
      <c r="CP40" s="10">
        <v>46185</v>
      </c>
      <c r="CQ40" s="10">
        <f>IF(CO40="",WORKDAY(CN40,CQ39),WORKDAY(CO40,CQ39))</f>
        <v>46185</v>
      </c>
      <c r="CR40" s="10">
        <f>WORKDAY(CO40,CR39)</f>
        <v>46178</v>
      </c>
      <c r="CS40" s="77" t="s">
        <v>478</v>
      </c>
      <c r="CT40" s="10">
        <v>46346</v>
      </c>
      <c r="CU40" s="10">
        <f>IF(CR40="",WORKDAY(CQ40,CU39),WORKDAY(CR40,CU39))</f>
        <v>46346</v>
      </c>
      <c r="CV40" s="56">
        <f>CT40</f>
        <v>46346</v>
      </c>
      <c r="CW40" s="10">
        <v>46168</v>
      </c>
      <c r="CX40" s="10">
        <v>46168</v>
      </c>
      <c r="CY40" s="56"/>
      <c r="CZ40" s="10">
        <v>46168</v>
      </c>
      <c r="DA40" s="10">
        <v>46168</v>
      </c>
      <c r="DB40" s="56"/>
      <c r="DC40" s="45"/>
      <c r="DD40" s="45"/>
      <c r="DE40" s="45"/>
      <c r="DF40" s="10">
        <v>46374</v>
      </c>
      <c r="DG40" s="10">
        <f>IF($CV40="",IF($CU40&gt;$DA40,WORKDAY($CU40,DG39),WORKDAY($DA40,DG39)),IF($CV40&gt;$DB40,WORKDAY($CV40,DG39),WORKDAY($DB40,DG39)))</f>
        <v>46374</v>
      </c>
      <c r="DH40" s="56"/>
      <c r="DI40" s="46"/>
      <c r="DJ40" s="10">
        <v>46402</v>
      </c>
      <c r="DK40" s="10">
        <f>IF(DH40="",WORKDAY(DG40,DK39*$DI39),WORKDAY(DH40,DK39*$DI39))</f>
        <v>46402</v>
      </c>
      <c r="DL40" s="56"/>
      <c r="DM40" s="46"/>
      <c r="DN40" s="46"/>
      <c r="DO40" s="46"/>
      <c r="DP40" s="46"/>
      <c r="DQ40" s="46"/>
      <c r="DR40" s="46"/>
      <c r="DS40" s="46"/>
      <c r="DT40" s="46"/>
      <c r="DU40" s="46"/>
      <c r="DV40" s="46"/>
      <c r="DW40" s="46"/>
      <c r="DX40" s="46"/>
      <c r="DY40" s="46"/>
      <c r="DZ40" s="46"/>
      <c r="EA40" s="46"/>
      <c r="EB40" s="46"/>
      <c r="EC40" s="46"/>
      <c r="ED40" s="46"/>
      <c r="EE40" s="10">
        <v>46402</v>
      </c>
      <c r="EF40" s="10">
        <f>IF(DL40="",WORKDAY(DK40,EF39),WORKDAY(DL40,EF39))</f>
        <v>46402</v>
      </c>
      <c r="EG40" s="56"/>
      <c r="EH40" s="10">
        <f>IF(DN40="",WORKDAY(DM40,EH39),WORKDAY(DN40,EH39))</f>
        <v>41</v>
      </c>
      <c r="EI40" s="10">
        <f>IF(DO40="",WORKDAY(DN40,EI39),WORKDAY(DO40,EI39))</f>
        <v>41</v>
      </c>
      <c r="EJ40" s="56"/>
      <c r="EK40" s="27"/>
      <c r="EL40" s="27"/>
      <c r="EM40" s="27"/>
      <c r="EN40" s="27"/>
      <c r="EO40" s="28"/>
      <c r="EP40" s="28"/>
      <c r="EQ40" s="28"/>
      <c r="ER40" s="28"/>
      <c r="ES40" s="28"/>
      <c r="ET40" s="28"/>
      <c r="EU40" s="28"/>
      <c r="EV40" s="28"/>
      <c r="EW40" s="28"/>
      <c r="EX40" s="28"/>
      <c r="EY40" s="28"/>
      <c r="EZ40" s="10">
        <v>46409</v>
      </c>
      <c r="FA40" s="10">
        <f>IF(EG40="",WORKDAY(EF40,FA39),WORKDAY(EG40,FA39))</f>
        <v>46409</v>
      </c>
      <c r="FB40" s="56"/>
      <c r="FC40" s="28"/>
      <c r="FD40" s="28"/>
      <c r="FE40" s="28"/>
      <c r="FF40" s="28"/>
      <c r="FG40" s="28"/>
      <c r="FH40" s="28"/>
      <c r="FI40" s="10">
        <v>46430</v>
      </c>
      <c r="FJ40" s="10">
        <f>IF(FB40="",WORKDAY(FA40,FJ39),WORKDAY(FB40,FJ39))</f>
        <v>46430</v>
      </c>
      <c r="FK40" s="56"/>
      <c r="FL40" s="10">
        <v>46430</v>
      </c>
      <c r="FM40" s="10">
        <f>IF(FK40="",WORKDAY(FJ40,FM39),WORKDAY(FK40,FM39))</f>
        <v>46430</v>
      </c>
      <c r="FN40" s="56"/>
      <c r="FO40" s="10">
        <v>46486</v>
      </c>
      <c r="FP40" s="10">
        <f>WORKDAY(FM40,FP39)</f>
        <v>46486</v>
      </c>
      <c r="FQ40" s="56"/>
      <c r="FR40" s="77" t="str">
        <f>IF(NETWORKDAYS(FJ40,FO40)&gt;=30,"On-Track",IF(AND(NETWORKDAYS(FJ40,FO40)&lt;30,FJ40&lt;=FO40),"At Risk","Missed TCD"))</f>
        <v>On-Track</v>
      </c>
      <c r="FS40" s="110" t="s">
        <v>479</v>
      </c>
      <c r="FT40" s="57">
        <f>NETWORKDAYS(CP40,FI40)</f>
        <v>176</v>
      </c>
      <c r="FU40" s="57">
        <f>NETWORKDAYS(CQ40,FJ40)</f>
        <v>176</v>
      </c>
      <c r="FV40" s="57">
        <f>IF(BH40="",NETWORKDAYS(BG40,FJ40),IF(FK40="",NETWORKDAYS(BH40,FJ40),NETWORKDAYS(BH40,FK40)))</f>
        <v>189</v>
      </c>
      <c r="FW40" s="58" t="s">
        <v>467</v>
      </c>
    </row>
    <row r="41" spans="1:179" hidden="1" outlineLevel="1" x14ac:dyDescent="0.35">
      <c r="A41" s="23" t="s">
        <v>4</v>
      </c>
      <c r="B41" s="23">
        <v>107618</v>
      </c>
      <c r="C41" s="24" t="s">
        <v>494</v>
      </c>
      <c r="D41" s="95"/>
      <c r="E41" s="24"/>
      <c r="F41" s="25" t="s">
        <v>463</v>
      </c>
      <c r="G41" s="26"/>
      <c r="H41" s="26"/>
      <c r="I41" s="27"/>
      <c r="J41" s="27"/>
      <c r="K41" s="27"/>
      <c r="L41" s="27"/>
      <c r="M41" s="4">
        <v>27</v>
      </c>
      <c r="N41" s="4">
        <v>27</v>
      </c>
      <c r="O41" s="27"/>
      <c r="P41" s="4">
        <v>0</v>
      </c>
      <c r="Q41" s="4">
        <v>0</v>
      </c>
      <c r="R41" s="27"/>
      <c r="S41" s="27"/>
      <c r="T41" s="27"/>
      <c r="U41" s="27"/>
      <c r="V41" s="4">
        <v>30</v>
      </c>
      <c r="W41" s="4">
        <v>30</v>
      </c>
      <c r="X41" s="27"/>
      <c r="Y41" s="4">
        <v>70</v>
      </c>
      <c r="Z41" s="4">
        <v>70</v>
      </c>
      <c r="AA41" s="27"/>
      <c r="AB41" s="4">
        <v>0</v>
      </c>
      <c r="AC41" s="4">
        <v>0</v>
      </c>
      <c r="AD41" s="27"/>
      <c r="AE41" s="4">
        <v>75</v>
      </c>
      <c r="AF41" s="4">
        <v>75</v>
      </c>
      <c r="AG41" s="27"/>
      <c r="AH41" s="4">
        <v>5</v>
      </c>
      <c r="AI41" s="4">
        <v>5</v>
      </c>
      <c r="AJ41" s="27"/>
      <c r="AK41" s="4">
        <v>20</v>
      </c>
      <c r="AL41" s="4">
        <v>20</v>
      </c>
      <c r="AM41" s="27"/>
      <c r="AN41" s="4">
        <v>0</v>
      </c>
      <c r="AO41" s="4">
        <v>0</v>
      </c>
      <c r="AP41" s="27"/>
      <c r="AQ41" s="4">
        <v>20</v>
      </c>
      <c r="AR41" s="4">
        <v>20</v>
      </c>
      <c r="AS41" s="27"/>
      <c r="AT41" s="4">
        <v>5</v>
      </c>
      <c r="AU41" s="4">
        <v>5</v>
      </c>
      <c r="AV41" s="27"/>
      <c r="AW41" s="4">
        <v>10</v>
      </c>
      <c r="AX41" s="4">
        <v>10</v>
      </c>
      <c r="AY41" s="27"/>
      <c r="AZ41" s="4">
        <v>30</v>
      </c>
      <c r="BA41" s="4">
        <v>30</v>
      </c>
      <c r="BB41" s="27"/>
      <c r="BC41" s="4">
        <v>5</v>
      </c>
      <c r="BD41" s="4">
        <v>5</v>
      </c>
      <c r="BE41" s="27"/>
      <c r="BF41" s="4">
        <v>5</v>
      </c>
      <c r="BG41" s="4">
        <v>5</v>
      </c>
      <c r="BH41" s="27"/>
      <c r="BI41" s="4">
        <v>5</v>
      </c>
      <c r="BJ41" s="4">
        <v>5</v>
      </c>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4">
        <v>3</v>
      </c>
      <c r="CN41" s="4">
        <v>3</v>
      </c>
      <c r="CO41" s="27"/>
      <c r="CP41" s="4">
        <v>5</v>
      </c>
      <c r="CQ41" s="4">
        <v>5</v>
      </c>
      <c r="CR41" s="27"/>
      <c r="CS41" s="27"/>
      <c r="CT41" s="5">
        <v>120</v>
      </c>
      <c r="CU41" s="5">
        <v>120</v>
      </c>
      <c r="CV41" s="27"/>
      <c r="CW41" s="5">
        <v>10</v>
      </c>
      <c r="CX41" s="5">
        <v>10</v>
      </c>
      <c r="CY41" s="27"/>
      <c r="CZ41" s="5">
        <v>0</v>
      </c>
      <c r="DA41" s="5">
        <v>0</v>
      </c>
      <c r="DB41" s="27"/>
      <c r="DC41" s="31"/>
      <c r="DD41" s="31"/>
      <c r="DE41" s="31"/>
      <c r="DF41" s="4">
        <v>20</v>
      </c>
      <c r="DG41" s="4">
        <v>20</v>
      </c>
      <c r="DH41" s="27"/>
      <c r="DI41" s="89">
        <v>1</v>
      </c>
      <c r="DJ41" s="4">
        <v>20</v>
      </c>
      <c r="DK41" s="4">
        <v>20</v>
      </c>
      <c r="DL41" s="27"/>
      <c r="DM41" s="27"/>
      <c r="DN41" s="27"/>
      <c r="DO41" s="27"/>
      <c r="DP41" s="27"/>
      <c r="DQ41" s="27"/>
      <c r="DR41" s="27"/>
      <c r="DS41" s="27"/>
      <c r="DT41" s="27"/>
      <c r="DU41" s="27"/>
      <c r="DV41" s="27"/>
      <c r="DW41" s="27"/>
      <c r="DX41" s="27"/>
      <c r="DY41" s="27"/>
      <c r="DZ41" s="27"/>
      <c r="EA41" s="27"/>
      <c r="EB41" s="27"/>
      <c r="EC41" s="27"/>
      <c r="ED41" s="27"/>
      <c r="EE41" s="4">
        <v>0</v>
      </c>
      <c r="EF41" s="4">
        <v>0</v>
      </c>
      <c r="EG41" s="27"/>
      <c r="EH41" s="4">
        <v>30</v>
      </c>
      <c r="EI41" s="4">
        <v>30</v>
      </c>
      <c r="EJ41" s="27"/>
      <c r="EK41" s="27"/>
      <c r="EL41" s="27"/>
      <c r="EM41" s="27"/>
      <c r="EN41" s="27"/>
      <c r="EO41" s="27"/>
      <c r="EP41" s="27"/>
      <c r="EQ41" s="27"/>
      <c r="ER41" s="27"/>
      <c r="ES41" s="27"/>
      <c r="ET41" s="27"/>
      <c r="EU41" s="27"/>
      <c r="EV41" s="27"/>
      <c r="EW41" s="27"/>
      <c r="EX41" s="27"/>
      <c r="EY41" s="27"/>
      <c r="EZ41" s="4">
        <v>5</v>
      </c>
      <c r="FA41" s="4">
        <v>5</v>
      </c>
      <c r="FB41" s="27"/>
      <c r="FC41" s="27"/>
      <c r="FD41" s="27"/>
      <c r="FE41" s="27"/>
      <c r="FF41" s="27"/>
      <c r="FG41" s="27"/>
      <c r="FH41" s="27"/>
      <c r="FI41" s="4">
        <v>15</v>
      </c>
      <c r="FJ41" s="4">
        <v>15</v>
      </c>
      <c r="FK41" s="27"/>
      <c r="FL41" s="4">
        <v>0</v>
      </c>
      <c r="FM41" s="4">
        <v>0</v>
      </c>
      <c r="FN41" s="27"/>
      <c r="FO41" s="4">
        <v>40</v>
      </c>
      <c r="FP41" s="4">
        <v>40</v>
      </c>
      <c r="FQ41" s="27"/>
      <c r="FR41" s="27"/>
      <c r="FS41" s="109"/>
      <c r="FT41" s="54">
        <f>NETWORKDAYS($I42,FO42)</f>
        <v>391</v>
      </c>
      <c r="FU41" s="54">
        <f>NETWORKDAYS($I42,FP42)</f>
        <v>391</v>
      </c>
      <c r="FV41" s="54">
        <f>IF(FQ42="",NETWORKDAYS($I42,FP42),NETWORKDAYS($I42,FQ42))</f>
        <v>391</v>
      </c>
      <c r="FW41" s="55" t="s">
        <v>464</v>
      </c>
    </row>
    <row r="42" spans="1:179" collapsed="1" x14ac:dyDescent="0.35">
      <c r="A42" s="23" t="s">
        <v>4</v>
      </c>
      <c r="B42" s="23">
        <v>107618</v>
      </c>
      <c r="C42" s="24" t="s">
        <v>494</v>
      </c>
      <c r="D42" s="65"/>
      <c r="E42" s="23" t="str">
        <f>IF(D42="","Unknown",IF(D42&lt;=FM42+90,"Red",IF(AND(D42&gt;FM42+90,D42&lt;=FM42+180),"Yellow",IF(AND(D42&gt;FM42+180,D42&lt;=FM42+690),"Green","Covered"))))</f>
        <v>Unknown</v>
      </c>
      <c r="F42" s="25" t="s">
        <v>466</v>
      </c>
      <c r="G42" s="26"/>
      <c r="H42" s="26" t="str">
        <f>IF(CR42="","Pre-Execution","Execution")</f>
        <v>Execution</v>
      </c>
      <c r="I42" s="13">
        <v>45940</v>
      </c>
      <c r="J42" s="28"/>
      <c r="K42" s="28"/>
      <c r="L42" s="28"/>
      <c r="M42" s="10">
        <v>45979</v>
      </c>
      <c r="N42" s="10">
        <f>WORKDAY(I42,N41)</f>
        <v>45979</v>
      </c>
      <c r="O42" s="56">
        <f>M42</f>
        <v>45979</v>
      </c>
      <c r="P42" s="10">
        <v>45979</v>
      </c>
      <c r="Q42" s="10">
        <f>IF(O42="",WORKDAY(N42,Q41),WORKDAY(O42,Q41))</f>
        <v>45979</v>
      </c>
      <c r="R42" s="56">
        <f>P42</f>
        <v>45979</v>
      </c>
      <c r="S42" s="28"/>
      <c r="T42" s="28"/>
      <c r="U42" s="28"/>
      <c r="V42" s="10">
        <v>46021</v>
      </c>
      <c r="W42" s="10">
        <f>IF(R42="",WORKDAY(Q42,W41),WORKDAY(R42,W41))</f>
        <v>46021</v>
      </c>
      <c r="X42" s="56">
        <f>V42</f>
        <v>46021</v>
      </c>
      <c r="Y42" s="10">
        <v>46077</v>
      </c>
      <c r="Z42" s="10">
        <f>IF(R42="",WORKDAY(Q42,Z41),WORKDAY(R42,Z41))</f>
        <v>46077</v>
      </c>
      <c r="AA42" s="56">
        <f>Y42</f>
        <v>46077</v>
      </c>
      <c r="AB42" s="10">
        <v>45940</v>
      </c>
      <c r="AC42" s="10">
        <f>WORKDAY(I42,AC41)</f>
        <v>45940</v>
      </c>
      <c r="AD42" s="56">
        <f>AB42</f>
        <v>45940</v>
      </c>
      <c r="AE42" s="10">
        <v>46045</v>
      </c>
      <c r="AF42" s="10">
        <f>IF(AD42="",WORKDAY(AC42,AF41),WORKDAY(AD42,AF41))</f>
        <v>46045</v>
      </c>
      <c r="AG42" s="56">
        <f>AE42</f>
        <v>46045</v>
      </c>
      <c r="AH42" s="10">
        <v>46084</v>
      </c>
      <c r="AI42" s="10">
        <f>WORKDAY(IF(AA42="",IF(Z42&gt;AF42,Z42,AF42),IF(AA42&gt;AG42,AA42,AG42)),AI41)</f>
        <v>46084</v>
      </c>
      <c r="AJ42" s="56"/>
      <c r="AK42" s="10">
        <v>46112</v>
      </c>
      <c r="AL42" s="10">
        <f>IF(AJ42="",WORKDAY(AI42,AL41),WORKDAY(AJ42,AL41))</f>
        <v>46112</v>
      </c>
      <c r="AM42" s="10">
        <v>46112</v>
      </c>
      <c r="AN42" s="10">
        <v>46112</v>
      </c>
      <c r="AO42" s="10">
        <v>46112</v>
      </c>
      <c r="AP42" s="10">
        <v>46112</v>
      </c>
      <c r="AQ42" s="10">
        <v>46140</v>
      </c>
      <c r="AR42" s="10">
        <v>46140</v>
      </c>
      <c r="AS42" s="10"/>
      <c r="AT42" s="10">
        <v>46119</v>
      </c>
      <c r="AU42" s="10">
        <v>46119</v>
      </c>
      <c r="AV42" s="56"/>
      <c r="AW42" s="10">
        <v>46154</v>
      </c>
      <c r="AX42" s="10">
        <v>46154</v>
      </c>
      <c r="AY42" s="56"/>
      <c r="AZ42" s="10">
        <v>46154</v>
      </c>
      <c r="BA42" s="10">
        <v>46154</v>
      </c>
      <c r="BB42" s="56"/>
      <c r="BC42" s="10">
        <v>46161</v>
      </c>
      <c r="BD42" s="10">
        <v>46161</v>
      </c>
      <c r="BE42" s="10"/>
      <c r="BF42" s="10">
        <v>46168</v>
      </c>
      <c r="BG42" s="10">
        <v>46168</v>
      </c>
      <c r="BH42" s="56"/>
      <c r="BI42" s="10">
        <v>46175</v>
      </c>
      <c r="BJ42" s="10">
        <v>46175</v>
      </c>
      <c r="BK42" s="56"/>
      <c r="BL42" s="28"/>
      <c r="BM42" s="28"/>
      <c r="BN42" s="28"/>
      <c r="BO42" s="28"/>
      <c r="BP42" s="28"/>
      <c r="BQ42" s="28"/>
      <c r="BR42" s="28"/>
      <c r="BS42" s="28"/>
      <c r="BT42" s="28"/>
      <c r="BU42" s="28"/>
      <c r="BV42" s="28"/>
      <c r="BW42" s="28"/>
      <c r="BX42" s="46"/>
      <c r="BY42" s="28"/>
      <c r="BZ42" s="28"/>
      <c r="CA42" s="28"/>
      <c r="CB42" s="28"/>
      <c r="CC42" s="28"/>
      <c r="CD42" s="28"/>
      <c r="CE42" s="28"/>
      <c r="CF42" s="28"/>
      <c r="CG42" s="28"/>
      <c r="CH42" s="28"/>
      <c r="CI42" s="28"/>
      <c r="CJ42" s="28"/>
      <c r="CK42" s="28"/>
      <c r="CL42" s="28"/>
      <c r="CM42" s="10">
        <v>46178</v>
      </c>
      <c r="CN42" s="10">
        <v>46178</v>
      </c>
      <c r="CO42" s="10">
        <f>CM42</f>
        <v>46178</v>
      </c>
      <c r="CP42" s="10">
        <v>46185</v>
      </c>
      <c r="CQ42" s="10">
        <f>IF(CO42="",WORKDAY(CN42,CQ41),WORKDAY(CO42,CQ41))</f>
        <v>46185</v>
      </c>
      <c r="CR42" s="10">
        <f>WORKDAY(CO42,CR41)</f>
        <v>46178</v>
      </c>
      <c r="CS42" s="77" t="s">
        <v>478</v>
      </c>
      <c r="CT42" s="10">
        <v>46346</v>
      </c>
      <c r="CU42" s="10">
        <f>IF(CR42="",WORKDAY(CQ42,CU41),WORKDAY(CR42,CU41))</f>
        <v>46346</v>
      </c>
      <c r="CV42" s="56">
        <f>CT42</f>
        <v>46346</v>
      </c>
      <c r="CW42" s="10">
        <v>46168</v>
      </c>
      <c r="CX42" s="10">
        <v>46168</v>
      </c>
      <c r="CY42" s="56"/>
      <c r="CZ42" s="10">
        <v>46168</v>
      </c>
      <c r="DA42" s="10">
        <v>46168</v>
      </c>
      <c r="DB42" s="56"/>
      <c r="DC42" s="45"/>
      <c r="DD42" s="45"/>
      <c r="DE42" s="45"/>
      <c r="DF42" s="10">
        <v>46374</v>
      </c>
      <c r="DG42" s="10">
        <f>IF($CV42="",IF($CU42&gt;$DA42,WORKDAY($CU42,DG41),WORKDAY($DA42,DG41)),IF($CV42&gt;$DB42,WORKDAY($CV42,DG41),WORKDAY($DB42,DG41)))</f>
        <v>46374</v>
      </c>
      <c r="DH42" s="56"/>
      <c r="DI42" s="46"/>
      <c r="DJ42" s="10">
        <v>46402</v>
      </c>
      <c r="DK42" s="10">
        <f>IF(DH42="",WORKDAY(DG42,DK41*$DI41),WORKDAY(DH42,DK41*$DI41))</f>
        <v>46402</v>
      </c>
      <c r="DL42" s="56"/>
      <c r="DM42" s="46"/>
      <c r="DN42" s="46"/>
      <c r="DO42" s="46"/>
      <c r="DP42" s="46"/>
      <c r="DQ42" s="46"/>
      <c r="DR42" s="46"/>
      <c r="DS42" s="46"/>
      <c r="DT42" s="46"/>
      <c r="DU42" s="46"/>
      <c r="DV42" s="46"/>
      <c r="DW42" s="46"/>
      <c r="DX42" s="46"/>
      <c r="DY42" s="46"/>
      <c r="DZ42" s="46"/>
      <c r="EA42" s="46"/>
      <c r="EB42" s="46"/>
      <c r="EC42" s="46"/>
      <c r="ED42" s="46"/>
      <c r="EE42" s="10">
        <v>46402</v>
      </c>
      <c r="EF42" s="10">
        <f>IF(DL42="",WORKDAY(DK42,EF41),WORKDAY(DL42,EF41))</f>
        <v>46402</v>
      </c>
      <c r="EG42" s="56"/>
      <c r="EH42" s="10">
        <f>IF(DN42="",WORKDAY(DM42,EH41),WORKDAY(DN42,EH41))</f>
        <v>41</v>
      </c>
      <c r="EI42" s="10">
        <f>IF(DO42="",WORKDAY(DN42,EI41),WORKDAY(DO42,EI41))</f>
        <v>41</v>
      </c>
      <c r="EJ42" s="56"/>
      <c r="EK42" s="27"/>
      <c r="EL42" s="27"/>
      <c r="EM42" s="27"/>
      <c r="EN42" s="27"/>
      <c r="EO42" s="28"/>
      <c r="EP42" s="28"/>
      <c r="EQ42" s="28"/>
      <c r="ER42" s="28"/>
      <c r="ES42" s="28"/>
      <c r="ET42" s="28"/>
      <c r="EU42" s="28"/>
      <c r="EV42" s="28"/>
      <c r="EW42" s="28"/>
      <c r="EX42" s="28"/>
      <c r="EY42" s="28"/>
      <c r="EZ42" s="10">
        <v>46409</v>
      </c>
      <c r="FA42" s="10">
        <f>IF(EG42="",WORKDAY(EF42,FA41),WORKDAY(EG42,FA41))</f>
        <v>46409</v>
      </c>
      <c r="FB42" s="56"/>
      <c r="FC42" s="28"/>
      <c r="FD42" s="28"/>
      <c r="FE42" s="28"/>
      <c r="FF42" s="28"/>
      <c r="FG42" s="28"/>
      <c r="FH42" s="28"/>
      <c r="FI42" s="10">
        <v>46430</v>
      </c>
      <c r="FJ42" s="10">
        <f>IF(FB42="",WORKDAY(FA42,FJ41),WORKDAY(FB42,FJ41))</f>
        <v>46430</v>
      </c>
      <c r="FK42" s="56"/>
      <c r="FL42" s="10">
        <v>46430</v>
      </c>
      <c r="FM42" s="10">
        <f>IF(FK42="",WORKDAY(FJ42,FM41),WORKDAY(FK42,FM41))</f>
        <v>46430</v>
      </c>
      <c r="FN42" s="56"/>
      <c r="FO42" s="10">
        <v>46486</v>
      </c>
      <c r="FP42" s="10">
        <f>WORKDAY(FM42,FP41)</f>
        <v>46486</v>
      </c>
      <c r="FQ42" s="56"/>
      <c r="FR42" s="77" t="str">
        <f>IF(NETWORKDAYS(FJ42,FO42)&gt;=30,"On-Track",IF(AND(NETWORKDAYS(FJ42,FO42)&lt;30,FJ42&lt;=FO42),"At Risk","Missed TCD"))</f>
        <v>On-Track</v>
      </c>
      <c r="FS42" s="110" t="s">
        <v>479</v>
      </c>
      <c r="FT42" s="57">
        <f>NETWORKDAYS(CP42,FI42)</f>
        <v>176</v>
      </c>
      <c r="FU42" s="57">
        <f>NETWORKDAYS(CQ42,FJ42)</f>
        <v>176</v>
      </c>
      <c r="FV42" s="57">
        <f>IF(BH42="",NETWORKDAYS(BG42,FJ42),IF(FK42="",NETWORKDAYS(BH42,FJ42),NETWORKDAYS(BH42,FK42)))</f>
        <v>189</v>
      </c>
      <c r="FW42" s="58" t="s">
        <v>467</v>
      </c>
    </row>
    <row r="43" spans="1:179" hidden="1" outlineLevel="1" x14ac:dyDescent="0.35">
      <c r="A43" s="23" t="s">
        <v>4</v>
      </c>
      <c r="B43" s="23">
        <v>107619</v>
      </c>
      <c r="C43" s="24" t="s">
        <v>495</v>
      </c>
      <c r="D43" s="95"/>
      <c r="E43" s="24"/>
      <c r="F43" s="25" t="s">
        <v>463</v>
      </c>
      <c r="G43" s="26"/>
      <c r="H43" s="26"/>
      <c r="I43" s="27"/>
      <c r="J43" s="27"/>
      <c r="K43" s="27"/>
      <c r="L43" s="27"/>
      <c r="M43" s="4">
        <v>27</v>
      </c>
      <c r="N43" s="4">
        <v>27</v>
      </c>
      <c r="O43" s="27"/>
      <c r="P43" s="4">
        <v>0</v>
      </c>
      <c r="Q43" s="4">
        <v>0</v>
      </c>
      <c r="R43" s="27"/>
      <c r="S43" s="27"/>
      <c r="T43" s="27"/>
      <c r="U43" s="27"/>
      <c r="V43" s="4">
        <v>30</v>
      </c>
      <c r="W43" s="4">
        <v>30</v>
      </c>
      <c r="X43" s="27"/>
      <c r="Y43" s="4">
        <v>70</v>
      </c>
      <c r="Z43" s="4">
        <v>70</v>
      </c>
      <c r="AA43" s="27"/>
      <c r="AB43" s="4">
        <v>0</v>
      </c>
      <c r="AC43" s="4">
        <v>0</v>
      </c>
      <c r="AD43" s="27"/>
      <c r="AE43" s="4">
        <v>75</v>
      </c>
      <c r="AF43" s="4">
        <v>75</v>
      </c>
      <c r="AG43" s="27"/>
      <c r="AH43" s="4">
        <v>5</v>
      </c>
      <c r="AI43" s="4">
        <v>5</v>
      </c>
      <c r="AJ43" s="27"/>
      <c r="AK43" s="4">
        <v>20</v>
      </c>
      <c r="AL43" s="4">
        <v>20</v>
      </c>
      <c r="AM43" s="27"/>
      <c r="AN43" s="4">
        <v>0</v>
      </c>
      <c r="AO43" s="4">
        <v>0</v>
      </c>
      <c r="AP43" s="27"/>
      <c r="AQ43" s="4">
        <v>20</v>
      </c>
      <c r="AR43" s="4">
        <v>20</v>
      </c>
      <c r="AS43" s="27"/>
      <c r="AT43" s="4">
        <v>5</v>
      </c>
      <c r="AU43" s="4">
        <v>5</v>
      </c>
      <c r="AV43" s="27"/>
      <c r="AW43" s="4">
        <v>10</v>
      </c>
      <c r="AX43" s="4">
        <v>10</v>
      </c>
      <c r="AY43" s="27"/>
      <c r="AZ43" s="4">
        <v>30</v>
      </c>
      <c r="BA43" s="4">
        <v>30</v>
      </c>
      <c r="BB43" s="27"/>
      <c r="BC43" s="4">
        <v>5</v>
      </c>
      <c r="BD43" s="4">
        <v>5</v>
      </c>
      <c r="BE43" s="27"/>
      <c r="BF43" s="4">
        <v>5</v>
      </c>
      <c r="BG43" s="4">
        <v>5</v>
      </c>
      <c r="BH43" s="27"/>
      <c r="BI43" s="4">
        <v>5</v>
      </c>
      <c r="BJ43" s="4">
        <v>5</v>
      </c>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4">
        <v>3</v>
      </c>
      <c r="CN43" s="4">
        <v>3</v>
      </c>
      <c r="CO43" s="27"/>
      <c r="CP43" s="4">
        <v>5</v>
      </c>
      <c r="CQ43" s="4">
        <v>5</v>
      </c>
      <c r="CR43" s="27"/>
      <c r="CS43" s="27"/>
      <c r="CT43" s="5">
        <v>120</v>
      </c>
      <c r="CU43" s="5">
        <v>120</v>
      </c>
      <c r="CV43" s="27"/>
      <c r="CW43" s="5">
        <v>10</v>
      </c>
      <c r="CX43" s="5">
        <v>10</v>
      </c>
      <c r="CY43" s="27"/>
      <c r="CZ43" s="5">
        <v>0</v>
      </c>
      <c r="DA43" s="5">
        <v>0</v>
      </c>
      <c r="DB43" s="27"/>
      <c r="DC43" s="31"/>
      <c r="DD43" s="31"/>
      <c r="DE43" s="31"/>
      <c r="DF43" s="4">
        <v>20</v>
      </c>
      <c r="DG43" s="4">
        <v>20</v>
      </c>
      <c r="DH43" s="27"/>
      <c r="DI43" s="89">
        <v>1</v>
      </c>
      <c r="DJ43" s="4">
        <v>20</v>
      </c>
      <c r="DK43" s="4">
        <v>20</v>
      </c>
      <c r="DL43" s="27"/>
      <c r="DM43" s="27"/>
      <c r="DN43" s="27"/>
      <c r="DO43" s="27"/>
      <c r="DP43" s="27"/>
      <c r="DQ43" s="27"/>
      <c r="DR43" s="27"/>
      <c r="DS43" s="27"/>
      <c r="DT43" s="27"/>
      <c r="DU43" s="27"/>
      <c r="DV43" s="27"/>
      <c r="DW43" s="27"/>
      <c r="DX43" s="27"/>
      <c r="DY43" s="27"/>
      <c r="DZ43" s="27"/>
      <c r="EA43" s="27"/>
      <c r="EB43" s="27"/>
      <c r="EC43" s="27"/>
      <c r="ED43" s="27"/>
      <c r="EE43" s="4">
        <v>0</v>
      </c>
      <c r="EF43" s="4">
        <v>0</v>
      </c>
      <c r="EG43" s="27"/>
      <c r="EH43" s="4">
        <v>30</v>
      </c>
      <c r="EI43" s="4">
        <v>30</v>
      </c>
      <c r="EJ43" s="27"/>
      <c r="EK43" s="27"/>
      <c r="EL43" s="27"/>
      <c r="EM43" s="27"/>
      <c r="EN43" s="27"/>
      <c r="EO43" s="27"/>
      <c r="EP43" s="27"/>
      <c r="EQ43" s="27"/>
      <c r="ER43" s="27"/>
      <c r="ES43" s="27"/>
      <c r="ET43" s="27"/>
      <c r="EU43" s="27"/>
      <c r="EV43" s="27"/>
      <c r="EW43" s="27"/>
      <c r="EX43" s="27"/>
      <c r="EY43" s="27"/>
      <c r="EZ43" s="4">
        <v>5</v>
      </c>
      <c r="FA43" s="4">
        <v>5</v>
      </c>
      <c r="FB43" s="27"/>
      <c r="FC43" s="27"/>
      <c r="FD43" s="27"/>
      <c r="FE43" s="27"/>
      <c r="FF43" s="27"/>
      <c r="FG43" s="27"/>
      <c r="FH43" s="27"/>
      <c r="FI43" s="4">
        <v>15</v>
      </c>
      <c r="FJ43" s="4">
        <v>15</v>
      </c>
      <c r="FK43" s="27"/>
      <c r="FL43" s="4">
        <v>0</v>
      </c>
      <c r="FM43" s="4">
        <v>0</v>
      </c>
      <c r="FN43" s="27"/>
      <c r="FO43" s="4">
        <v>40</v>
      </c>
      <c r="FP43" s="4">
        <v>40</v>
      </c>
      <c r="FQ43" s="27"/>
      <c r="FR43" s="27"/>
      <c r="FS43" s="109"/>
      <c r="FT43" s="54">
        <f>NETWORKDAYS($I44,FO44)</f>
        <v>391</v>
      </c>
      <c r="FU43" s="54">
        <f>NETWORKDAYS($I44,FP44)</f>
        <v>391</v>
      </c>
      <c r="FV43" s="54">
        <f>IF(FQ44="",NETWORKDAYS($I44,FP44),NETWORKDAYS($I44,FQ44))</f>
        <v>391</v>
      </c>
      <c r="FW43" s="55" t="s">
        <v>464</v>
      </c>
    </row>
    <row r="44" spans="1:179" collapsed="1" x14ac:dyDescent="0.35">
      <c r="A44" s="23" t="s">
        <v>4</v>
      </c>
      <c r="B44" s="23">
        <v>107619</v>
      </c>
      <c r="C44" s="24" t="s">
        <v>495</v>
      </c>
      <c r="D44" s="65"/>
      <c r="E44" s="23" t="str">
        <f>IF(D44="","Unknown",IF(D44&lt;=FM44+90,"Red",IF(AND(D44&gt;FM44+90,D44&lt;=FM44+180),"Yellow",IF(AND(D44&gt;FM44+180,D44&lt;=FM44+690),"Green","Covered"))))</f>
        <v>Unknown</v>
      </c>
      <c r="F44" s="25" t="s">
        <v>466</v>
      </c>
      <c r="G44" s="26"/>
      <c r="H44" s="26" t="str">
        <f>IF(CR44="","Pre-Execution","Execution")</f>
        <v>Execution</v>
      </c>
      <c r="I44" s="13">
        <v>45940</v>
      </c>
      <c r="J44" s="28"/>
      <c r="K44" s="28"/>
      <c r="L44" s="28"/>
      <c r="M44" s="10">
        <v>45979</v>
      </c>
      <c r="N44" s="10">
        <f>WORKDAY(I44,N43)</f>
        <v>45979</v>
      </c>
      <c r="O44" s="56">
        <f>M44</f>
        <v>45979</v>
      </c>
      <c r="P44" s="10">
        <v>45979</v>
      </c>
      <c r="Q44" s="10">
        <f>IF(O44="",WORKDAY(N44,Q43),WORKDAY(O44,Q43))</f>
        <v>45979</v>
      </c>
      <c r="R44" s="56">
        <f>P44</f>
        <v>45979</v>
      </c>
      <c r="S44" s="28"/>
      <c r="T44" s="28"/>
      <c r="U44" s="28"/>
      <c r="V44" s="10">
        <v>46021</v>
      </c>
      <c r="W44" s="10">
        <f>IF(R44="",WORKDAY(Q44,W43),WORKDAY(R44,W43))</f>
        <v>46021</v>
      </c>
      <c r="X44" s="56">
        <f>V44</f>
        <v>46021</v>
      </c>
      <c r="Y44" s="10">
        <v>46077</v>
      </c>
      <c r="Z44" s="10">
        <f>IF(R44="",WORKDAY(Q44,Z43),WORKDAY(R44,Z43))</f>
        <v>46077</v>
      </c>
      <c r="AA44" s="56">
        <f>Y44</f>
        <v>46077</v>
      </c>
      <c r="AB44" s="10">
        <v>45940</v>
      </c>
      <c r="AC44" s="10">
        <f>WORKDAY(I44,AC43)</f>
        <v>45940</v>
      </c>
      <c r="AD44" s="56">
        <f>AB44</f>
        <v>45940</v>
      </c>
      <c r="AE44" s="10">
        <v>46045</v>
      </c>
      <c r="AF44" s="10">
        <f>IF(AD44="",WORKDAY(AC44,AF43),WORKDAY(AD44,AF43))</f>
        <v>46045</v>
      </c>
      <c r="AG44" s="56">
        <f>AE44</f>
        <v>46045</v>
      </c>
      <c r="AH44" s="10">
        <v>46084</v>
      </c>
      <c r="AI44" s="10">
        <f>WORKDAY(IF(AA44="",IF(Z44&gt;AF44,Z44,AF44),IF(AA44&gt;AG44,AA44,AG44)),AI43)</f>
        <v>46084</v>
      </c>
      <c r="AJ44" s="56"/>
      <c r="AK44" s="10">
        <v>46112</v>
      </c>
      <c r="AL44" s="10">
        <f>IF(AJ44="",WORKDAY(AI44,AL43),WORKDAY(AJ44,AL43))</f>
        <v>46112</v>
      </c>
      <c r="AM44" s="10">
        <v>46112</v>
      </c>
      <c r="AN44" s="10">
        <v>46112</v>
      </c>
      <c r="AO44" s="10">
        <v>46112</v>
      </c>
      <c r="AP44" s="10">
        <v>46112</v>
      </c>
      <c r="AQ44" s="10">
        <v>46140</v>
      </c>
      <c r="AR44" s="10">
        <v>46140</v>
      </c>
      <c r="AS44" s="10"/>
      <c r="AT44" s="10">
        <v>46119</v>
      </c>
      <c r="AU44" s="10">
        <v>46119</v>
      </c>
      <c r="AV44" s="56"/>
      <c r="AW44" s="10">
        <v>46154</v>
      </c>
      <c r="AX44" s="10">
        <v>46154</v>
      </c>
      <c r="AY44" s="56"/>
      <c r="AZ44" s="10">
        <v>46154</v>
      </c>
      <c r="BA44" s="10">
        <v>46154</v>
      </c>
      <c r="BB44" s="56"/>
      <c r="BC44" s="10">
        <v>46161</v>
      </c>
      <c r="BD44" s="10">
        <v>46161</v>
      </c>
      <c r="BE44" s="10"/>
      <c r="BF44" s="10">
        <v>46168</v>
      </c>
      <c r="BG44" s="10">
        <v>46168</v>
      </c>
      <c r="BH44" s="56"/>
      <c r="BI44" s="10">
        <v>46175</v>
      </c>
      <c r="BJ44" s="10">
        <v>46175</v>
      </c>
      <c r="BK44" s="56"/>
      <c r="BL44" s="28"/>
      <c r="BM44" s="28"/>
      <c r="BN44" s="28"/>
      <c r="BO44" s="28"/>
      <c r="BP44" s="28"/>
      <c r="BQ44" s="28"/>
      <c r="BR44" s="28"/>
      <c r="BS44" s="28"/>
      <c r="BT44" s="28"/>
      <c r="BU44" s="28"/>
      <c r="BV44" s="28"/>
      <c r="BW44" s="28"/>
      <c r="BX44" s="46"/>
      <c r="BY44" s="28"/>
      <c r="BZ44" s="28"/>
      <c r="CA44" s="28"/>
      <c r="CB44" s="28"/>
      <c r="CC44" s="28"/>
      <c r="CD44" s="28"/>
      <c r="CE44" s="28"/>
      <c r="CF44" s="28"/>
      <c r="CG44" s="28"/>
      <c r="CH44" s="28"/>
      <c r="CI44" s="28"/>
      <c r="CJ44" s="28"/>
      <c r="CK44" s="28"/>
      <c r="CL44" s="28"/>
      <c r="CM44" s="10">
        <v>46178</v>
      </c>
      <c r="CN44" s="10">
        <v>46178</v>
      </c>
      <c r="CO44" s="10">
        <f>CM44</f>
        <v>46178</v>
      </c>
      <c r="CP44" s="10">
        <v>46185</v>
      </c>
      <c r="CQ44" s="10">
        <f>IF(CO44="",WORKDAY(CN44,CQ43),WORKDAY(CO44,CQ43))</f>
        <v>46185</v>
      </c>
      <c r="CR44" s="10">
        <f>WORKDAY(CO44,CR43)</f>
        <v>46178</v>
      </c>
      <c r="CS44" s="77" t="s">
        <v>478</v>
      </c>
      <c r="CT44" s="10">
        <v>46346</v>
      </c>
      <c r="CU44" s="10">
        <f>IF(CR44="",WORKDAY(CQ44,CU43),WORKDAY(CR44,CU43))</f>
        <v>46346</v>
      </c>
      <c r="CV44" s="56">
        <f>CT44</f>
        <v>46346</v>
      </c>
      <c r="CW44" s="10">
        <v>46168</v>
      </c>
      <c r="CX44" s="10">
        <v>46168</v>
      </c>
      <c r="CY44" s="56"/>
      <c r="CZ44" s="10">
        <v>46168</v>
      </c>
      <c r="DA44" s="10">
        <v>46168</v>
      </c>
      <c r="DB44" s="56"/>
      <c r="DC44" s="45"/>
      <c r="DD44" s="45"/>
      <c r="DE44" s="45"/>
      <c r="DF44" s="10">
        <v>46374</v>
      </c>
      <c r="DG44" s="10">
        <f>IF($CV44="",IF($CU44&gt;$DA44,WORKDAY($CU44,DG43),WORKDAY($DA44,DG43)),IF($CV44&gt;$DB44,WORKDAY($CV44,DG43),WORKDAY($DB44,DG43)))</f>
        <v>46374</v>
      </c>
      <c r="DH44" s="56"/>
      <c r="DI44" s="46"/>
      <c r="DJ44" s="10">
        <v>46402</v>
      </c>
      <c r="DK44" s="10">
        <f>IF(DH44="",WORKDAY(DG44,DK43*$DI43),WORKDAY(DH44,DK43*$DI43))</f>
        <v>46402</v>
      </c>
      <c r="DL44" s="56"/>
      <c r="DM44" s="46"/>
      <c r="DN44" s="46"/>
      <c r="DO44" s="46"/>
      <c r="DP44" s="46"/>
      <c r="DQ44" s="46"/>
      <c r="DR44" s="46"/>
      <c r="DS44" s="46"/>
      <c r="DT44" s="46"/>
      <c r="DU44" s="46"/>
      <c r="DV44" s="46"/>
      <c r="DW44" s="46"/>
      <c r="DX44" s="46"/>
      <c r="DY44" s="46"/>
      <c r="DZ44" s="46"/>
      <c r="EA44" s="46"/>
      <c r="EB44" s="46"/>
      <c r="EC44" s="46"/>
      <c r="ED44" s="46"/>
      <c r="EE44" s="10">
        <v>46402</v>
      </c>
      <c r="EF44" s="10">
        <f>IF(DL44="",WORKDAY(DK44,EF43),WORKDAY(DL44,EF43))</f>
        <v>46402</v>
      </c>
      <c r="EG44" s="56"/>
      <c r="EH44" s="10">
        <f>IF(DN44="",WORKDAY(DM44,EH43),WORKDAY(DN44,EH43))</f>
        <v>41</v>
      </c>
      <c r="EI44" s="10">
        <f>IF(DO44="",WORKDAY(DN44,EI43),WORKDAY(DO44,EI43))</f>
        <v>41</v>
      </c>
      <c r="EJ44" s="56"/>
      <c r="EK44" s="27"/>
      <c r="EL44" s="27"/>
      <c r="EM44" s="27"/>
      <c r="EN44" s="27"/>
      <c r="EO44" s="28"/>
      <c r="EP44" s="28"/>
      <c r="EQ44" s="28"/>
      <c r="ER44" s="28"/>
      <c r="ES44" s="28"/>
      <c r="ET44" s="28"/>
      <c r="EU44" s="28"/>
      <c r="EV44" s="28"/>
      <c r="EW44" s="28"/>
      <c r="EX44" s="28"/>
      <c r="EY44" s="28"/>
      <c r="EZ44" s="10">
        <v>46409</v>
      </c>
      <c r="FA44" s="10">
        <f>IF(EG44="",WORKDAY(EF44,FA43),WORKDAY(EG44,FA43))</f>
        <v>46409</v>
      </c>
      <c r="FB44" s="56"/>
      <c r="FC44" s="28"/>
      <c r="FD44" s="28"/>
      <c r="FE44" s="28"/>
      <c r="FF44" s="28"/>
      <c r="FG44" s="28"/>
      <c r="FH44" s="28"/>
      <c r="FI44" s="10">
        <v>46430</v>
      </c>
      <c r="FJ44" s="10">
        <f>IF(FB44="",WORKDAY(FA44,FJ43),WORKDAY(FB44,FJ43))</f>
        <v>46430</v>
      </c>
      <c r="FK44" s="56"/>
      <c r="FL44" s="10">
        <v>46430</v>
      </c>
      <c r="FM44" s="10">
        <f>IF(FK44="",WORKDAY(FJ44,FM43),WORKDAY(FK44,FM43))</f>
        <v>46430</v>
      </c>
      <c r="FN44" s="56"/>
      <c r="FO44" s="10">
        <v>46486</v>
      </c>
      <c r="FP44" s="10">
        <f>WORKDAY(FM44,FP43)</f>
        <v>46486</v>
      </c>
      <c r="FQ44" s="56"/>
      <c r="FR44" s="77" t="str">
        <f>IF(NETWORKDAYS(FJ44,FO44)&gt;=30,"On-Track",IF(AND(NETWORKDAYS(FJ44,FO44)&lt;30,FJ44&lt;=FO44),"At Risk","Missed TCD"))</f>
        <v>On-Track</v>
      </c>
      <c r="FS44" s="110" t="s">
        <v>479</v>
      </c>
      <c r="FT44" s="57">
        <f>NETWORKDAYS(CP44,FI44)</f>
        <v>176</v>
      </c>
      <c r="FU44" s="57">
        <f>NETWORKDAYS(CQ44,FJ44)</f>
        <v>176</v>
      </c>
      <c r="FV44" s="57">
        <f>IF(BH44="",NETWORKDAYS(BG44,FJ44),IF(FK44="",NETWORKDAYS(BH44,FJ44),NETWORKDAYS(BH44,FK44)))</f>
        <v>189</v>
      </c>
      <c r="FW44" s="58" t="s">
        <v>467</v>
      </c>
    </row>
    <row r="45" spans="1:179" hidden="1" outlineLevel="1" x14ac:dyDescent="0.35">
      <c r="A45" s="23" t="s">
        <v>4</v>
      </c>
      <c r="B45" s="23">
        <v>107620</v>
      </c>
      <c r="C45" s="24" t="s">
        <v>496</v>
      </c>
      <c r="D45" s="95"/>
      <c r="E45" s="24"/>
      <c r="F45" s="25" t="s">
        <v>463</v>
      </c>
      <c r="G45" s="26"/>
      <c r="H45" s="26"/>
      <c r="I45" s="27"/>
      <c r="J45" s="27"/>
      <c r="K45" s="27"/>
      <c r="L45" s="27"/>
      <c r="M45" s="4">
        <v>27</v>
      </c>
      <c r="N45" s="4">
        <v>27</v>
      </c>
      <c r="O45" s="27"/>
      <c r="P45" s="4">
        <v>0</v>
      </c>
      <c r="Q45" s="4">
        <v>0</v>
      </c>
      <c r="R45" s="27"/>
      <c r="S45" s="27"/>
      <c r="T45" s="27"/>
      <c r="U45" s="27"/>
      <c r="V45" s="4">
        <v>30</v>
      </c>
      <c r="W45" s="4">
        <v>30</v>
      </c>
      <c r="X45" s="27"/>
      <c r="Y45" s="4">
        <v>70</v>
      </c>
      <c r="Z45" s="4">
        <v>70</v>
      </c>
      <c r="AA45" s="27"/>
      <c r="AB45" s="4">
        <v>0</v>
      </c>
      <c r="AC45" s="4">
        <v>0</v>
      </c>
      <c r="AD45" s="27"/>
      <c r="AE45" s="4">
        <v>75</v>
      </c>
      <c r="AF45" s="4">
        <v>75</v>
      </c>
      <c r="AG45" s="27"/>
      <c r="AH45" s="4">
        <v>5</v>
      </c>
      <c r="AI45" s="4">
        <v>5</v>
      </c>
      <c r="AJ45" s="27"/>
      <c r="AK45" s="4">
        <v>20</v>
      </c>
      <c r="AL45" s="4">
        <v>20</v>
      </c>
      <c r="AM45" s="27"/>
      <c r="AN45" s="4">
        <v>0</v>
      </c>
      <c r="AO45" s="4">
        <v>0</v>
      </c>
      <c r="AP45" s="27"/>
      <c r="AQ45" s="4">
        <v>20</v>
      </c>
      <c r="AR45" s="4">
        <v>20</v>
      </c>
      <c r="AS45" s="27"/>
      <c r="AT45" s="4">
        <v>5</v>
      </c>
      <c r="AU45" s="4">
        <v>5</v>
      </c>
      <c r="AV45" s="27"/>
      <c r="AW45" s="4">
        <v>10</v>
      </c>
      <c r="AX45" s="4">
        <v>10</v>
      </c>
      <c r="AY45" s="27"/>
      <c r="AZ45" s="4">
        <v>30</v>
      </c>
      <c r="BA45" s="4">
        <v>30</v>
      </c>
      <c r="BB45" s="27"/>
      <c r="BC45" s="4">
        <v>5</v>
      </c>
      <c r="BD45" s="4">
        <v>5</v>
      </c>
      <c r="BE45" s="27"/>
      <c r="BF45" s="4">
        <v>5</v>
      </c>
      <c r="BG45" s="4">
        <v>5</v>
      </c>
      <c r="BH45" s="27"/>
      <c r="BI45" s="4">
        <v>5</v>
      </c>
      <c r="BJ45" s="4">
        <v>5</v>
      </c>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4">
        <v>3</v>
      </c>
      <c r="CN45" s="4">
        <v>3</v>
      </c>
      <c r="CO45" s="27"/>
      <c r="CP45" s="4">
        <v>5</v>
      </c>
      <c r="CQ45" s="4">
        <v>5</v>
      </c>
      <c r="CR45" s="27"/>
      <c r="CS45" s="27"/>
      <c r="CT45" s="5">
        <v>120</v>
      </c>
      <c r="CU45" s="5">
        <v>120</v>
      </c>
      <c r="CV45" s="27"/>
      <c r="CW45" s="5">
        <v>10</v>
      </c>
      <c r="CX45" s="5">
        <v>10</v>
      </c>
      <c r="CY45" s="27"/>
      <c r="CZ45" s="5">
        <v>0</v>
      </c>
      <c r="DA45" s="5">
        <v>0</v>
      </c>
      <c r="DB45" s="27"/>
      <c r="DC45" s="31"/>
      <c r="DD45" s="31"/>
      <c r="DE45" s="31"/>
      <c r="DF45" s="4">
        <v>20</v>
      </c>
      <c r="DG45" s="4">
        <v>20</v>
      </c>
      <c r="DH45" s="27"/>
      <c r="DI45" s="89">
        <v>1</v>
      </c>
      <c r="DJ45" s="4">
        <v>20</v>
      </c>
      <c r="DK45" s="4">
        <v>20</v>
      </c>
      <c r="DL45" s="27"/>
      <c r="DM45" s="27"/>
      <c r="DN45" s="27"/>
      <c r="DO45" s="27"/>
      <c r="DP45" s="27"/>
      <c r="DQ45" s="27"/>
      <c r="DR45" s="27"/>
      <c r="DS45" s="27"/>
      <c r="DT45" s="27"/>
      <c r="DU45" s="27"/>
      <c r="DV45" s="27"/>
      <c r="DW45" s="27"/>
      <c r="DX45" s="27"/>
      <c r="DY45" s="27"/>
      <c r="DZ45" s="27"/>
      <c r="EA45" s="27"/>
      <c r="EB45" s="27"/>
      <c r="EC45" s="27"/>
      <c r="ED45" s="27"/>
      <c r="EE45" s="4">
        <v>0</v>
      </c>
      <c r="EF45" s="4">
        <v>0</v>
      </c>
      <c r="EG45" s="27"/>
      <c r="EH45" s="4">
        <v>30</v>
      </c>
      <c r="EI45" s="4">
        <v>30</v>
      </c>
      <c r="EJ45" s="27"/>
      <c r="EK45" s="27"/>
      <c r="EL45" s="27"/>
      <c r="EM45" s="27"/>
      <c r="EN45" s="27"/>
      <c r="EO45" s="27"/>
      <c r="EP45" s="27"/>
      <c r="EQ45" s="27"/>
      <c r="ER45" s="27"/>
      <c r="ES45" s="27"/>
      <c r="ET45" s="27"/>
      <c r="EU45" s="27"/>
      <c r="EV45" s="27"/>
      <c r="EW45" s="27"/>
      <c r="EX45" s="27"/>
      <c r="EY45" s="27"/>
      <c r="EZ45" s="4">
        <v>5</v>
      </c>
      <c r="FA45" s="4">
        <v>5</v>
      </c>
      <c r="FB45" s="27"/>
      <c r="FC45" s="27"/>
      <c r="FD45" s="27"/>
      <c r="FE45" s="27"/>
      <c r="FF45" s="27"/>
      <c r="FG45" s="27"/>
      <c r="FH45" s="27"/>
      <c r="FI45" s="4">
        <v>15</v>
      </c>
      <c r="FJ45" s="4">
        <v>15</v>
      </c>
      <c r="FK45" s="27"/>
      <c r="FL45" s="4">
        <v>0</v>
      </c>
      <c r="FM45" s="4">
        <v>0</v>
      </c>
      <c r="FN45" s="27"/>
      <c r="FO45" s="4">
        <v>40</v>
      </c>
      <c r="FP45" s="4">
        <v>40</v>
      </c>
      <c r="FQ45" s="27"/>
      <c r="FR45" s="27"/>
      <c r="FS45" s="109"/>
      <c r="FT45" s="54">
        <f>NETWORKDAYS($I46,FO46)</f>
        <v>391</v>
      </c>
      <c r="FU45" s="54">
        <f>NETWORKDAYS($I46,FP46)</f>
        <v>391</v>
      </c>
      <c r="FV45" s="54">
        <f>IF(FQ46="",NETWORKDAYS($I46,FP46),NETWORKDAYS($I46,FQ46))</f>
        <v>391</v>
      </c>
      <c r="FW45" s="55" t="s">
        <v>464</v>
      </c>
    </row>
    <row r="46" spans="1:179" collapsed="1" x14ac:dyDescent="0.35">
      <c r="A46" s="23" t="s">
        <v>4</v>
      </c>
      <c r="B46" s="23">
        <v>107620</v>
      </c>
      <c r="C46" s="24" t="s">
        <v>496</v>
      </c>
      <c r="D46" s="65"/>
      <c r="E46" s="23" t="str">
        <f>IF(D46="","Unknown",IF(D46&lt;=FM46+90,"Red",IF(AND(D46&gt;FM46+90,D46&lt;=FM46+180),"Yellow",IF(AND(D46&gt;FM46+180,D46&lt;=FM46+690),"Green","Covered"))))</f>
        <v>Unknown</v>
      </c>
      <c r="F46" s="25" t="s">
        <v>466</v>
      </c>
      <c r="G46" s="26"/>
      <c r="H46" s="26" t="str">
        <f>IF(CR46="","Pre-Execution","Execution")</f>
        <v>Execution</v>
      </c>
      <c r="I46" s="13">
        <v>45940</v>
      </c>
      <c r="J46" s="28"/>
      <c r="K46" s="28"/>
      <c r="L46" s="28"/>
      <c r="M46" s="10">
        <v>45979</v>
      </c>
      <c r="N46" s="10">
        <f>WORKDAY(I46,N45)</f>
        <v>45979</v>
      </c>
      <c r="O46" s="56">
        <f>M46</f>
        <v>45979</v>
      </c>
      <c r="P46" s="10">
        <v>45979</v>
      </c>
      <c r="Q46" s="10">
        <f>IF(O46="",WORKDAY(N46,Q45),WORKDAY(O46,Q45))</f>
        <v>45979</v>
      </c>
      <c r="R46" s="56">
        <f>P46</f>
        <v>45979</v>
      </c>
      <c r="S46" s="28"/>
      <c r="T46" s="28"/>
      <c r="U46" s="28"/>
      <c r="V46" s="10">
        <v>46021</v>
      </c>
      <c r="W46" s="10">
        <f>IF(R46="",WORKDAY(Q46,W45),WORKDAY(R46,W45))</f>
        <v>46021</v>
      </c>
      <c r="X46" s="56">
        <f>V46</f>
        <v>46021</v>
      </c>
      <c r="Y46" s="10">
        <v>46077</v>
      </c>
      <c r="Z46" s="10">
        <f>IF(R46="",WORKDAY(Q46,Z45),WORKDAY(R46,Z45))</f>
        <v>46077</v>
      </c>
      <c r="AA46" s="56">
        <f>Y46</f>
        <v>46077</v>
      </c>
      <c r="AB46" s="10">
        <v>45940</v>
      </c>
      <c r="AC46" s="10">
        <f>WORKDAY(I46,AC45)</f>
        <v>45940</v>
      </c>
      <c r="AD46" s="56">
        <f>AB46</f>
        <v>45940</v>
      </c>
      <c r="AE46" s="10">
        <v>46045</v>
      </c>
      <c r="AF46" s="10">
        <f>IF(AD46="",WORKDAY(AC46,AF45),WORKDAY(AD46,AF45))</f>
        <v>46045</v>
      </c>
      <c r="AG46" s="56">
        <f>AE46</f>
        <v>46045</v>
      </c>
      <c r="AH46" s="10">
        <v>46084</v>
      </c>
      <c r="AI46" s="10">
        <f>WORKDAY(IF(AA46="",IF(Z46&gt;AF46,Z46,AF46),IF(AA46&gt;AG46,AA46,AG46)),AI45)</f>
        <v>46084</v>
      </c>
      <c r="AJ46" s="56"/>
      <c r="AK46" s="10">
        <v>46112</v>
      </c>
      <c r="AL46" s="10">
        <f>IF(AJ46="",WORKDAY(AI46,AL45),WORKDAY(AJ46,AL45))</f>
        <v>46112</v>
      </c>
      <c r="AM46" s="10">
        <v>46112</v>
      </c>
      <c r="AN46" s="10">
        <v>46112</v>
      </c>
      <c r="AO46" s="10">
        <v>46112</v>
      </c>
      <c r="AP46" s="10">
        <v>46112</v>
      </c>
      <c r="AQ46" s="10">
        <v>46140</v>
      </c>
      <c r="AR46" s="10">
        <v>46140</v>
      </c>
      <c r="AS46" s="10"/>
      <c r="AT46" s="10">
        <v>46119</v>
      </c>
      <c r="AU46" s="10">
        <v>46119</v>
      </c>
      <c r="AV46" s="56"/>
      <c r="AW46" s="10">
        <v>46154</v>
      </c>
      <c r="AX46" s="10">
        <v>46154</v>
      </c>
      <c r="AY46" s="56"/>
      <c r="AZ46" s="10">
        <v>46154</v>
      </c>
      <c r="BA46" s="10">
        <v>46154</v>
      </c>
      <c r="BB46" s="56"/>
      <c r="BC46" s="10">
        <v>46161</v>
      </c>
      <c r="BD46" s="10">
        <v>46161</v>
      </c>
      <c r="BE46" s="10"/>
      <c r="BF46" s="10">
        <v>46168</v>
      </c>
      <c r="BG46" s="10">
        <v>46168</v>
      </c>
      <c r="BH46" s="56"/>
      <c r="BI46" s="10">
        <v>46175</v>
      </c>
      <c r="BJ46" s="10">
        <v>46175</v>
      </c>
      <c r="BK46" s="56"/>
      <c r="BL46" s="28"/>
      <c r="BM46" s="28"/>
      <c r="BN46" s="28"/>
      <c r="BO46" s="28"/>
      <c r="BP46" s="28"/>
      <c r="BQ46" s="28"/>
      <c r="BR46" s="28"/>
      <c r="BS46" s="28"/>
      <c r="BT46" s="28"/>
      <c r="BU46" s="28"/>
      <c r="BV46" s="28"/>
      <c r="BW46" s="28"/>
      <c r="BX46" s="46"/>
      <c r="BY46" s="28"/>
      <c r="BZ46" s="28"/>
      <c r="CA46" s="28"/>
      <c r="CB46" s="28"/>
      <c r="CC46" s="28"/>
      <c r="CD46" s="28"/>
      <c r="CE46" s="28"/>
      <c r="CF46" s="28"/>
      <c r="CG46" s="28"/>
      <c r="CH46" s="28"/>
      <c r="CI46" s="28"/>
      <c r="CJ46" s="28"/>
      <c r="CK46" s="28"/>
      <c r="CL46" s="28"/>
      <c r="CM46" s="10">
        <v>46178</v>
      </c>
      <c r="CN46" s="10">
        <v>46178</v>
      </c>
      <c r="CO46" s="10">
        <f>CM46</f>
        <v>46178</v>
      </c>
      <c r="CP46" s="10">
        <v>46185</v>
      </c>
      <c r="CQ46" s="10">
        <f>IF(CO46="",WORKDAY(CN46,CQ45),WORKDAY(CO46,CQ45))</f>
        <v>46185</v>
      </c>
      <c r="CR46" s="10">
        <f>WORKDAY(CO46,CR45)</f>
        <v>46178</v>
      </c>
      <c r="CS46" s="77" t="s">
        <v>478</v>
      </c>
      <c r="CT46" s="10">
        <v>46346</v>
      </c>
      <c r="CU46" s="10">
        <f>IF(CR46="",WORKDAY(CQ46,CU45),WORKDAY(CR46,CU45))</f>
        <v>46346</v>
      </c>
      <c r="CV46" s="56">
        <f>CT46</f>
        <v>46346</v>
      </c>
      <c r="CW46" s="10">
        <v>46168</v>
      </c>
      <c r="CX46" s="10">
        <v>46168</v>
      </c>
      <c r="CY46" s="56"/>
      <c r="CZ46" s="10">
        <v>46168</v>
      </c>
      <c r="DA46" s="10">
        <v>46168</v>
      </c>
      <c r="DB46" s="56"/>
      <c r="DC46" s="45"/>
      <c r="DD46" s="45"/>
      <c r="DE46" s="45"/>
      <c r="DF46" s="10">
        <v>46374</v>
      </c>
      <c r="DG46" s="10">
        <f>IF($CV46="",IF($CU46&gt;$DA46,WORKDAY($CU46,DG45),WORKDAY($DA46,DG45)),IF($CV46&gt;$DB46,WORKDAY($CV46,DG45),WORKDAY($DB46,DG45)))</f>
        <v>46374</v>
      </c>
      <c r="DH46" s="56"/>
      <c r="DI46" s="46"/>
      <c r="DJ46" s="10">
        <v>46402</v>
      </c>
      <c r="DK46" s="10">
        <f>IF(DH46="",WORKDAY(DG46,DK45*$DI45),WORKDAY(DH46,DK45*$DI45))</f>
        <v>46402</v>
      </c>
      <c r="DL46" s="56"/>
      <c r="DM46" s="46"/>
      <c r="DN46" s="46"/>
      <c r="DO46" s="46"/>
      <c r="DP46" s="46"/>
      <c r="DQ46" s="46"/>
      <c r="DR46" s="46"/>
      <c r="DS46" s="46"/>
      <c r="DT46" s="46"/>
      <c r="DU46" s="46"/>
      <c r="DV46" s="46"/>
      <c r="DW46" s="46"/>
      <c r="DX46" s="46"/>
      <c r="DY46" s="46"/>
      <c r="DZ46" s="46"/>
      <c r="EA46" s="46"/>
      <c r="EB46" s="46"/>
      <c r="EC46" s="46"/>
      <c r="ED46" s="46"/>
      <c r="EE46" s="10">
        <v>46402</v>
      </c>
      <c r="EF46" s="10">
        <f>IF(DL46="",WORKDAY(DK46,EF45),WORKDAY(DL46,EF45))</f>
        <v>46402</v>
      </c>
      <c r="EG46" s="56"/>
      <c r="EH46" s="10">
        <f>IF(DN46="",WORKDAY(DM46,EH45),WORKDAY(DN46,EH45))</f>
        <v>41</v>
      </c>
      <c r="EI46" s="10">
        <f>IF(DO46="",WORKDAY(DN46,EI45),WORKDAY(DO46,EI45))</f>
        <v>41</v>
      </c>
      <c r="EJ46" s="56"/>
      <c r="EK46" s="27"/>
      <c r="EL46" s="27"/>
      <c r="EM46" s="27"/>
      <c r="EN46" s="27"/>
      <c r="EO46" s="28"/>
      <c r="EP46" s="28"/>
      <c r="EQ46" s="28"/>
      <c r="ER46" s="28"/>
      <c r="ES46" s="28"/>
      <c r="ET46" s="28"/>
      <c r="EU46" s="28"/>
      <c r="EV46" s="28"/>
      <c r="EW46" s="28"/>
      <c r="EX46" s="28"/>
      <c r="EY46" s="28"/>
      <c r="EZ46" s="10">
        <v>46409</v>
      </c>
      <c r="FA46" s="10">
        <f>IF(EG46="",WORKDAY(EF46,FA45),WORKDAY(EG46,FA45))</f>
        <v>46409</v>
      </c>
      <c r="FB46" s="56"/>
      <c r="FC46" s="28"/>
      <c r="FD46" s="28"/>
      <c r="FE46" s="28"/>
      <c r="FF46" s="28"/>
      <c r="FG46" s="28"/>
      <c r="FH46" s="28"/>
      <c r="FI46" s="10">
        <v>46430</v>
      </c>
      <c r="FJ46" s="10">
        <f>IF(FB46="",WORKDAY(FA46,FJ45),WORKDAY(FB46,FJ45))</f>
        <v>46430</v>
      </c>
      <c r="FK46" s="56"/>
      <c r="FL46" s="10">
        <v>46430</v>
      </c>
      <c r="FM46" s="10">
        <f>IF(FK46="",WORKDAY(FJ46,FM45),WORKDAY(FK46,FM45))</f>
        <v>46430</v>
      </c>
      <c r="FN46" s="56"/>
      <c r="FO46" s="10">
        <v>46486</v>
      </c>
      <c r="FP46" s="10">
        <f>WORKDAY(FM46,FP45)</f>
        <v>46486</v>
      </c>
      <c r="FQ46" s="56"/>
      <c r="FR46" s="77" t="str">
        <f>IF(NETWORKDAYS(FJ46,FO46)&gt;=30,"On-Track",IF(AND(NETWORKDAYS(FJ46,FO46)&lt;30,FJ46&lt;=FO46),"At Risk","Missed TCD"))</f>
        <v>On-Track</v>
      </c>
      <c r="FS46" s="110" t="s">
        <v>479</v>
      </c>
      <c r="FT46" s="57">
        <f>NETWORKDAYS(CP46,FI46)</f>
        <v>176</v>
      </c>
      <c r="FU46" s="57">
        <f>NETWORKDAYS(CQ46,FJ46)</f>
        <v>176</v>
      </c>
      <c r="FV46" s="57">
        <f>IF(BH46="",NETWORKDAYS(BG46,FJ46),IF(FK46="",NETWORKDAYS(BH46,FJ46),NETWORKDAYS(BH46,FK46)))</f>
        <v>189</v>
      </c>
      <c r="FW46" s="58" t="s">
        <v>467</v>
      </c>
    </row>
    <row r="47" spans="1:179" hidden="1" outlineLevel="1" x14ac:dyDescent="0.35">
      <c r="A47" s="23" t="s">
        <v>4</v>
      </c>
      <c r="B47" s="23">
        <v>107626</v>
      </c>
      <c r="C47" s="24" t="s">
        <v>497</v>
      </c>
      <c r="D47" s="95"/>
      <c r="E47" s="24"/>
      <c r="F47" s="25" t="s">
        <v>463</v>
      </c>
      <c r="G47" s="26"/>
      <c r="H47" s="26"/>
      <c r="I47" s="27"/>
      <c r="J47" s="27"/>
      <c r="K47" s="27"/>
      <c r="L47" s="27"/>
      <c r="M47" s="4">
        <v>27</v>
      </c>
      <c r="N47" s="4">
        <v>27</v>
      </c>
      <c r="O47" s="27"/>
      <c r="P47" s="4">
        <v>0</v>
      </c>
      <c r="Q47" s="4">
        <v>0</v>
      </c>
      <c r="R47" s="27"/>
      <c r="S47" s="27"/>
      <c r="T47" s="27"/>
      <c r="U47" s="27"/>
      <c r="V47" s="4">
        <v>30</v>
      </c>
      <c r="W47" s="4">
        <v>30</v>
      </c>
      <c r="X47" s="27"/>
      <c r="Y47" s="4">
        <v>70</v>
      </c>
      <c r="Z47" s="4">
        <v>70</v>
      </c>
      <c r="AA47" s="27"/>
      <c r="AB47" s="4">
        <v>0</v>
      </c>
      <c r="AC47" s="4">
        <v>0</v>
      </c>
      <c r="AD47" s="27"/>
      <c r="AE47" s="4">
        <v>75</v>
      </c>
      <c r="AF47" s="4">
        <v>75</v>
      </c>
      <c r="AG47" s="27"/>
      <c r="AH47" s="4">
        <v>5</v>
      </c>
      <c r="AI47" s="4">
        <v>5</v>
      </c>
      <c r="AJ47" s="27"/>
      <c r="AK47" s="4">
        <v>20</v>
      </c>
      <c r="AL47" s="4">
        <v>20</v>
      </c>
      <c r="AM47" s="27"/>
      <c r="AN47" s="4">
        <v>0</v>
      </c>
      <c r="AO47" s="4">
        <v>0</v>
      </c>
      <c r="AP47" s="27"/>
      <c r="AQ47" s="4">
        <v>20</v>
      </c>
      <c r="AR47" s="4">
        <v>20</v>
      </c>
      <c r="AS47" s="27"/>
      <c r="AT47" s="4">
        <v>5</v>
      </c>
      <c r="AU47" s="4">
        <v>5</v>
      </c>
      <c r="AV47" s="27"/>
      <c r="AW47" s="4">
        <v>10</v>
      </c>
      <c r="AX47" s="4">
        <v>10</v>
      </c>
      <c r="AY47" s="27"/>
      <c r="AZ47" s="4">
        <v>30</v>
      </c>
      <c r="BA47" s="4">
        <v>30</v>
      </c>
      <c r="BB47" s="27"/>
      <c r="BC47" s="4">
        <v>5</v>
      </c>
      <c r="BD47" s="4">
        <v>5</v>
      </c>
      <c r="BE47" s="27"/>
      <c r="BF47" s="4">
        <v>5</v>
      </c>
      <c r="BG47" s="4">
        <v>5</v>
      </c>
      <c r="BH47" s="27"/>
      <c r="BI47" s="4">
        <v>5</v>
      </c>
      <c r="BJ47" s="4">
        <v>5</v>
      </c>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4">
        <v>3</v>
      </c>
      <c r="CN47" s="4">
        <v>3</v>
      </c>
      <c r="CO47" s="27"/>
      <c r="CP47" s="4">
        <v>5</v>
      </c>
      <c r="CQ47" s="4">
        <v>5</v>
      </c>
      <c r="CR47" s="27"/>
      <c r="CS47" s="27"/>
      <c r="CT47" s="5">
        <v>120</v>
      </c>
      <c r="CU47" s="5">
        <v>120</v>
      </c>
      <c r="CV47" s="27"/>
      <c r="CW47" s="5">
        <v>10</v>
      </c>
      <c r="CX47" s="5">
        <v>10</v>
      </c>
      <c r="CY47" s="27"/>
      <c r="CZ47" s="5">
        <v>0</v>
      </c>
      <c r="DA47" s="5">
        <v>0</v>
      </c>
      <c r="DB47" s="27"/>
      <c r="DC47" s="31"/>
      <c r="DD47" s="31"/>
      <c r="DE47" s="31"/>
      <c r="DF47" s="4">
        <v>20</v>
      </c>
      <c r="DG47" s="4">
        <v>20</v>
      </c>
      <c r="DH47" s="27"/>
      <c r="DI47" s="89">
        <v>1</v>
      </c>
      <c r="DJ47" s="4">
        <v>20</v>
      </c>
      <c r="DK47" s="4">
        <v>20</v>
      </c>
      <c r="DL47" s="27"/>
      <c r="DM47" s="27"/>
      <c r="DN47" s="27"/>
      <c r="DO47" s="27"/>
      <c r="DP47" s="27"/>
      <c r="DQ47" s="27"/>
      <c r="DR47" s="27"/>
      <c r="DS47" s="27"/>
      <c r="DT47" s="27"/>
      <c r="DU47" s="27"/>
      <c r="DV47" s="27"/>
      <c r="DW47" s="27"/>
      <c r="DX47" s="27"/>
      <c r="DY47" s="27"/>
      <c r="DZ47" s="27"/>
      <c r="EA47" s="27"/>
      <c r="EB47" s="27"/>
      <c r="EC47" s="27"/>
      <c r="ED47" s="27"/>
      <c r="EE47" s="4">
        <v>0</v>
      </c>
      <c r="EF47" s="4">
        <v>0</v>
      </c>
      <c r="EG47" s="27"/>
      <c r="EH47" s="4">
        <v>30</v>
      </c>
      <c r="EI47" s="4">
        <v>30</v>
      </c>
      <c r="EJ47" s="27"/>
      <c r="EK47" s="27"/>
      <c r="EL47" s="27"/>
      <c r="EM47" s="27"/>
      <c r="EN47" s="27"/>
      <c r="EO47" s="27"/>
      <c r="EP47" s="27"/>
      <c r="EQ47" s="27"/>
      <c r="ER47" s="27"/>
      <c r="ES47" s="27"/>
      <c r="ET47" s="27"/>
      <c r="EU47" s="27"/>
      <c r="EV47" s="27"/>
      <c r="EW47" s="27"/>
      <c r="EX47" s="27"/>
      <c r="EY47" s="27"/>
      <c r="EZ47" s="4">
        <v>5</v>
      </c>
      <c r="FA47" s="4">
        <v>5</v>
      </c>
      <c r="FB47" s="27"/>
      <c r="FC47" s="27"/>
      <c r="FD47" s="27"/>
      <c r="FE47" s="27"/>
      <c r="FF47" s="27"/>
      <c r="FG47" s="27"/>
      <c r="FH47" s="27"/>
      <c r="FI47" s="4">
        <v>15</v>
      </c>
      <c r="FJ47" s="4">
        <v>15</v>
      </c>
      <c r="FK47" s="27"/>
      <c r="FL47" s="4">
        <v>0</v>
      </c>
      <c r="FM47" s="4">
        <v>0</v>
      </c>
      <c r="FN47" s="27"/>
      <c r="FO47" s="4">
        <v>40</v>
      </c>
      <c r="FP47" s="4">
        <v>40</v>
      </c>
      <c r="FQ47" s="27"/>
      <c r="FR47" s="27"/>
      <c r="FS47" s="109"/>
      <c r="FT47" s="54">
        <f>NETWORKDAYS($I48,FO48)</f>
        <v>391</v>
      </c>
      <c r="FU47" s="54">
        <f>NETWORKDAYS($I48,FP48)</f>
        <v>391</v>
      </c>
      <c r="FV47" s="54">
        <f>IF(FQ48="",NETWORKDAYS($I48,FP48),NETWORKDAYS($I48,FQ48))</f>
        <v>391</v>
      </c>
      <c r="FW47" s="55" t="s">
        <v>464</v>
      </c>
    </row>
    <row r="48" spans="1:179" collapsed="1" x14ac:dyDescent="0.35">
      <c r="A48" s="23" t="s">
        <v>4</v>
      </c>
      <c r="B48" s="23">
        <v>107626</v>
      </c>
      <c r="C48" s="24" t="s">
        <v>497</v>
      </c>
      <c r="D48" s="65"/>
      <c r="E48" s="23" t="str">
        <f>IF(D48="","Unknown",IF(D48&lt;=FM48+90,"Red",IF(AND(D48&gt;FM48+90,D48&lt;=FM48+180),"Yellow",IF(AND(D48&gt;FM48+180,D48&lt;=FM48+690),"Green","Covered"))))</f>
        <v>Unknown</v>
      </c>
      <c r="F48" s="25" t="s">
        <v>466</v>
      </c>
      <c r="G48" s="26"/>
      <c r="H48" s="26" t="str">
        <f>IF(CR48="","Pre-Execution","Execution")</f>
        <v>Execution</v>
      </c>
      <c r="I48" s="13">
        <v>45940</v>
      </c>
      <c r="J48" s="28"/>
      <c r="K48" s="28"/>
      <c r="L48" s="28"/>
      <c r="M48" s="10">
        <v>45979</v>
      </c>
      <c r="N48" s="10">
        <f>WORKDAY(I48,N47)</f>
        <v>45979</v>
      </c>
      <c r="O48" s="56">
        <f>M48</f>
        <v>45979</v>
      </c>
      <c r="P48" s="10">
        <v>45979</v>
      </c>
      <c r="Q48" s="10">
        <f>IF(O48="",WORKDAY(N48,Q47),WORKDAY(O48,Q47))</f>
        <v>45979</v>
      </c>
      <c r="R48" s="56">
        <f>P48</f>
        <v>45979</v>
      </c>
      <c r="S48" s="28"/>
      <c r="T48" s="28"/>
      <c r="U48" s="28"/>
      <c r="V48" s="10">
        <v>46021</v>
      </c>
      <c r="W48" s="10">
        <f>IF(R48="",WORKDAY(Q48,W47),WORKDAY(R48,W47))</f>
        <v>46021</v>
      </c>
      <c r="X48" s="56">
        <f>V48</f>
        <v>46021</v>
      </c>
      <c r="Y48" s="10">
        <v>46077</v>
      </c>
      <c r="Z48" s="10">
        <f>IF(R48="",WORKDAY(Q48,Z47),WORKDAY(R48,Z47))</f>
        <v>46077</v>
      </c>
      <c r="AA48" s="56">
        <f>Y48</f>
        <v>46077</v>
      </c>
      <c r="AB48" s="10">
        <v>45940</v>
      </c>
      <c r="AC48" s="10">
        <f>WORKDAY(I48,AC47)</f>
        <v>45940</v>
      </c>
      <c r="AD48" s="56">
        <f>AB48</f>
        <v>45940</v>
      </c>
      <c r="AE48" s="10">
        <v>46045</v>
      </c>
      <c r="AF48" s="10">
        <f>IF(AD48="",WORKDAY(AC48,AF47),WORKDAY(AD48,AF47))</f>
        <v>46045</v>
      </c>
      <c r="AG48" s="56">
        <f>AE48</f>
        <v>46045</v>
      </c>
      <c r="AH48" s="10">
        <v>46084</v>
      </c>
      <c r="AI48" s="10">
        <f>WORKDAY(IF(AA48="",IF(Z48&gt;AF48,Z48,AF48),IF(AA48&gt;AG48,AA48,AG48)),AI47)</f>
        <v>46084</v>
      </c>
      <c r="AJ48" s="56"/>
      <c r="AK48" s="10">
        <v>46112</v>
      </c>
      <c r="AL48" s="10">
        <f>IF(AJ48="",WORKDAY(AI48,AL47),WORKDAY(AJ48,AL47))</f>
        <v>46112</v>
      </c>
      <c r="AM48" s="10">
        <v>46112</v>
      </c>
      <c r="AN48" s="10">
        <v>46112</v>
      </c>
      <c r="AO48" s="10">
        <v>46112</v>
      </c>
      <c r="AP48" s="10">
        <v>46112</v>
      </c>
      <c r="AQ48" s="10">
        <v>46140</v>
      </c>
      <c r="AR48" s="10">
        <v>46140</v>
      </c>
      <c r="AS48" s="10"/>
      <c r="AT48" s="10">
        <v>46119</v>
      </c>
      <c r="AU48" s="10">
        <v>46119</v>
      </c>
      <c r="AV48" s="56"/>
      <c r="AW48" s="10">
        <v>46154</v>
      </c>
      <c r="AX48" s="10">
        <v>46154</v>
      </c>
      <c r="AY48" s="56"/>
      <c r="AZ48" s="10">
        <v>46154</v>
      </c>
      <c r="BA48" s="10">
        <v>46154</v>
      </c>
      <c r="BB48" s="56"/>
      <c r="BC48" s="10">
        <v>46161</v>
      </c>
      <c r="BD48" s="10">
        <v>46161</v>
      </c>
      <c r="BE48" s="10"/>
      <c r="BF48" s="10">
        <v>46168</v>
      </c>
      <c r="BG48" s="10">
        <v>46168</v>
      </c>
      <c r="BH48" s="56"/>
      <c r="BI48" s="10">
        <v>46175</v>
      </c>
      <c r="BJ48" s="10">
        <v>46175</v>
      </c>
      <c r="BK48" s="56"/>
      <c r="BL48" s="28"/>
      <c r="BM48" s="28"/>
      <c r="BN48" s="28"/>
      <c r="BO48" s="28"/>
      <c r="BP48" s="28"/>
      <c r="BQ48" s="28"/>
      <c r="BR48" s="28"/>
      <c r="BS48" s="28"/>
      <c r="BT48" s="28"/>
      <c r="BU48" s="28"/>
      <c r="BV48" s="28"/>
      <c r="BW48" s="28"/>
      <c r="BX48" s="46"/>
      <c r="BY48" s="28"/>
      <c r="BZ48" s="28"/>
      <c r="CA48" s="28"/>
      <c r="CB48" s="28"/>
      <c r="CC48" s="28"/>
      <c r="CD48" s="28"/>
      <c r="CE48" s="28"/>
      <c r="CF48" s="28"/>
      <c r="CG48" s="28"/>
      <c r="CH48" s="28"/>
      <c r="CI48" s="28"/>
      <c r="CJ48" s="28"/>
      <c r="CK48" s="28"/>
      <c r="CL48" s="28"/>
      <c r="CM48" s="10">
        <v>46178</v>
      </c>
      <c r="CN48" s="10">
        <v>46178</v>
      </c>
      <c r="CO48" s="10">
        <f>CM48</f>
        <v>46178</v>
      </c>
      <c r="CP48" s="10">
        <v>46185</v>
      </c>
      <c r="CQ48" s="10">
        <f>IF(CO48="",WORKDAY(CN48,CQ47),WORKDAY(CO48,CQ47))</f>
        <v>46185</v>
      </c>
      <c r="CR48" s="10">
        <f>WORKDAY(CO48,CR47)</f>
        <v>46178</v>
      </c>
      <c r="CS48" s="77" t="s">
        <v>478</v>
      </c>
      <c r="CT48" s="10">
        <v>46346</v>
      </c>
      <c r="CU48" s="10">
        <f>IF(CR48="",WORKDAY(CQ48,CU47),WORKDAY(CR48,CU47))</f>
        <v>46346</v>
      </c>
      <c r="CV48" s="56">
        <f>CT48</f>
        <v>46346</v>
      </c>
      <c r="CW48" s="10">
        <v>46168</v>
      </c>
      <c r="CX48" s="10">
        <v>46168</v>
      </c>
      <c r="CY48" s="56"/>
      <c r="CZ48" s="10">
        <v>46168</v>
      </c>
      <c r="DA48" s="10">
        <v>46168</v>
      </c>
      <c r="DB48" s="56"/>
      <c r="DC48" s="45"/>
      <c r="DD48" s="45"/>
      <c r="DE48" s="45"/>
      <c r="DF48" s="10">
        <v>46374</v>
      </c>
      <c r="DG48" s="10">
        <f>IF($CV48="",IF($CU48&gt;$DA48,WORKDAY($CU48,DG47),WORKDAY($DA48,DG47)),IF($CV48&gt;$DB48,WORKDAY($CV48,DG47),WORKDAY($DB48,DG47)))</f>
        <v>46374</v>
      </c>
      <c r="DH48" s="56"/>
      <c r="DI48" s="46"/>
      <c r="DJ48" s="10">
        <v>46402</v>
      </c>
      <c r="DK48" s="10">
        <f>IF(DH48="",WORKDAY(DG48,DK47*$DI47),WORKDAY(DH48,DK47*$DI47))</f>
        <v>46402</v>
      </c>
      <c r="DL48" s="56"/>
      <c r="DM48" s="46"/>
      <c r="DN48" s="46"/>
      <c r="DO48" s="46"/>
      <c r="DP48" s="46"/>
      <c r="DQ48" s="46"/>
      <c r="DR48" s="46"/>
      <c r="DS48" s="46"/>
      <c r="DT48" s="46"/>
      <c r="DU48" s="46"/>
      <c r="DV48" s="46"/>
      <c r="DW48" s="46"/>
      <c r="DX48" s="46"/>
      <c r="DY48" s="46"/>
      <c r="DZ48" s="46"/>
      <c r="EA48" s="46"/>
      <c r="EB48" s="46"/>
      <c r="EC48" s="46"/>
      <c r="ED48" s="46"/>
      <c r="EE48" s="10">
        <v>46402</v>
      </c>
      <c r="EF48" s="10">
        <f>IF(DL48="",WORKDAY(DK48,EF47),WORKDAY(DL48,EF47))</f>
        <v>46402</v>
      </c>
      <c r="EG48" s="56"/>
      <c r="EH48" s="10">
        <f>IF(DN48="",WORKDAY(DM48,EH47),WORKDAY(DN48,EH47))</f>
        <v>41</v>
      </c>
      <c r="EI48" s="10">
        <f>IF(DO48="",WORKDAY(DN48,EI47),WORKDAY(DO48,EI47))</f>
        <v>41</v>
      </c>
      <c r="EJ48" s="56"/>
      <c r="EK48" s="27"/>
      <c r="EL48" s="27"/>
      <c r="EM48" s="27"/>
      <c r="EN48" s="27"/>
      <c r="EO48" s="28"/>
      <c r="EP48" s="28"/>
      <c r="EQ48" s="28"/>
      <c r="ER48" s="28"/>
      <c r="ES48" s="28"/>
      <c r="ET48" s="28"/>
      <c r="EU48" s="28"/>
      <c r="EV48" s="28"/>
      <c r="EW48" s="28"/>
      <c r="EX48" s="28"/>
      <c r="EY48" s="28"/>
      <c r="EZ48" s="10">
        <v>46409</v>
      </c>
      <c r="FA48" s="10">
        <f>IF(EG48="",WORKDAY(EF48,FA47),WORKDAY(EG48,FA47))</f>
        <v>46409</v>
      </c>
      <c r="FB48" s="56"/>
      <c r="FC48" s="28"/>
      <c r="FD48" s="28"/>
      <c r="FE48" s="28"/>
      <c r="FF48" s="28"/>
      <c r="FG48" s="28"/>
      <c r="FH48" s="28"/>
      <c r="FI48" s="10">
        <v>46430</v>
      </c>
      <c r="FJ48" s="10">
        <f>IF(FB48="",WORKDAY(FA48,FJ47),WORKDAY(FB48,FJ47))</f>
        <v>46430</v>
      </c>
      <c r="FK48" s="56"/>
      <c r="FL48" s="10">
        <v>46430</v>
      </c>
      <c r="FM48" s="10">
        <f>IF(FK48="",WORKDAY(FJ48,FM47),WORKDAY(FK48,FM47))</f>
        <v>46430</v>
      </c>
      <c r="FN48" s="56"/>
      <c r="FO48" s="10">
        <v>46486</v>
      </c>
      <c r="FP48" s="10">
        <f>WORKDAY(FM48,FP47)</f>
        <v>46486</v>
      </c>
      <c r="FQ48" s="56"/>
      <c r="FR48" s="77" t="str">
        <f>IF(NETWORKDAYS(FJ48,FO48)&gt;=30,"On-Track",IF(AND(NETWORKDAYS(FJ48,FO48)&lt;30,FJ48&lt;=FO48),"At Risk","Missed TCD"))</f>
        <v>On-Track</v>
      </c>
      <c r="FS48" s="110" t="s">
        <v>479</v>
      </c>
      <c r="FT48" s="57">
        <f>NETWORKDAYS(CP48,FI48)</f>
        <v>176</v>
      </c>
      <c r="FU48" s="57">
        <f>NETWORKDAYS(CQ48,FJ48)</f>
        <v>176</v>
      </c>
      <c r="FV48" s="57">
        <f>IF(BH48="",NETWORKDAYS(BG48,FJ48),IF(FK48="",NETWORKDAYS(BH48,FJ48),NETWORKDAYS(BH48,FK48)))</f>
        <v>189</v>
      </c>
      <c r="FW48" s="58" t="s">
        <v>467</v>
      </c>
    </row>
    <row r="49" spans="1:179" hidden="1" outlineLevel="1" x14ac:dyDescent="0.35">
      <c r="A49" s="23" t="s">
        <v>4</v>
      </c>
      <c r="B49" s="23">
        <v>107627</v>
      </c>
      <c r="C49" s="24" t="s">
        <v>498</v>
      </c>
      <c r="D49" s="95"/>
      <c r="E49" s="24"/>
      <c r="F49" s="25" t="s">
        <v>463</v>
      </c>
      <c r="G49" s="26"/>
      <c r="H49" s="26"/>
      <c r="I49" s="27"/>
      <c r="J49" s="27"/>
      <c r="K49" s="27"/>
      <c r="L49" s="27"/>
      <c r="M49" s="4">
        <v>27</v>
      </c>
      <c r="N49" s="4">
        <v>27</v>
      </c>
      <c r="O49" s="27"/>
      <c r="P49" s="4">
        <v>0</v>
      </c>
      <c r="Q49" s="4">
        <v>0</v>
      </c>
      <c r="R49" s="27"/>
      <c r="S49" s="27"/>
      <c r="T49" s="27"/>
      <c r="U49" s="27"/>
      <c r="V49" s="4">
        <v>30</v>
      </c>
      <c r="W49" s="4">
        <v>30</v>
      </c>
      <c r="X49" s="27"/>
      <c r="Y49" s="4">
        <v>70</v>
      </c>
      <c r="Z49" s="4">
        <v>70</v>
      </c>
      <c r="AA49" s="27"/>
      <c r="AB49" s="4">
        <v>0</v>
      </c>
      <c r="AC49" s="4">
        <v>0</v>
      </c>
      <c r="AD49" s="27"/>
      <c r="AE49" s="4">
        <v>75</v>
      </c>
      <c r="AF49" s="4">
        <v>75</v>
      </c>
      <c r="AG49" s="27"/>
      <c r="AH49" s="4">
        <v>5</v>
      </c>
      <c r="AI49" s="4">
        <v>5</v>
      </c>
      <c r="AJ49" s="27"/>
      <c r="AK49" s="4">
        <v>20</v>
      </c>
      <c r="AL49" s="4">
        <v>20</v>
      </c>
      <c r="AM49" s="27"/>
      <c r="AN49" s="4">
        <v>0</v>
      </c>
      <c r="AO49" s="4">
        <v>0</v>
      </c>
      <c r="AP49" s="27"/>
      <c r="AQ49" s="4">
        <v>20</v>
      </c>
      <c r="AR49" s="4">
        <v>20</v>
      </c>
      <c r="AS49" s="27"/>
      <c r="AT49" s="4">
        <v>5</v>
      </c>
      <c r="AU49" s="4">
        <v>5</v>
      </c>
      <c r="AV49" s="27"/>
      <c r="AW49" s="4">
        <v>10</v>
      </c>
      <c r="AX49" s="4">
        <v>10</v>
      </c>
      <c r="AY49" s="27"/>
      <c r="AZ49" s="4">
        <v>30</v>
      </c>
      <c r="BA49" s="4">
        <v>30</v>
      </c>
      <c r="BB49" s="27"/>
      <c r="BC49" s="4">
        <v>5</v>
      </c>
      <c r="BD49" s="4">
        <v>5</v>
      </c>
      <c r="BE49" s="27"/>
      <c r="BF49" s="4">
        <v>5</v>
      </c>
      <c r="BG49" s="4">
        <v>5</v>
      </c>
      <c r="BH49" s="27"/>
      <c r="BI49" s="4">
        <v>5</v>
      </c>
      <c r="BJ49" s="4">
        <v>5</v>
      </c>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4">
        <v>3</v>
      </c>
      <c r="CN49" s="4">
        <v>3</v>
      </c>
      <c r="CO49" s="27"/>
      <c r="CP49" s="4">
        <v>5</v>
      </c>
      <c r="CQ49" s="4">
        <v>5</v>
      </c>
      <c r="CR49" s="27"/>
      <c r="CS49" s="27"/>
      <c r="CT49" s="5">
        <v>120</v>
      </c>
      <c r="CU49" s="5">
        <v>120</v>
      </c>
      <c r="CV49" s="27"/>
      <c r="CW49" s="5">
        <v>10</v>
      </c>
      <c r="CX49" s="5">
        <v>10</v>
      </c>
      <c r="CY49" s="27"/>
      <c r="CZ49" s="5">
        <v>0</v>
      </c>
      <c r="DA49" s="5">
        <v>0</v>
      </c>
      <c r="DB49" s="27"/>
      <c r="DC49" s="31"/>
      <c r="DD49" s="31"/>
      <c r="DE49" s="31"/>
      <c r="DF49" s="4">
        <v>20</v>
      </c>
      <c r="DG49" s="4">
        <v>20</v>
      </c>
      <c r="DH49" s="27"/>
      <c r="DI49" s="89">
        <v>1</v>
      </c>
      <c r="DJ49" s="4">
        <v>20</v>
      </c>
      <c r="DK49" s="4">
        <v>20</v>
      </c>
      <c r="DL49" s="27"/>
      <c r="DM49" s="27"/>
      <c r="DN49" s="27"/>
      <c r="DO49" s="27"/>
      <c r="DP49" s="27"/>
      <c r="DQ49" s="27"/>
      <c r="DR49" s="27"/>
      <c r="DS49" s="27"/>
      <c r="DT49" s="27"/>
      <c r="DU49" s="27"/>
      <c r="DV49" s="27"/>
      <c r="DW49" s="27"/>
      <c r="DX49" s="27"/>
      <c r="DY49" s="27"/>
      <c r="DZ49" s="27"/>
      <c r="EA49" s="27"/>
      <c r="EB49" s="27"/>
      <c r="EC49" s="27"/>
      <c r="ED49" s="27"/>
      <c r="EE49" s="4">
        <v>0</v>
      </c>
      <c r="EF49" s="4">
        <v>0</v>
      </c>
      <c r="EG49" s="27"/>
      <c r="EH49" s="4">
        <v>30</v>
      </c>
      <c r="EI49" s="4">
        <v>30</v>
      </c>
      <c r="EJ49" s="27"/>
      <c r="EK49" s="27"/>
      <c r="EL49" s="27"/>
      <c r="EM49" s="27"/>
      <c r="EN49" s="27"/>
      <c r="EO49" s="27"/>
      <c r="EP49" s="27"/>
      <c r="EQ49" s="27"/>
      <c r="ER49" s="27"/>
      <c r="ES49" s="27"/>
      <c r="ET49" s="27"/>
      <c r="EU49" s="27"/>
      <c r="EV49" s="27"/>
      <c r="EW49" s="27"/>
      <c r="EX49" s="27"/>
      <c r="EY49" s="27"/>
      <c r="EZ49" s="4">
        <v>5</v>
      </c>
      <c r="FA49" s="4">
        <v>5</v>
      </c>
      <c r="FB49" s="27"/>
      <c r="FC49" s="27"/>
      <c r="FD49" s="27"/>
      <c r="FE49" s="27"/>
      <c r="FF49" s="27"/>
      <c r="FG49" s="27"/>
      <c r="FH49" s="27"/>
      <c r="FI49" s="4">
        <v>15</v>
      </c>
      <c r="FJ49" s="4">
        <v>15</v>
      </c>
      <c r="FK49" s="27"/>
      <c r="FL49" s="4">
        <v>0</v>
      </c>
      <c r="FM49" s="4">
        <v>0</v>
      </c>
      <c r="FN49" s="27"/>
      <c r="FO49" s="4">
        <v>40</v>
      </c>
      <c r="FP49" s="4">
        <v>40</v>
      </c>
      <c r="FQ49" s="27"/>
      <c r="FR49" s="27"/>
      <c r="FS49" s="109"/>
      <c r="FT49" s="54">
        <f>NETWORKDAYS($I50,FO50)</f>
        <v>391</v>
      </c>
      <c r="FU49" s="54">
        <f>NETWORKDAYS($I50,FP50)</f>
        <v>391</v>
      </c>
      <c r="FV49" s="54">
        <f>IF(FQ50="",NETWORKDAYS($I50,FP50),NETWORKDAYS($I50,FQ50))</f>
        <v>391</v>
      </c>
      <c r="FW49" s="55" t="s">
        <v>464</v>
      </c>
    </row>
    <row r="50" spans="1:179" collapsed="1" x14ac:dyDescent="0.35">
      <c r="A50" s="23" t="s">
        <v>4</v>
      </c>
      <c r="B50" s="23">
        <v>107627</v>
      </c>
      <c r="C50" s="24" t="s">
        <v>498</v>
      </c>
      <c r="D50" s="65"/>
      <c r="E50" s="23" t="str">
        <f>IF(D50="","Unknown",IF(D50&lt;=FM50+90,"Red",IF(AND(D50&gt;FM50+90,D50&lt;=FM50+180),"Yellow",IF(AND(D50&gt;FM50+180,D50&lt;=FM50+690),"Green","Covered"))))</f>
        <v>Unknown</v>
      </c>
      <c r="F50" s="25" t="s">
        <v>466</v>
      </c>
      <c r="G50" s="26"/>
      <c r="H50" s="26" t="str">
        <f>IF(CR50="","Pre-Execution","Execution")</f>
        <v>Execution</v>
      </c>
      <c r="I50" s="13">
        <v>45940</v>
      </c>
      <c r="J50" s="28"/>
      <c r="K50" s="28"/>
      <c r="L50" s="28"/>
      <c r="M50" s="10">
        <v>45979</v>
      </c>
      <c r="N50" s="10">
        <f>WORKDAY(I50,N49)</f>
        <v>45979</v>
      </c>
      <c r="O50" s="56">
        <f>M50</f>
        <v>45979</v>
      </c>
      <c r="P50" s="10">
        <v>45979</v>
      </c>
      <c r="Q50" s="10">
        <f>IF(O50="",WORKDAY(N50,Q49),WORKDAY(O50,Q49))</f>
        <v>45979</v>
      </c>
      <c r="R50" s="56">
        <f>P50</f>
        <v>45979</v>
      </c>
      <c r="S50" s="28"/>
      <c r="T50" s="28"/>
      <c r="U50" s="28"/>
      <c r="V50" s="10">
        <v>46021</v>
      </c>
      <c r="W50" s="10">
        <f>IF(R50="",WORKDAY(Q50,W49),WORKDAY(R50,W49))</f>
        <v>46021</v>
      </c>
      <c r="X50" s="56">
        <f>V50</f>
        <v>46021</v>
      </c>
      <c r="Y50" s="10">
        <v>46077</v>
      </c>
      <c r="Z50" s="10">
        <f>IF(R50="",WORKDAY(Q50,Z49),WORKDAY(R50,Z49))</f>
        <v>46077</v>
      </c>
      <c r="AA50" s="56">
        <f>Y50</f>
        <v>46077</v>
      </c>
      <c r="AB50" s="10">
        <v>45940</v>
      </c>
      <c r="AC50" s="10">
        <f>WORKDAY(I50,AC49)</f>
        <v>45940</v>
      </c>
      <c r="AD50" s="56">
        <f>AB50</f>
        <v>45940</v>
      </c>
      <c r="AE50" s="10">
        <v>46045</v>
      </c>
      <c r="AF50" s="10">
        <f>IF(AD50="",WORKDAY(AC50,AF49),WORKDAY(AD50,AF49))</f>
        <v>46045</v>
      </c>
      <c r="AG50" s="56">
        <f>AE50</f>
        <v>46045</v>
      </c>
      <c r="AH50" s="10">
        <v>46084</v>
      </c>
      <c r="AI50" s="10">
        <f>WORKDAY(IF(AA50="",IF(Z50&gt;AF50,Z50,AF50),IF(AA50&gt;AG50,AA50,AG50)),AI49)</f>
        <v>46084</v>
      </c>
      <c r="AJ50" s="56"/>
      <c r="AK50" s="10">
        <v>46112</v>
      </c>
      <c r="AL50" s="10">
        <f>IF(AJ50="",WORKDAY(AI50,AL49),WORKDAY(AJ50,AL49))</f>
        <v>46112</v>
      </c>
      <c r="AM50" s="10">
        <v>46112</v>
      </c>
      <c r="AN50" s="10">
        <v>46112</v>
      </c>
      <c r="AO50" s="10">
        <v>46112</v>
      </c>
      <c r="AP50" s="10">
        <v>46112</v>
      </c>
      <c r="AQ50" s="10">
        <v>46140</v>
      </c>
      <c r="AR50" s="10">
        <v>46140</v>
      </c>
      <c r="AS50" s="10"/>
      <c r="AT50" s="10">
        <v>46119</v>
      </c>
      <c r="AU50" s="10">
        <v>46119</v>
      </c>
      <c r="AV50" s="56"/>
      <c r="AW50" s="10">
        <v>46154</v>
      </c>
      <c r="AX50" s="10">
        <v>46154</v>
      </c>
      <c r="AY50" s="56"/>
      <c r="AZ50" s="10">
        <v>46154</v>
      </c>
      <c r="BA50" s="10">
        <v>46154</v>
      </c>
      <c r="BB50" s="56"/>
      <c r="BC50" s="10">
        <v>46161</v>
      </c>
      <c r="BD50" s="10">
        <v>46161</v>
      </c>
      <c r="BE50" s="10"/>
      <c r="BF50" s="10">
        <v>46168</v>
      </c>
      <c r="BG50" s="10">
        <v>46168</v>
      </c>
      <c r="BH50" s="56"/>
      <c r="BI50" s="10">
        <v>46175</v>
      </c>
      <c r="BJ50" s="10">
        <v>46175</v>
      </c>
      <c r="BK50" s="56"/>
      <c r="BL50" s="28"/>
      <c r="BM50" s="28"/>
      <c r="BN50" s="28"/>
      <c r="BO50" s="28"/>
      <c r="BP50" s="28"/>
      <c r="BQ50" s="28"/>
      <c r="BR50" s="28"/>
      <c r="BS50" s="28"/>
      <c r="BT50" s="28"/>
      <c r="BU50" s="28"/>
      <c r="BV50" s="28"/>
      <c r="BW50" s="28"/>
      <c r="BX50" s="46"/>
      <c r="BY50" s="28"/>
      <c r="BZ50" s="28"/>
      <c r="CA50" s="28"/>
      <c r="CB50" s="28"/>
      <c r="CC50" s="28"/>
      <c r="CD50" s="28"/>
      <c r="CE50" s="28"/>
      <c r="CF50" s="28"/>
      <c r="CG50" s="28"/>
      <c r="CH50" s="28"/>
      <c r="CI50" s="28"/>
      <c r="CJ50" s="28"/>
      <c r="CK50" s="28"/>
      <c r="CL50" s="28"/>
      <c r="CM50" s="10">
        <v>46178</v>
      </c>
      <c r="CN50" s="10">
        <v>46178</v>
      </c>
      <c r="CO50" s="10">
        <f>CM50</f>
        <v>46178</v>
      </c>
      <c r="CP50" s="10">
        <v>46185</v>
      </c>
      <c r="CQ50" s="10">
        <f>IF(CO50="",WORKDAY(CN50,CQ49),WORKDAY(CO50,CQ49))</f>
        <v>46185</v>
      </c>
      <c r="CR50" s="10">
        <f>WORKDAY(CO50,CR49)</f>
        <v>46178</v>
      </c>
      <c r="CS50" s="77" t="s">
        <v>478</v>
      </c>
      <c r="CT50" s="10">
        <v>46346</v>
      </c>
      <c r="CU50" s="10">
        <f>IF(CR50="",WORKDAY(CQ50,CU49),WORKDAY(CR50,CU49))</f>
        <v>46346</v>
      </c>
      <c r="CV50" s="56">
        <f>CT50</f>
        <v>46346</v>
      </c>
      <c r="CW50" s="10">
        <v>46168</v>
      </c>
      <c r="CX50" s="10">
        <v>46168</v>
      </c>
      <c r="CY50" s="56"/>
      <c r="CZ50" s="10">
        <v>46168</v>
      </c>
      <c r="DA50" s="10">
        <v>46168</v>
      </c>
      <c r="DB50" s="56"/>
      <c r="DC50" s="45"/>
      <c r="DD50" s="45"/>
      <c r="DE50" s="45"/>
      <c r="DF50" s="10">
        <v>46374</v>
      </c>
      <c r="DG50" s="10">
        <f>IF($CV50="",IF($CU50&gt;$DA50,WORKDAY($CU50,DG49),WORKDAY($DA50,DG49)),IF($CV50&gt;$DB50,WORKDAY($CV50,DG49),WORKDAY($DB50,DG49)))</f>
        <v>46374</v>
      </c>
      <c r="DH50" s="56"/>
      <c r="DI50" s="46"/>
      <c r="DJ50" s="10">
        <v>46402</v>
      </c>
      <c r="DK50" s="10">
        <f>IF(DH50="",WORKDAY(DG50,DK49*$DI49),WORKDAY(DH50,DK49*$DI49))</f>
        <v>46402</v>
      </c>
      <c r="DL50" s="56"/>
      <c r="DM50" s="46"/>
      <c r="DN50" s="46"/>
      <c r="DO50" s="46"/>
      <c r="DP50" s="46"/>
      <c r="DQ50" s="46"/>
      <c r="DR50" s="46"/>
      <c r="DS50" s="46"/>
      <c r="DT50" s="46"/>
      <c r="DU50" s="46"/>
      <c r="DV50" s="46"/>
      <c r="DW50" s="46"/>
      <c r="DX50" s="46"/>
      <c r="DY50" s="46"/>
      <c r="DZ50" s="46"/>
      <c r="EA50" s="46"/>
      <c r="EB50" s="46"/>
      <c r="EC50" s="46"/>
      <c r="ED50" s="46"/>
      <c r="EE50" s="10">
        <v>46402</v>
      </c>
      <c r="EF50" s="10">
        <f>IF(DL50="",WORKDAY(DK50,EF49),WORKDAY(DL50,EF49))</f>
        <v>46402</v>
      </c>
      <c r="EG50" s="56"/>
      <c r="EH50" s="10">
        <f>IF(DN50="",WORKDAY(DM50,EH49),WORKDAY(DN50,EH49))</f>
        <v>41</v>
      </c>
      <c r="EI50" s="10">
        <f>IF(DO50="",WORKDAY(DN50,EI49),WORKDAY(DO50,EI49))</f>
        <v>41</v>
      </c>
      <c r="EJ50" s="56"/>
      <c r="EK50" s="27"/>
      <c r="EL50" s="27"/>
      <c r="EM50" s="27"/>
      <c r="EN50" s="27"/>
      <c r="EO50" s="28"/>
      <c r="EP50" s="28"/>
      <c r="EQ50" s="28"/>
      <c r="ER50" s="28"/>
      <c r="ES50" s="28"/>
      <c r="ET50" s="28"/>
      <c r="EU50" s="28"/>
      <c r="EV50" s="28"/>
      <c r="EW50" s="28"/>
      <c r="EX50" s="28"/>
      <c r="EY50" s="28"/>
      <c r="EZ50" s="10">
        <v>46409</v>
      </c>
      <c r="FA50" s="10">
        <f>IF(EG50="",WORKDAY(EF50,FA49),WORKDAY(EG50,FA49))</f>
        <v>46409</v>
      </c>
      <c r="FB50" s="56"/>
      <c r="FC50" s="28"/>
      <c r="FD50" s="28"/>
      <c r="FE50" s="28"/>
      <c r="FF50" s="28"/>
      <c r="FG50" s="28"/>
      <c r="FH50" s="28"/>
      <c r="FI50" s="10">
        <v>46430</v>
      </c>
      <c r="FJ50" s="10">
        <f>IF(FB50="",WORKDAY(FA50,FJ49),WORKDAY(FB50,FJ49))</f>
        <v>46430</v>
      </c>
      <c r="FK50" s="56"/>
      <c r="FL50" s="10">
        <v>46430</v>
      </c>
      <c r="FM50" s="10">
        <f>IF(FK50="",WORKDAY(FJ50,FM49),WORKDAY(FK50,FM49))</f>
        <v>46430</v>
      </c>
      <c r="FN50" s="56"/>
      <c r="FO50" s="10">
        <v>46486</v>
      </c>
      <c r="FP50" s="10">
        <f>WORKDAY(FM50,FP49)</f>
        <v>46486</v>
      </c>
      <c r="FQ50" s="56"/>
      <c r="FR50" s="77" t="str">
        <f>IF(NETWORKDAYS(FJ50,FO50)&gt;=30,"On-Track",IF(AND(NETWORKDAYS(FJ50,FO50)&lt;30,FJ50&lt;=FO50),"At Risk","Missed TCD"))</f>
        <v>On-Track</v>
      </c>
      <c r="FS50" s="110" t="s">
        <v>479</v>
      </c>
      <c r="FT50" s="57">
        <f>NETWORKDAYS(CP50,FI50)</f>
        <v>176</v>
      </c>
      <c r="FU50" s="57">
        <f>NETWORKDAYS(CQ50,FJ50)</f>
        <v>176</v>
      </c>
      <c r="FV50" s="57">
        <f>IF(BH50="",NETWORKDAYS(BG50,FJ50),IF(FK50="",NETWORKDAYS(BH50,FJ50),NETWORKDAYS(BH50,FK50)))</f>
        <v>189</v>
      </c>
      <c r="FW50" s="58" t="s">
        <v>467</v>
      </c>
    </row>
    <row r="51" spans="1:179" hidden="1" outlineLevel="1" x14ac:dyDescent="0.35">
      <c r="A51" s="23" t="s">
        <v>4</v>
      </c>
      <c r="B51" s="23">
        <v>107628</v>
      </c>
      <c r="C51" s="24" t="s">
        <v>499</v>
      </c>
      <c r="D51" s="95"/>
      <c r="E51" s="24"/>
      <c r="F51" s="25" t="s">
        <v>463</v>
      </c>
      <c r="G51" s="26"/>
      <c r="H51" s="26"/>
      <c r="I51" s="27"/>
      <c r="J51" s="27"/>
      <c r="K51" s="27"/>
      <c r="L51" s="27"/>
      <c r="M51" s="4">
        <v>27</v>
      </c>
      <c r="N51" s="4">
        <v>27</v>
      </c>
      <c r="O51" s="27"/>
      <c r="P51" s="4">
        <v>0</v>
      </c>
      <c r="Q51" s="4">
        <v>0</v>
      </c>
      <c r="R51" s="27"/>
      <c r="S51" s="27"/>
      <c r="T51" s="27"/>
      <c r="U51" s="27"/>
      <c r="V51" s="4">
        <v>30</v>
      </c>
      <c r="W51" s="4">
        <v>30</v>
      </c>
      <c r="X51" s="27"/>
      <c r="Y51" s="4">
        <v>70</v>
      </c>
      <c r="Z51" s="4">
        <v>70</v>
      </c>
      <c r="AA51" s="27"/>
      <c r="AB51" s="4">
        <v>0</v>
      </c>
      <c r="AC51" s="4">
        <v>0</v>
      </c>
      <c r="AD51" s="27"/>
      <c r="AE51" s="4">
        <v>75</v>
      </c>
      <c r="AF51" s="4">
        <v>75</v>
      </c>
      <c r="AG51" s="27"/>
      <c r="AH51" s="4">
        <v>5</v>
      </c>
      <c r="AI51" s="4">
        <v>5</v>
      </c>
      <c r="AJ51" s="27"/>
      <c r="AK51" s="4">
        <v>20</v>
      </c>
      <c r="AL51" s="4">
        <v>20</v>
      </c>
      <c r="AM51" s="27"/>
      <c r="AN51" s="4">
        <v>0</v>
      </c>
      <c r="AO51" s="4">
        <v>0</v>
      </c>
      <c r="AP51" s="27"/>
      <c r="AQ51" s="4">
        <v>20</v>
      </c>
      <c r="AR51" s="4">
        <v>20</v>
      </c>
      <c r="AS51" s="27"/>
      <c r="AT51" s="4">
        <v>5</v>
      </c>
      <c r="AU51" s="4">
        <v>5</v>
      </c>
      <c r="AV51" s="27"/>
      <c r="AW51" s="4">
        <v>10</v>
      </c>
      <c r="AX51" s="4">
        <v>10</v>
      </c>
      <c r="AY51" s="27"/>
      <c r="AZ51" s="4">
        <v>30</v>
      </c>
      <c r="BA51" s="4">
        <v>30</v>
      </c>
      <c r="BB51" s="27"/>
      <c r="BC51" s="4">
        <v>5</v>
      </c>
      <c r="BD51" s="4">
        <v>5</v>
      </c>
      <c r="BE51" s="27"/>
      <c r="BF51" s="4">
        <v>5</v>
      </c>
      <c r="BG51" s="4">
        <v>5</v>
      </c>
      <c r="BH51" s="27"/>
      <c r="BI51" s="4">
        <v>5</v>
      </c>
      <c r="BJ51" s="4">
        <v>5</v>
      </c>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4">
        <v>3</v>
      </c>
      <c r="CN51" s="4">
        <v>3</v>
      </c>
      <c r="CO51" s="27"/>
      <c r="CP51" s="4">
        <v>5</v>
      </c>
      <c r="CQ51" s="4">
        <v>5</v>
      </c>
      <c r="CR51" s="27"/>
      <c r="CS51" s="27"/>
      <c r="CT51" s="5">
        <v>120</v>
      </c>
      <c r="CU51" s="5">
        <v>120</v>
      </c>
      <c r="CV51" s="27"/>
      <c r="CW51" s="5">
        <v>10</v>
      </c>
      <c r="CX51" s="5">
        <v>10</v>
      </c>
      <c r="CY51" s="27"/>
      <c r="CZ51" s="5">
        <v>0</v>
      </c>
      <c r="DA51" s="5">
        <v>0</v>
      </c>
      <c r="DB51" s="27"/>
      <c r="DC51" s="31"/>
      <c r="DD51" s="31"/>
      <c r="DE51" s="31"/>
      <c r="DF51" s="4">
        <v>20</v>
      </c>
      <c r="DG51" s="4">
        <v>20</v>
      </c>
      <c r="DH51" s="27"/>
      <c r="DI51" s="89">
        <v>1</v>
      </c>
      <c r="DJ51" s="4">
        <v>20</v>
      </c>
      <c r="DK51" s="4">
        <v>20</v>
      </c>
      <c r="DL51" s="27"/>
      <c r="DM51" s="27"/>
      <c r="DN51" s="27"/>
      <c r="DO51" s="27"/>
      <c r="DP51" s="27"/>
      <c r="DQ51" s="27"/>
      <c r="DR51" s="27"/>
      <c r="DS51" s="27"/>
      <c r="DT51" s="27"/>
      <c r="DU51" s="27"/>
      <c r="DV51" s="27"/>
      <c r="DW51" s="27"/>
      <c r="DX51" s="27"/>
      <c r="DY51" s="27"/>
      <c r="DZ51" s="27"/>
      <c r="EA51" s="27"/>
      <c r="EB51" s="27"/>
      <c r="EC51" s="27"/>
      <c r="ED51" s="27"/>
      <c r="EE51" s="4">
        <v>0</v>
      </c>
      <c r="EF51" s="4">
        <v>0</v>
      </c>
      <c r="EG51" s="27"/>
      <c r="EH51" s="4">
        <v>30</v>
      </c>
      <c r="EI51" s="4">
        <v>30</v>
      </c>
      <c r="EJ51" s="27"/>
      <c r="EK51" s="27"/>
      <c r="EL51" s="27"/>
      <c r="EM51" s="27"/>
      <c r="EN51" s="27"/>
      <c r="EO51" s="27"/>
      <c r="EP51" s="27"/>
      <c r="EQ51" s="27"/>
      <c r="ER51" s="27"/>
      <c r="ES51" s="27"/>
      <c r="ET51" s="27"/>
      <c r="EU51" s="27"/>
      <c r="EV51" s="27"/>
      <c r="EW51" s="27"/>
      <c r="EX51" s="27"/>
      <c r="EY51" s="27"/>
      <c r="EZ51" s="4">
        <v>5</v>
      </c>
      <c r="FA51" s="4">
        <v>5</v>
      </c>
      <c r="FB51" s="27"/>
      <c r="FC51" s="27"/>
      <c r="FD51" s="27"/>
      <c r="FE51" s="27"/>
      <c r="FF51" s="27"/>
      <c r="FG51" s="27"/>
      <c r="FH51" s="27"/>
      <c r="FI51" s="4">
        <v>15</v>
      </c>
      <c r="FJ51" s="4">
        <v>15</v>
      </c>
      <c r="FK51" s="27"/>
      <c r="FL51" s="4">
        <v>0</v>
      </c>
      <c r="FM51" s="4">
        <v>0</v>
      </c>
      <c r="FN51" s="27"/>
      <c r="FO51" s="4">
        <v>40</v>
      </c>
      <c r="FP51" s="4">
        <v>40</v>
      </c>
      <c r="FQ51" s="27"/>
      <c r="FR51" s="27"/>
      <c r="FS51" s="109"/>
      <c r="FT51" s="54">
        <f>NETWORKDAYS($I52,FO52)</f>
        <v>391</v>
      </c>
      <c r="FU51" s="54">
        <f>NETWORKDAYS($I52,FP52)</f>
        <v>391</v>
      </c>
      <c r="FV51" s="54">
        <f>IF(FQ52="",NETWORKDAYS($I52,FP52),NETWORKDAYS($I52,FQ52))</f>
        <v>391</v>
      </c>
      <c r="FW51" s="55" t="s">
        <v>464</v>
      </c>
    </row>
    <row r="52" spans="1:179" collapsed="1" x14ac:dyDescent="0.35">
      <c r="A52" s="23" t="s">
        <v>4</v>
      </c>
      <c r="B52" s="23">
        <v>107628</v>
      </c>
      <c r="C52" s="24" t="s">
        <v>499</v>
      </c>
      <c r="D52" s="65"/>
      <c r="E52" s="23" t="str">
        <f>IF(D52="","Unknown",IF(D52&lt;=FM52+90,"Red",IF(AND(D52&gt;FM52+90,D52&lt;=FM52+180),"Yellow",IF(AND(D52&gt;FM52+180,D52&lt;=FM52+690),"Green","Covered"))))</f>
        <v>Unknown</v>
      </c>
      <c r="F52" s="25" t="s">
        <v>466</v>
      </c>
      <c r="G52" s="26"/>
      <c r="H52" s="26" t="str">
        <f>IF(CR52="","Pre-Execution","Execution")</f>
        <v>Execution</v>
      </c>
      <c r="I52" s="13">
        <v>45940</v>
      </c>
      <c r="J52" s="28"/>
      <c r="K52" s="28"/>
      <c r="L52" s="28"/>
      <c r="M52" s="10">
        <v>45979</v>
      </c>
      <c r="N52" s="10">
        <f>WORKDAY(I52,N51)</f>
        <v>45979</v>
      </c>
      <c r="O52" s="56">
        <f>M52</f>
        <v>45979</v>
      </c>
      <c r="P52" s="10">
        <v>45979</v>
      </c>
      <c r="Q52" s="10">
        <f>IF(O52="",WORKDAY(N52,Q51),WORKDAY(O52,Q51))</f>
        <v>45979</v>
      </c>
      <c r="R52" s="56">
        <f>P52</f>
        <v>45979</v>
      </c>
      <c r="S52" s="28"/>
      <c r="T52" s="28"/>
      <c r="U52" s="28"/>
      <c r="V52" s="10">
        <v>46021</v>
      </c>
      <c r="W52" s="10">
        <f>IF(R52="",WORKDAY(Q52,W51),WORKDAY(R52,W51))</f>
        <v>46021</v>
      </c>
      <c r="X52" s="56">
        <f>V52</f>
        <v>46021</v>
      </c>
      <c r="Y52" s="10">
        <v>46077</v>
      </c>
      <c r="Z52" s="10">
        <f>IF(R52="",WORKDAY(Q52,Z51),WORKDAY(R52,Z51))</f>
        <v>46077</v>
      </c>
      <c r="AA52" s="56">
        <f>Y52</f>
        <v>46077</v>
      </c>
      <c r="AB52" s="10">
        <v>45940</v>
      </c>
      <c r="AC52" s="10">
        <f>WORKDAY(I52,AC51)</f>
        <v>45940</v>
      </c>
      <c r="AD52" s="56">
        <f>AB52</f>
        <v>45940</v>
      </c>
      <c r="AE52" s="10">
        <v>46045</v>
      </c>
      <c r="AF52" s="10">
        <f>IF(AD52="",WORKDAY(AC52,AF51),WORKDAY(AD52,AF51))</f>
        <v>46045</v>
      </c>
      <c r="AG52" s="56">
        <f>AE52</f>
        <v>46045</v>
      </c>
      <c r="AH52" s="10">
        <v>46084</v>
      </c>
      <c r="AI52" s="10">
        <f>WORKDAY(IF(AA52="",IF(Z52&gt;AF52,Z52,AF52),IF(AA52&gt;AG52,AA52,AG52)),AI51)</f>
        <v>46084</v>
      </c>
      <c r="AJ52" s="56"/>
      <c r="AK52" s="10">
        <v>46112</v>
      </c>
      <c r="AL52" s="10">
        <f>IF(AJ52="",WORKDAY(AI52,AL51),WORKDAY(AJ52,AL51))</f>
        <v>46112</v>
      </c>
      <c r="AM52" s="10">
        <v>46112</v>
      </c>
      <c r="AN52" s="10">
        <v>46112</v>
      </c>
      <c r="AO52" s="10">
        <v>46112</v>
      </c>
      <c r="AP52" s="10">
        <v>46112</v>
      </c>
      <c r="AQ52" s="10">
        <v>46140</v>
      </c>
      <c r="AR52" s="10">
        <v>46140</v>
      </c>
      <c r="AS52" s="10"/>
      <c r="AT52" s="10">
        <v>46119</v>
      </c>
      <c r="AU52" s="10">
        <v>46119</v>
      </c>
      <c r="AV52" s="56"/>
      <c r="AW52" s="10">
        <v>46154</v>
      </c>
      <c r="AX52" s="10">
        <v>46154</v>
      </c>
      <c r="AY52" s="56"/>
      <c r="AZ52" s="10">
        <v>46154</v>
      </c>
      <c r="BA52" s="10">
        <v>46154</v>
      </c>
      <c r="BB52" s="56"/>
      <c r="BC52" s="10">
        <v>46161</v>
      </c>
      <c r="BD52" s="10">
        <v>46161</v>
      </c>
      <c r="BE52" s="10"/>
      <c r="BF52" s="10">
        <v>46168</v>
      </c>
      <c r="BG52" s="10">
        <v>46168</v>
      </c>
      <c r="BH52" s="56"/>
      <c r="BI52" s="10">
        <v>46175</v>
      </c>
      <c r="BJ52" s="10">
        <v>46175</v>
      </c>
      <c r="BK52" s="56"/>
      <c r="BL52" s="28"/>
      <c r="BM52" s="28"/>
      <c r="BN52" s="28"/>
      <c r="BO52" s="28"/>
      <c r="BP52" s="28"/>
      <c r="BQ52" s="28"/>
      <c r="BR52" s="28"/>
      <c r="BS52" s="28"/>
      <c r="BT52" s="28"/>
      <c r="BU52" s="28"/>
      <c r="BV52" s="28"/>
      <c r="BW52" s="28"/>
      <c r="BX52" s="46"/>
      <c r="BY52" s="28"/>
      <c r="BZ52" s="28"/>
      <c r="CA52" s="28"/>
      <c r="CB52" s="28"/>
      <c r="CC52" s="28"/>
      <c r="CD52" s="28"/>
      <c r="CE52" s="28"/>
      <c r="CF52" s="28"/>
      <c r="CG52" s="28"/>
      <c r="CH52" s="28"/>
      <c r="CI52" s="28"/>
      <c r="CJ52" s="28"/>
      <c r="CK52" s="28"/>
      <c r="CL52" s="28"/>
      <c r="CM52" s="10">
        <v>46178</v>
      </c>
      <c r="CN52" s="10">
        <v>46178</v>
      </c>
      <c r="CO52" s="10">
        <f>CM52</f>
        <v>46178</v>
      </c>
      <c r="CP52" s="10">
        <v>46185</v>
      </c>
      <c r="CQ52" s="10">
        <f>IF(CO52="",WORKDAY(CN52,CQ51),WORKDAY(CO52,CQ51))</f>
        <v>46185</v>
      </c>
      <c r="CR52" s="10">
        <f>WORKDAY(CO52,CR51)</f>
        <v>46178</v>
      </c>
      <c r="CS52" s="77" t="s">
        <v>478</v>
      </c>
      <c r="CT52" s="10">
        <v>46346</v>
      </c>
      <c r="CU52" s="10">
        <f>IF(CR52="",WORKDAY(CQ52,CU51),WORKDAY(CR52,CU51))</f>
        <v>46346</v>
      </c>
      <c r="CV52" s="56">
        <f>CT52</f>
        <v>46346</v>
      </c>
      <c r="CW52" s="10">
        <v>46168</v>
      </c>
      <c r="CX52" s="10">
        <v>46168</v>
      </c>
      <c r="CY52" s="56"/>
      <c r="CZ52" s="10">
        <v>46168</v>
      </c>
      <c r="DA52" s="10">
        <v>46168</v>
      </c>
      <c r="DB52" s="56"/>
      <c r="DC52" s="45"/>
      <c r="DD52" s="45"/>
      <c r="DE52" s="45"/>
      <c r="DF52" s="10">
        <v>46374</v>
      </c>
      <c r="DG52" s="10">
        <f>IF($CV52="",IF($CU52&gt;$DA52,WORKDAY($CU52,DG51),WORKDAY($DA52,DG51)),IF($CV52&gt;$DB52,WORKDAY($CV52,DG51),WORKDAY($DB52,DG51)))</f>
        <v>46374</v>
      </c>
      <c r="DH52" s="56"/>
      <c r="DI52" s="46"/>
      <c r="DJ52" s="10">
        <v>46402</v>
      </c>
      <c r="DK52" s="10">
        <f>IF(DH52="",WORKDAY(DG52,DK51*$DI51),WORKDAY(DH52,DK51*$DI51))</f>
        <v>46402</v>
      </c>
      <c r="DL52" s="56"/>
      <c r="DM52" s="46"/>
      <c r="DN52" s="46"/>
      <c r="DO52" s="46"/>
      <c r="DP52" s="46"/>
      <c r="DQ52" s="46"/>
      <c r="DR52" s="46"/>
      <c r="DS52" s="46"/>
      <c r="DT52" s="46"/>
      <c r="DU52" s="46"/>
      <c r="DV52" s="46"/>
      <c r="DW52" s="46"/>
      <c r="DX52" s="46"/>
      <c r="DY52" s="46"/>
      <c r="DZ52" s="46"/>
      <c r="EA52" s="46"/>
      <c r="EB52" s="46"/>
      <c r="EC52" s="46"/>
      <c r="ED52" s="46"/>
      <c r="EE52" s="10">
        <v>46402</v>
      </c>
      <c r="EF52" s="10">
        <f>IF(DL52="",WORKDAY(DK52,EF51),WORKDAY(DL52,EF51))</f>
        <v>46402</v>
      </c>
      <c r="EG52" s="56"/>
      <c r="EH52" s="10">
        <f>IF(DN52="",WORKDAY(DM52,EH51),WORKDAY(DN52,EH51))</f>
        <v>41</v>
      </c>
      <c r="EI52" s="10">
        <f>IF(DO52="",WORKDAY(DN52,EI51),WORKDAY(DO52,EI51))</f>
        <v>41</v>
      </c>
      <c r="EJ52" s="56"/>
      <c r="EK52" s="27"/>
      <c r="EL52" s="27"/>
      <c r="EM52" s="27"/>
      <c r="EN52" s="27"/>
      <c r="EO52" s="28"/>
      <c r="EP52" s="28"/>
      <c r="EQ52" s="28"/>
      <c r="ER52" s="28"/>
      <c r="ES52" s="28"/>
      <c r="ET52" s="28"/>
      <c r="EU52" s="28"/>
      <c r="EV52" s="28"/>
      <c r="EW52" s="28"/>
      <c r="EX52" s="28"/>
      <c r="EY52" s="28"/>
      <c r="EZ52" s="10">
        <v>46409</v>
      </c>
      <c r="FA52" s="10">
        <f>IF(EG52="",WORKDAY(EF52,FA51),WORKDAY(EG52,FA51))</f>
        <v>46409</v>
      </c>
      <c r="FB52" s="56"/>
      <c r="FC52" s="28"/>
      <c r="FD52" s="28"/>
      <c r="FE52" s="28"/>
      <c r="FF52" s="28"/>
      <c r="FG52" s="28"/>
      <c r="FH52" s="28"/>
      <c r="FI52" s="10">
        <v>46430</v>
      </c>
      <c r="FJ52" s="10">
        <f>IF(FB52="",WORKDAY(FA52,FJ51),WORKDAY(FB52,FJ51))</f>
        <v>46430</v>
      </c>
      <c r="FK52" s="56"/>
      <c r="FL52" s="10">
        <v>46430</v>
      </c>
      <c r="FM52" s="10">
        <f>IF(FK52="",WORKDAY(FJ52,FM51),WORKDAY(FK52,FM51))</f>
        <v>46430</v>
      </c>
      <c r="FN52" s="56"/>
      <c r="FO52" s="10">
        <v>46486</v>
      </c>
      <c r="FP52" s="10">
        <f>WORKDAY(FM52,FP51)</f>
        <v>46486</v>
      </c>
      <c r="FQ52" s="56"/>
      <c r="FR52" s="77" t="str">
        <f>IF(NETWORKDAYS(FJ52,FO52)&gt;=30,"On-Track",IF(AND(NETWORKDAYS(FJ52,FO52)&lt;30,FJ52&lt;=FO52),"At Risk","Missed TCD"))</f>
        <v>On-Track</v>
      </c>
      <c r="FS52" s="110" t="s">
        <v>479</v>
      </c>
      <c r="FT52" s="57">
        <f>NETWORKDAYS(CP52,FI52)</f>
        <v>176</v>
      </c>
      <c r="FU52" s="57">
        <f>NETWORKDAYS(CQ52,FJ52)</f>
        <v>176</v>
      </c>
      <c r="FV52" s="57">
        <f>IF(BH52="",NETWORKDAYS(BG52,FJ52),IF(FK52="",NETWORKDAYS(BH52,FJ52),NETWORKDAYS(BH52,FK52)))</f>
        <v>189</v>
      </c>
      <c r="FW52" s="58" t="s">
        <v>467</v>
      </c>
    </row>
    <row r="53" spans="1:179" hidden="1" outlineLevel="1" x14ac:dyDescent="0.35">
      <c r="A53" s="23" t="s">
        <v>4</v>
      </c>
      <c r="B53" s="23">
        <v>107629</v>
      </c>
      <c r="C53" s="24" t="s">
        <v>500</v>
      </c>
      <c r="D53" s="95"/>
      <c r="E53" s="24"/>
      <c r="F53" s="25" t="s">
        <v>463</v>
      </c>
      <c r="G53" s="26"/>
      <c r="H53" s="26"/>
      <c r="I53" s="27"/>
      <c r="J53" s="27"/>
      <c r="K53" s="27"/>
      <c r="L53" s="27"/>
      <c r="M53" s="4">
        <v>27</v>
      </c>
      <c r="N53" s="4">
        <v>27</v>
      </c>
      <c r="O53" s="27"/>
      <c r="P53" s="4">
        <v>0</v>
      </c>
      <c r="Q53" s="4">
        <v>0</v>
      </c>
      <c r="R53" s="27"/>
      <c r="S53" s="27"/>
      <c r="T53" s="27"/>
      <c r="U53" s="27"/>
      <c r="V53" s="4">
        <v>30</v>
      </c>
      <c r="W53" s="4">
        <v>30</v>
      </c>
      <c r="X53" s="27"/>
      <c r="Y53" s="4">
        <v>70</v>
      </c>
      <c r="Z53" s="4">
        <v>70</v>
      </c>
      <c r="AA53" s="27"/>
      <c r="AB53" s="4">
        <v>0</v>
      </c>
      <c r="AC53" s="4">
        <v>0</v>
      </c>
      <c r="AD53" s="27"/>
      <c r="AE53" s="4">
        <v>75</v>
      </c>
      <c r="AF53" s="4">
        <v>75</v>
      </c>
      <c r="AG53" s="27"/>
      <c r="AH53" s="4">
        <v>5</v>
      </c>
      <c r="AI53" s="4">
        <v>5</v>
      </c>
      <c r="AJ53" s="27"/>
      <c r="AK53" s="4">
        <v>20</v>
      </c>
      <c r="AL53" s="4">
        <v>20</v>
      </c>
      <c r="AM53" s="27"/>
      <c r="AN53" s="4">
        <v>0</v>
      </c>
      <c r="AO53" s="4">
        <v>0</v>
      </c>
      <c r="AP53" s="27"/>
      <c r="AQ53" s="4">
        <v>20</v>
      </c>
      <c r="AR53" s="4">
        <v>20</v>
      </c>
      <c r="AS53" s="27"/>
      <c r="AT53" s="4">
        <v>5</v>
      </c>
      <c r="AU53" s="4">
        <v>5</v>
      </c>
      <c r="AV53" s="27"/>
      <c r="AW53" s="4">
        <v>10</v>
      </c>
      <c r="AX53" s="4">
        <v>10</v>
      </c>
      <c r="AY53" s="27"/>
      <c r="AZ53" s="4">
        <v>30</v>
      </c>
      <c r="BA53" s="4">
        <v>30</v>
      </c>
      <c r="BB53" s="27"/>
      <c r="BC53" s="4">
        <v>5</v>
      </c>
      <c r="BD53" s="4">
        <v>5</v>
      </c>
      <c r="BE53" s="27"/>
      <c r="BF53" s="4">
        <v>5</v>
      </c>
      <c r="BG53" s="4">
        <v>5</v>
      </c>
      <c r="BH53" s="27"/>
      <c r="BI53" s="4">
        <v>5</v>
      </c>
      <c r="BJ53" s="4">
        <v>5</v>
      </c>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4">
        <v>3</v>
      </c>
      <c r="CN53" s="4">
        <v>3</v>
      </c>
      <c r="CO53" s="27"/>
      <c r="CP53" s="4">
        <v>5</v>
      </c>
      <c r="CQ53" s="4">
        <v>5</v>
      </c>
      <c r="CR53" s="27"/>
      <c r="CS53" s="27"/>
      <c r="CT53" s="5">
        <v>120</v>
      </c>
      <c r="CU53" s="5">
        <v>120</v>
      </c>
      <c r="CV53" s="27"/>
      <c r="CW53" s="5">
        <v>10</v>
      </c>
      <c r="CX53" s="5">
        <v>10</v>
      </c>
      <c r="CY53" s="27"/>
      <c r="CZ53" s="5">
        <v>0</v>
      </c>
      <c r="DA53" s="5">
        <v>0</v>
      </c>
      <c r="DB53" s="27"/>
      <c r="DC53" s="31"/>
      <c r="DD53" s="31"/>
      <c r="DE53" s="31"/>
      <c r="DF53" s="4">
        <v>20</v>
      </c>
      <c r="DG53" s="4">
        <v>20</v>
      </c>
      <c r="DH53" s="27"/>
      <c r="DI53" s="89">
        <v>1</v>
      </c>
      <c r="DJ53" s="4">
        <v>20</v>
      </c>
      <c r="DK53" s="4">
        <v>20</v>
      </c>
      <c r="DL53" s="27"/>
      <c r="DM53" s="27"/>
      <c r="DN53" s="27"/>
      <c r="DO53" s="27"/>
      <c r="DP53" s="27"/>
      <c r="DQ53" s="27"/>
      <c r="DR53" s="27"/>
      <c r="DS53" s="27"/>
      <c r="DT53" s="27"/>
      <c r="DU53" s="27"/>
      <c r="DV53" s="27"/>
      <c r="DW53" s="27"/>
      <c r="DX53" s="27"/>
      <c r="DY53" s="27"/>
      <c r="DZ53" s="27"/>
      <c r="EA53" s="27"/>
      <c r="EB53" s="27"/>
      <c r="EC53" s="27"/>
      <c r="ED53" s="27"/>
      <c r="EE53" s="4">
        <v>0</v>
      </c>
      <c r="EF53" s="4">
        <v>0</v>
      </c>
      <c r="EG53" s="27"/>
      <c r="EH53" s="4">
        <v>30</v>
      </c>
      <c r="EI53" s="4">
        <v>30</v>
      </c>
      <c r="EJ53" s="27"/>
      <c r="EK53" s="27"/>
      <c r="EL53" s="27"/>
      <c r="EM53" s="27"/>
      <c r="EN53" s="27"/>
      <c r="EO53" s="27"/>
      <c r="EP53" s="27"/>
      <c r="EQ53" s="27"/>
      <c r="ER53" s="27"/>
      <c r="ES53" s="27"/>
      <c r="ET53" s="27"/>
      <c r="EU53" s="27"/>
      <c r="EV53" s="27"/>
      <c r="EW53" s="27"/>
      <c r="EX53" s="27"/>
      <c r="EY53" s="27"/>
      <c r="EZ53" s="4">
        <v>5</v>
      </c>
      <c r="FA53" s="4">
        <v>5</v>
      </c>
      <c r="FB53" s="27"/>
      <c r="FC53" s="27"/>
      <c r="FD53" s="27"/>
      <c r="FE53" s="27"/>
      <c r="FF53" s="27"/>
      <c r="FG53" s="27"/>
      <c r="FH53" s="27"/>
      <c r="FI53" s="4">
        <v>15</v>
      </c>
      <c r="FJ53" s="4">
        <v>15</v>
      </c>
      <c r="FK53" s="27"/>
      <c r="FL53" s="4">
        <v>0</v>
      </c>
      <c r="FM53" s="4">
        <v>0</v>
      </c>
      <c r="FN53" s="27"/>
      <c r="FO53" s="4">
        <v>40</v>
      </c>
      <c r="FP53" s="4">
        <v>40</v>
      </c>
      <c r="FQ53" s="27"/>
      <c r="FR53" s="27"/>
      <c r="FS53" s="109"/>
      <c r="FT53" s="54">
        <f>NETWORKDAYS($I54,FO54)</f>
        <v>391</v>
      </c>
      <c r="FU53" s="54">
        <f>NETWORKDAYS($I54,FP54)</f>
        <v>391</v>
      </c>
      <c r="FV53" s="54">
        <f>IF(FQ54="",NETWORKDAYS($I54,FP54),NETWORKDAYS($I54,FQ54))</f>
        <v>391</v>
      </c>
      <c r="FW53" s="55" t="s">
        <v>464</v>
      </c>
    </row>
    <row r="54" spans="1:179" collapsed="1" x14ac:dyDescent="0.35">
      <c r="A54" s="23" t="s">
        <v>4</v>
      </c>
      <c r="B54" s="23">
        <v>107629</v>
      </c>
      <c r="C54" s="24" t="s">
        <v>500</v>
      </c>
      <c r="D54" s="65"/>
      <c r="E54" s="23" t="str">
        <f>IF(D54="","Unknown",IF(D54&lt;=FM54+90,"Red",IF(AND(D54&gt;FM54+90,D54&lt;=FM54+180),"Yellow",IF(AND(D54&gt;FM54+180,D54&lt;=FM54+690),"Green","Covered"))))</f>
        <v>Unknown</v>
      </c>
      <c r="F54" s="25" t="s">
        <v>466</v>
      </c>
      <c r="G54" s="26"/>
      <c r="H54" s="26" t="str">
        <f>IF(CR54="","Pre-Execution","Execution")</f>
        <v>Execution</v>
      </c>
      <c r="I54" s="13">
        <v>45940</v>
      </c>
      <c r="J54" s="28"/>
      <c r="K54" s="28"/>
      <c r="L54" s="28"/>
      <c r="M54" s="10">
        <v>45979</v>
      </c>
      <c r="N54" s="10">
        <f>WORKDAY(I54,N53)</f>
        <v>45979</v>
      </c>
      <c r="O54" s="56">
        <f>M54</f>
        <v>45979</v>
      </c>
      <c r="P54" s="10">
        <v>45979</v>
      </c>
      <c r="Q54" s="10">
        <f>IF(O54="",WORKDAY(N54,Q53),WORKDAY(O54,Q53))</f>
        <v>45979</v>
      </c>
      <c r="R54" s="56">
        <f>P54</f>
        <v>45979</v>
      </c>
      <c r="S54" s="28"/>
      <c r="T54" s="28"/>
      <c r="U54" s="28"/>
      <c r="V54" s="10">
        <v>46021</v>
      </c>
      <c r="W54" s="10">
        <f>IF(R54="",WORKDAY(Q54,W53),WORKDAY(R54,W53))</f>
        <v>46021</v>
      </c>
      <c r="X54" s="56">
        <f>V54</f>
        <v>46021</v>
      </c>
      <c r="Y54" s="10">
        <v>46077</v>
      </c>
      <c r="Z54" s="10">
        <f>IF(R54="",WORKDAY(Q54,Z53),WORKDAY(R54,Z53))</f>
        <v>46077</v>
      </c>
      <c r="AA54" s="56">
        <f>Y54</f>
        <v>46077</v>
      </c>
      <c r="AB54" s="10">
        <v>45940</v>
      </c>
      <c r="AC54" s="10">
        <f>WORKDAY(I54,AC53)</f>
        <v>45940</v>
      </c>
      <c r="AD54" s="56">
        <f>AB54</f>
        <v>45940</v>
      </c>
      <c r="AE54" s="10">
        <v>46045</v>
      </c>
      <c r="AF54" s="10">
        <f>IF(AD54="",WORKDAY(AC54,AF53),WORKDAY(AD54,AF53))</f>
        <v>46045</v>
      </c>
      <c r="AG54" s="56">
        <f>AE54</f>
        <v>46045</v>
      </c>
      <c r="AH54" s="10">
        <v>46084</v>
      </c>
      <c r="AI54" s="10">
        <f>WORKDAY(IF(AA54="",IF(Z54&gt;AF54,Z54,AF54),IF(AA54&gt;AG54,AA54,AG54)),AI53)</f>
        <v>46084</v>
      </c>
      <c r="AJ54" s="56"/>
      <c r="AK54" s="10">
        <v>46112</v>
      </c>
      <c r="AL54" s="10">
        <f>IF(AJ54="",WORKDAY(AI54,AL53),WORKDAY(AJ54,AL53))</f>
        <v>46112</v>
      </c>
      <c r="AM54" s="10">
        <v>46112</v>
      </c>
      <c r="AN54" s="10">
        <v>46112</v>
      </c>
      <c r="AO54" s="10">
        <v>46112</v>
      </c>
      <c r="AP54" s="10">
        <v>46112</v>
      </c>
      <c r="AQ54" s="10">
        <v>46140</v>
      </c>
      <c r="AR54" s="10">
        <v>46140</v>
      </c>
      <c r="AS54" s="10"/>
      <c r="AT54" s="10">
        <v>46119</v>
      </c>
      <c r="AU54" s="10">
        <v>46119</v>
      </c>
      <c r="AV54" s="56"/>
      <c r="AW54" s="10">
        <v>46154</v>
      </c>
      <c r="AX54" s="10">
        <v>46154</v>
      </c>
      <c r="AY54" s="56"/>
      <c r="AZ54" s="10">
        <v>46154</v>
      </c>
      <c r="BA54" s="10">
        <v>46154</v>
      </c>
      <c r="BB54" s="56"/>
      <c r="BC54" s="10">
        <v>46161</v>
      </c>
      <c r="BD54" s="10">
        <v>46161</v>
      </c>
      <c r="BE54" s="10"/>
      <c r="BF54" s="10">
        <v>46168</v>
      </c>
      <c r="BG54" s="10">
        <v>46168</v>
      </c>
      <c r="BH54" s="56"/>
      <c r="BI54" s="10">
        <v>46175</v>
      </c>
      <c r="BJ54" s="10">
        <v>46175</v>
      </c>
      <c r="BK54" s="56"/>
      <c r="BL54" s="28"/>
      <c r="BM54" s="28"/>
      <c r="BN54" s="28"/>
      <c r="BO54" s="28"/>
      <c r="BP54" s="28"/>
      <c r="BQ54" s="28"/>
      <c r="BR54" s="28"/>
      <c r="BS54" s="28"/>
      <c r="BT54" s="28"/>
      <c r="BU54" s="28"/>
      <c r="BV54" s="28"/>
      <c r="BW54" s="28"/>
      <c r="BX54" s="46"/>
      <c r="BY54" s="28"/>
      <c r="BZ54" s="28"/>
      <c r="CA54" s="28"/>
      <c r="CB54" s="28"/>
      <c r="CC54" s="28"/>
      <c r="CD54" s="28"/>
      <c r="CE54" s="28"/>
      <c r="CF54" s="28"/>
      <c r="CG54" s="28"/>
      <c r="CH54" s="28"/>
      <c r="CI54" s="28"/>
      <c r="CJ54" s="28"/>
      <c r="CK54" s="28"/>
      <c r="CL54" s="28"/>
      <c r="CM54" s="10">
        <v>46178</v>
      </c>
      <c r="CN54" s="10">
        <v>46178</v>
      </c>
      <c r="CO54" s="10">
        <f>CM54</f>
        <v>46178</v>
      </c>
      <c r="CP54" s="10">
        <v>46185</v>
      </c>
      <c r="CQ54" s="10">
        <f>IF(CO54="",WORKDAY(CN54,CQ53),WORKDAY(CO54,CQ53))</f>
        <v>46185</v>
      </c>
      <c r="CR54" s="10">
        <f>WORKDAY(CO54,CR53)</f>
        <v>46178</v>
      </c>
      <c r="CS54" s="77" t="s">
        <v>478</v>
      </c>
      <c r="CT54" s="10">
        <v>46346</v>
      </c>
      <c r="CU54" s="10">
        <f>IF(CR54="",WORKDAY(CQ54,CU53),WORKDAY(CR54,CU53))</f>
        <v>46346</v>
      </c>
      <c r="CV54" s="56">
        <f>CT54</f>
        <v>46346</v>
      </c>
      <c r="CW54" s="10">
        <v>46168</v>
      </c>
      <c r="CX54" s="10">
        <v>46168</v>
      </c>
      <c r="CY54" s="56"/>
      <c r="CZ54" s="10">
        <v>46168</v>
      </c>
      <c r="DA54" s="10">
        <v>46168</v>
      </c>
      <c r="DB54" s="56"/>
      <c r="DC54" s="45"/>
      <c r="DD54" s="45"/>
      <c r="DE54" s="45"/>
      <c r="DF54" s="10">
        <v>46374</v>
      </c>
      <c r="DG54" s="10">
        <f>IF($CV54="",IF($CU54&gt;$DA54,WORKDAY($CU54,DG53),WORKDAY($DA54,DG53)),IF($CV54&gt;$DB54,WORKDAY($CV54,DG53),WORKDAY($DB54,DG53)))</f>
        <v>46374</v>
      </c>
      <c r="DH54" s="56"/>
      <c r="DI54" s="46"/>
      <c r="DJ54" s="10">
        <v>46402</v>
      </c>
      <c r="DK54" s="10">
        <f>IF(DH54="",WORKDAY(DG54,DK53*$DI53),WORKDAY(DH54,DK53*$DI53))</f>
        <v>46402</v>
      </c>
      <c r="DL54" s="56"/>
      <c r="DM54" s="46"/>
      <c r="DN54" s="46"/>
      <c r="DO54" s="46"/>
      <c r="DP54" s="46"/>
      <c r="DQ54" s="46"/>
      <c r="DR54" s="46"/>
      <c r="DS54" s="46"/>
      <c r="DT54" s="46"/>
      <c r="DU54" s="46"/>
      <c r="DV54" s="46"/>
      <c r="DW54" s="46"/>
      <c r="DX54" s="46"/>
      <c r="DY54" s="46"/>
      <c r="DZ54" s="46"/>
      <c r="EA54" s="46"/>
      <c r="EB54" s="46"/>
      <c r="EC54" s="46"/>
      <c r="ED54" s="46"/>
      <c r="EE54" s="10">
        <v>46402</v>
      </c>
      <c r="EF54" s="10">
        <f>IF(DL54="",WORKDAY(DK54,EF53),WORKDAY(DL54,EF53))</f>
        <v>46402</v>
      </c>
      <c r="EG54" s="56"/>
      <c r="EH54" s="10">
        <f>IF(DN54="",WORKDAY(DM54,EH53),WORKDAY(DN54,EH53))</f>
        <v>41</v>
      </c>
      <c r="EI54" s="10">
        <f>IF(DO54="",WORKDAY(DN54,EI53),WORKDAY(DO54,EI53))</f>
        <v>41</v>
      </c>
      <c r="EJ54" s="56"/>
      <c r="EK54" s="27"/>
      <c r="EL54" s="27"/>
      <c r="EM54" s="27"/>
      <c r="EN54" s="27"/>
      <c r="EO54" s="28"/>
      <c r="EP54" s="28"/>
      <c r="EQ54" s="28"/>
      <c r="ER54" s="28"/>
      <c r="ES54" s="28"/>
      <c r="ET54" s="28"/>
      <c r="EU54" s="28"/>
      <c r="EV54" s="28"/>
      <c r="EW54" s="28"/>
      <c r="EX54" s="28"/>
      <c r="EY54" s="28"/>
      <c r="EZ54" s="10">
        <v>46409</v>
      </c>
      <c r="FA54" s="10">
        <f>IF(EG54="",WORKDAY(EF54,FA53),WORKDAY(EG54,FA53))</f>
        <v>46409</v>
      </c>
      <c r="FB54" s="56"/>
      <c r="FC54" s="28"/>
      <c r="FD54" s="28"/>
      <c r="FE54" s="28"/>
      <c r="FF54" s="28"/>
      <c r="FG54" s="28"/>
      <c r="FH54" s="28"/>
      <c r="FI54" s="10">
        <v>46430</v>
      </c>
      <c r="FJ54" s="10">
        <f>IF(FB54="",WORKDAY(FA54,FJ53),WORKDAY(FB54,FJ53))</f>
        <v>46430</v>
      </c>
      <c r="FK54" s="56"/>
      <c r="FL54" s="10">
        <v>46430</v>
      </c>
      <c r="FM54" s="10">
        <f>IF(FK54="",WORKDAY(FJ54,FM53),WORKDAY(FK54,FM53))</f>
        <v>46430</v>
      </c>
      <c r="FN54" s="56"/>
      <c r="FO54" s="10">
        <v>46486</v>
      </c>
      <c r="FP54" s="10">
        <f>WORKDAY(FM54,FP53)</f>
        <v>46486</v>
      </c>
      <c r="FQ54" s="56"/>
      <c r="FR54" s="77" t="str">
        <f>IF(NETWORKDAYS(FJ54,FO54)&gt;=30,"On-Track",IF(AND(NETWORKDAYS(FJ54,FO54)&lt;30,FJ54&lt;=FO54),"At Risk","Missed TCD"))</f>
        <v>On-Track</v>
      </c>
      <c r="FS54" s="110" t="s">
        <v>479</v>
      </c>
      <c r="FT54" s="57">
        <f>NETWORKDAYS(CP54,FI54)</f>
        <v>176</v>
      </c>
      <c r="FU54" s="57">
        <f>NETWORKDAYS(CQ54,FJ54)</f>
        <v>176</v>
      </c>
      <c r="FV54" s="57">
        <f>IF(BH54="",NETWORKDAYS(BG54,FJ54),IF(FK54="",NETWORKDAYS(BH54,FJ54),NETWORKDAYS(BH54,FK54)))</f>
        <v>189</v>
      </c>
      <c r="FW54" s="58" t="s">
        <v>467</v>
      </c>
    </row>
    <row r="55" spans="1:179" hidden="1" outlineLevel="1" x14ac:dyDescent="0.35">
      <c r="A55" s="23" t="s">
        <v>4</v>
      </c>
      <c r="B55" s="23">
        <v>107643</v>
      </c>
      <c r="C55" s="24" t="s">
        <v>501</v>
      </c>
      <c r="D55" s="95"/>
      <c r="E55" s="24"/>
      <c r="F55" s="25" t="s">
        <v>463</v>
      </c>
      <c r="G55" s="26"/>
      <c r="H55" s="26"/>
      <c r="I55" s="27"/>
      <c r="J55" s="27"/>
      <c r="K55" s="27"/>
      <c r="L55" s="27"/>
      <c r="M55" s="4">
        <v>27</v>
      </c>
      <c r="N55" s="4">
        <v>27</v>
      </c>
      <c r="O55" s="27"/>
      <c r="P55" s="4">
        <v>0</v>
      </c>
      <c r="Q55" s="4">
        <v>0</v>
      </c>
      <c r="R55" s="27"/>
      <c r="S55" s="27"/>
      <c r="T55" s="27"/>
      <c r="U55" s="27"/>
      <c r="V55" s="4">
        <v>30</v>
      </c>
      <c r="W55" s="4">
        <v>30</v>
      </c>
      <c r="X55" s="27"/>
      <c r="Y55" s="4">
        <v>70</v>
      </c>
      <c r="Z55" s="4">
        <v>70</v>
      </c>
      <c r="AA55" s="27"/>
      <c r="AB55" s="4">
        <v>0</v>
      </c>
      <c r="AC55" s="4">
        <v>0</v>
      </c>
      <c r="AD55" s="27"/>
      <c r="AE55" s="4">
        <v>75</v>
      </c>
      <c r="AF55" s="4">
        <v>75</v>
      </c>
      <c r="AG55" s="27"/>
      <c r="AH55" s="4">
        <v>5</v>
      </c>
      <c r="AI55" s="4">
        <v>5</v>
      </c>
      <c r="AJ55" s="27"/>
      <c r="AK55" s="4">
        <v>20</v>
      </c>
      <c r="AL55" s="4">
        <v>20</v>
      </c>
      <c r="AM55" s="27"/>
      <c r="AN55" s="4">
        <v>0</v>
      </c>
      <c r="AO55" s="4">
        <v>0</v>
      </c>
      <c r="AP55" s="27"/>
      <c r="AQ55" s="4">
        <v>20</v>
      </c>
      <c r="AR55" s="4">
        <v>20</v>
      </c>
      <c r="AS55" s="27"/>
      <c r="AT55" s="4">
        <v>5</v>
      </c>
      <c r="AU55" s="4">
        <v>5</v>
      </c>
      <c r="AV55" s="27"/>
      <c r="AW55" s="4">
        <v>10</v>
      </c>
      <c r="AX55" s="4">
        <v>10</v>
      </c>
      <c r="AY55" s="27"/>
      <c r="AZ55" s="4">
        <v>30</v>
      </c>
      <c r="BA55" s="4">
        <v>30</v>
      </c>
      <c r="BB55" s="27"/>
      <c r="BC55" s="4">
        <v>5</v>
      </c>
      <c r="BD55" s="4">
        <v>5</v>
      </c>
      <c r="BE55" s="27"/>
      <c r="BF55" s="4">
        <v>5</v>
      </c>
      <c r="BG55" s="4">
        <v>5</v>
      </c>
      <c r="BH55" s="27"/>
      <c r="BI55" s="4">
        <v>5</v>
      </c>
      <c r="BJ55" s="4">
        <v>5</v>
      </c>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4">
        <v>3</v>
      </c>
      <c r="CN55" s="4">
        <v>3</v>
      </c>
      <c r="CO55" s="27"/>
      <c r="CP55" s="4">
        <v>5</v>
      </c>
      <c r="CQ55" s="4">
        <v>5</v>
      </c>
      <c r="CR55" s="27"/>
      <c r="CS55" s="27"/>
      <c r="CT55" s="5">
        <v>120</v>
      </c>
      <c r="CU55" s="5">
        <v>120</v>
      </c>
      <c r="CV55" s="27"/>
      <c r="CW55" s="5">
        <v>10</v>
      </c>
      <c r="CX55" s="5">
        <v>10</v>
      </c>
      <c r="CY55" s="27"/>
      <c r="CZ55" s="5">
        <v>0</v>
      </c>
      <c r="DA55" s="5">
        <v>0</v>
      </c>
      <c r="DB55" s="27"/>
      <c r="DC55" s="31"/>
      <c r="DD55" s="31"/>
      <c r="DE55" s="31"/>
      <c r="DF55" s="4">
        <v>20</v>
      </c>
      <c r="DG55" s="4">
        <v>20</v>
      </c>
      <c r="DH55" s="27"/>
      <c r="DI55" s="89">
        <v>1</v>
      </c>
      <c r="DJ55" s="4">
        <v>20</v>
      </c>
      <c r="DK55" s="4">
        <v>20</v>
      </c>
      <c r="DL55" s="27"/>
      <c r="DM55" s="27"/>
      <c r="DN55" s="27"/>
      <c r="DO55" s="27"/>
      <c r="DP55" s="27"/>
      <c r="DQ55" s="27"/>
      <c r="DR55" s="27"/>
      <c r="DS55" s="27"/>
      <c r="DT55" s="27"/>
      <c r="DU55" s="27"/>
      <c r="DV55" s="27"/>
      <c r="DW55" s="27"/>
      <c r="DX55" s="27"/>
      <c r="DY55" s="27"/>
      <c r="DZ55" s="27"/>
      <c r="EA55" s="27"/>
      <c r="EB55" s="27"/>
      <c r="EC55" s="27"/>
      <c r="ED55" s="27"/>
      <c r="EE55" s="4">
        <v>0</v>
      </c>
      <c r="EF55" s="4">
        <v>0</v>
      </c>
      <c r="EG55" s="27"/>
      <c r="EH55" s="4">
        <v>30</v>
      </c>
      <c r="EI55" s="4">
        <v>30</v>
      </c>
      <c r="EJ55" s="27"/>
      <c r="EK55" s="27"/>
      <c r="EL55" s="27"/>
      <c r="EM55" s="27"/>
      <c r="EN55" s="27"/>
      <c r="EO55" s="27"/>
      <c r="EP55" s="27"/>
      <c r="EQ55" s="27"/>
      <c r="ER55" s="27"/>
      <c r="ES55" s="27"/>
      <c r="ET55" s="27"/>
      <c r="EU55" s="27"/>
      <c r="EV55" s="27"/>
      <c r="EW55" s="27"/>
      <c r="EX55" s="27"/>
      <c r="EY55" s="27"/>
      <c r="EZ55" s="4">
        <v>5</v>
      </c>
      <c r="FA55" s="4">
        <v>5</v>
      </c>
      <c r="FB55" s="27"/>
      <c r="FC55" s="27"/>
      <c r="FD55" s="27"/>
      <c r="FE55" s="27"/>
      <c r="FF55" s="27"/>
      <c r="FG55" s="27"/>
      <c r="FH55" s="27"/>
      <c r="FI55" s="4">
        <v>15</v>
      </c>
      <c r="FJ55" s="4">
        <v>15</v>
      </c>
      <c r="FK55" s="27"/>
      <c r="FL55" s="4">
        <v>0</v>
      </c>
      <c r="FM55" s="4">
        <v>0</v>
      </c>
      <c r="FN55" s="27"/>
      <c r="FO55" s="4">
        <v>40</v>
      </c>
      <c r="FP55" s="4">
        <v>40</v>
      </c>
      <c r="FQ55" s="27"/>
      <c r="FR55" s="27"/>
      <c r="FS55" s="109"/>
      <c r="FT55" s="54">
        <f>NETWORKDAYS($I56,FO56)</f>
        <v>391</v>
      </c>
      <c r="FU55" s="54">
        <f>NETWORKDAYS($I56,FP56)</f>
        <v>391</v>
      </c>
      <c r="FV55" s="54">
        <f>IF(FQ56="",NETWORKDAYS($I56,FP56),NETWORKDAYS($I56,FQ56))</f>
        <v>391</v>
      </c>
      <c r="FW55" s="55" t="s">
        <v>464</v>
      </c>
    </row>
    <row r="56" spans="1:179" collapsed="1" x14ac:dyDescent="0.35">
      <c r="A56" s="23" t="s">
        <v>4</v>
      </c>
      <c r="B56" s="23">
        <v>107643</v>
      </c>
      <c r="C56" s="24" t="s">
        <v>501</v>
      </c>
      <c r="D56" s="65"/>
      <c r="E56" s="23" t="str">
        <f>IF(D56="","Unknown",IF(D56&lt;=FM56+90,"Red",IF(AND(D56&gt;FM56+90,D56&lt;=FM56+180),"Yellow",IF(AND(D56&gt;FM56+180,D56&lt;=FM56+690),"Green","Covered"))))</f>
        <v>Unknown</v>
      </c>
      <c r="F56" s="25" t="s">
        <v>466</v>
      </c>
      <c r="G56" s="26"/>
      <c r="H56" s="26" t="str">
        <f>IF(CR56="","Pre-Execution","Execution")</f>
        <v>Execution</v>
      </c>
      <c r="I56" s="13">
        <v>45940</v>
      </c>
      <c r="J56" s="28"/>
      <c r="K56" s="28"/>
      <c r="L56" s="28"/>
      <c r="M56" s="10">
        <v>45979</v>
      </c>
      <c r="N56" s="10">
        <f>WORKDAY(I56,N55)</f>
        <v>45979</v>
      </c>
      <c r="O56" s="56">
        <f t="shared" ref="O56" si="0">M56</f>
        <v>45979</v>
      </c>
      <c r="P56" s="10">
        <v>45979</v>
      </c>
      <c r="Q56" s="10">
        <f>IF(O56="",WORKDAY(N56,Q55),WORKDAY(O56,Q55))</f>
        <v>45979</v>
      </c>
      <c r="R56" s="56">
        <f t="shared" ref="R56" si="1">P56</f>
        <v>45979</v>
      </c>
      <c r="S56" s="28"/>
      <c r="T56" s="28"/>
      <c r="U56" s="28"/>
      <c r="V56" s="10">
        <v>46021</v>
      </c>
      <c r="W56" s="10">
        <f>IF(R56="",WORKDAY(Q56,W55),WORKDAY(R56,W55))</f>
        <v>46021</v>
      </c>
      <c r="X56" s="56">
        <f>V56</f>
        <v>46021</v>
      </c>
      <c r="Y56" s="10">
        <v>46077</v>
      </c>
      <c r="Z56" s="10">
        <f>IF(R56="",WORKDAY(Q56,Z55),WORKDAY(R56,Z55))</f>
        <v>46077</v>
      </c>
      <c r="AA56" s="56">
        <f>Y56</f>
        <v>46077</v>
      </c>
      <c r="AB56" s="10">
        <v>45940</v>
      </c>
      <c r="AC56" s="10">
        <f>WORKDAY(I56,AC55)</f>
        <v>45940</v>
      </c>
      <c r="AD56" s="56">
        <f>AB56</f>
        <v>45940</v>
      </c>
      <c r="AE56" s="10">
        <v>46045</v>
      </c>
      <c r="AF56" s="10">
        <f>IF(AD56="",WORKDAY(AC56,AF55),WORKDAY(AD56,AF55))</f>
        <v>46045</v>
      </c>
      <c r="AG56" s="56">
        <f t="shared" ref="AG56" si="2">AE56</f>
        <v>46045</v>
      </c>
      <c r="AH56" s="10">
        <v>46084</v>
      </c>
      <c r="AI56" s="10">
        <f>WORKDAY(IF(AA56="",IF(Z56&gt;AF56,Z56,AF56),IF(AA56&gt;AG56,AA56,AG56)),AI55)</f>
        <v>46084</v>
      </c>
      <c r="AJ56" s="56"/>
      <c r="AK56" s="10">
        <v>46112</v>
      </c>
      <c r="AL56" s="10">
        <f>IF(AJ56="",WORKDAY(AI56,AL55),WORKDAY(AJ56,AL55))</f>
        <v>46112</v>
      </c>
      <c r="AM56" s="10">
        <v>46112</v>
      </c>
      <c r="AN56" s="10">
        <v>46112</v>
      </c>
      <c r="AO56" s="10">
        <v>46112</v>
      </c>
      <c r="AP56" s="10">
        <v>46112</v>
      </c>
      <c r="AQ56" s="10">
        <v>46140</v>
      </c>
      <c r="AR56" s="10">
        <v>46140</v>
      </c>
      <c r="AS56" s="10"/>
      <c r="AT56" s="10">
        <v>46119</v>
      </c>
      <c r="AU56" s="10">
        <v>46119</v>
      </c>
      <c r="AV56" s="56"/>
      <c r="AW56" s="10">
        <v>46154</v>
      </c>
      <c r="AX56" s="10">
        <v>46154</v>
      </c>
      <c r="AY56" s="56"/>
      <c r="AZ56" s="10">
        <v>46154</v>
      </c>
      <c r="BA56" s="10">
        <v>46154</v>
      </c>
      <c r="BB56" s="56"/>
      <c r="BC56" s="10">
        <v>46161</v>
      </c>
      <c r="BD56" s="10">
        <v>46161</v>
      </c>
      <c r="BE56" s="10"/>
      <c r="BF56" s="10">
        <v>46168</v>
      </c>
      <c r="BG56" s="10">
        <v>46168</v>
      </c>
      <c r="BH56" s="56"/>
      <c r="BI56" s="10">
        <v>46175</v>
      </c>
      <c r="BJ56" s="10">
        <v>46175</v>
      </c>
      <c r="BK56" s="56"/>
      <c r="BL56" s="28"/>
      <c r="BM56" s="28"/>
      <c r="BN56" s="28"/>
      <c r="BO56" s="28"/>
      <c r="BP56" s="28"/>
      <c r="BQ56" s="28"/>
      <c r="BR56" s="28"/>
      <c r="BS56" s="28"/>
      <c r="BT56" s="28"/>
      <c r="BU56" s="28"/>
      <c r="BV56" s="28"/>
      <c r="BW56" s="28"/>
      <c r="BX56" s="46"/>
      <c r="BY56" s="28"/>
      <c r="BZ56" s="28"/>
      <c r="CA56" s="28"/>
      <c r="CB56" s="28"/>
      <c r="CC56" s="28"/>
      <c r="CD56" s="28"/>
      <c r="CE56" s="28"/>
      <c r="CF56" s="28"/>
      <c r="CG56" s="28"/>
      <c r="CH56" s="28"/>
      <c r="CI56" s="28"/>
      <c r="CJ56" s="28"/>
      <c r="CK56" s="28"/>
      <c r="CL56" s="28"/>
      <c r="CM56" s="10">
        <v>46178</v>
      </c>
      <c r="CN56" s="10">
        <v>46178</v>
      </c>
      <c r="CO56" s="10">
        <f t="shared" ref="CO56" si="3">CM56</f>
        <v>46178</v>
      </c>
      <c r="CP56" s="10">
        <v>46185</v>
      </c>
      <c r="CQ56" s="10">
        <f>IF(CO56="",WORKDAY(CN56,CQ55),WORKDAY(CO56,CQ55))</f>
        <v>46185</v>
      </c>
      <c r="CR56" s="10">
        <f t="shared" ref="CR56" si="4">WORKDAY(CO56,CR55)</f>
        <v>46178</v>
      </c>
      <c r="CS56" s="77" t="s">
        <v>478</v>
      </c>
      <c r="CT56" s="10">
        <v>46346</v>
      </c>
      <c r="CU56" s="10">
        <f>IF(CR56="",WORKDAY(CQ56,CU55),WORKDAY(CR56,CU55))</f>
        <v>46346</v>
      </c>
      <c r="CV56" s="56">
        <f t="shared" ref="CV56" si="5">CT56</f>
        <v>46346</v>
      </c>
      <c r="CW56" s="10">
        <v>46168</v>
      </c>
      <c r="CX56" s="10">
        <v>46168</v>
      </c>
      <c r="CY56" s="56"/>
      <c r="CZ56" s="10">
        <v>46168</v>
      </c>
      <c r="DA56" s="10">
        <v>46168</v>
      </c>
      <c r="DB56" s="56"/>
      <c r="DC56" s="45"/>
      <c r="DD56" s="45"/>
      <c r="DE56" s="45"/>
      <c r="DF56" s="10">
        <v>46374</v>
      </c>
      <c r="DG56" s="10">
        <f>IF($CV56="",IF($CU56&gt;$DA56,WORKDAY($CU56,DG55),WORKDAY($DA56,DG55)),IF($CV56&gt;$DB56,WORKDAY($CV56,DG55),WORKDAY($DB56,DG55)))</f>
        <v>46374</v>
      </c>
      <c r="DH56" s="56"/>
      <c r="DI56" s="46"/>
      <c r="DJ56" s="10">
        <v>46402</v>
      </c>
      <c r="DK56" s="10">
        <f>IF(DH56="",WORKDAY(DG56,DK55*$DI55),WORKDAY(DH56,DK55*$DI55))</f>
        <v>46402</v>
      </c>
      <c r="DL56" s="56"/>
      <c r="DM56" s="46"/>
      <c r="DN56" s="46"/>
      <c r="DO56" s="46"/>
      <c r="DP56" s="46"/>
      <c r="DQ56" s="46"/>
      <c r="DR56" s="46"/>
      <c r="DS56" s="46"/>
      <c r="DT56" s="46"/>
      <c r="DU56" s="46"/>
      <c r="DV56" s="46"/>
      <c r="DW56" s="46"/>
      <c r="DX56" s="46"/>
      <c r="DY56" s="46"/>
      <c r="DZ56" s="46"/>
      <c r="EA56" s="46"/>
      <c r="EB56" s="46"/>
      <c r="EC56" s="46"/>
      <c r="ED56" s="46"/>
      <c r="EE56" s="10">
        <v>46402</v>
      </c>
      <c r="EF56" s="10">
        <f>IF(DL56="",WORKDAY(DK56,EF55),WORKDAY(DL56,EF55))</f>
        <v>46402</v>
      </c>
      <c r="EG56" s="56"/>
      <c r="EH56" s="10">
        <f>IF(DN56="",WORKDAY(DM56,EH55),WORKDAY(DN56,EH55))</f>
        <v>41</v>
      </c>
      <c r="EI56" s="10">
        <f>IF(DO56="",WORKDAY(DN56,EI55),WORKDAY(DO56,EI55))</f>
        <v>41</v>
      </c>
      <c r="EJ56" s="56"/>
      <c r="EK56" s="27"/>
      <c r="EL56" s="27"/>
      <c r="EM56" s="27"/>
      <c r="EN56" s="27"/>
      <c r="EO56" s="28"/>
      <c r="EP56" s="28"/>
      <c r="EQ56" s="28"/>
      <c r="ER56" s="28"/>
      <c r="ES56" s="28"/>
      <c r="ET56" s="28"/>
      <c r="EU56" s="28"/>
      <c r="EV56" s="28"/>
      <c r="EW56" s="28"/>
      <c r="EX56" s="28"/>
      <c r="EY56" s="28"/>
      <c r="EZ56" s="10">
        <v>46409</v>
      </c>
      <c r="FA56" s="10">
        <f>IF(EG56="",WORKDAY(EF56,FA55),WORKDAY(EG56,FA55))</f>
        <v>46409</v>
      </c>
      <c r="FB56" s="56"/>
      <c r="FC56" s="28"/>
      <c r="FD56" s="28"/>
      <c r="FE56" s="28"/>
      <c r="FF56" s="28"/>
      <c r="FG56" s="28"/>
      <c r="FH56" s="28"/>
      <c r="FI56" s="10">
        <v>46430</v>
      </c>
      <c r="FJ56" s="10">
        <f>IF(FB56="",WORKDAY(FA56,FJ55),WORKDAY(FB56,FJ55))</f>
        <v>46430</v>
      </c>
      <c r="FK56" s="56"/>
      <c r="FL56" s="10">
        <v>46430</v>
      </c>
      <c r="FM56" s="10">
        <f>IF(FK56="",WORKDAY(FJ56,FM55),WORKDAY(FK56,FM55))</f>
        <v>46430</v>
      </c>
      <c r="FN56" s="56"/>
      <c r="FO56" s="10">
        <v>46486</v>
      </c>
      <c r="FP56" s="10">
        <f>WORKDAY(FM56,FP55)</f>
        <v>46486</v>
      </c>
      <c r="FQ56" s="56"/>
      <c r="FR56" s="77" t="str">
        <f>IF(NETWORKDAYS(FJ56,FO56)&gt;=30,"On-Track",IF(AND(NETWORKDAYS(FJ56,FO56)&lt;30,FJ56&lt;=FO56),"At Risk","Missed TCD"))</f>
        <v>On-Track</v>
      </c>
      <c r="FS56" s="110" t="s">
        <v>479</v>
      </c>
      <c r="FT56" s="57">
        <f>NETWORKDAYS(CP56,FI56)</f>
        <v>176</v>
      </c>
      <c r="FU56" s="57">
        <f>NETWORKDAYS(CQ56,FJ56)</f>
        <v>176</v>
      </c>
      <c r="FV56" s="57">
        <f>IF(BH56="",NETWORKDAYS(BG56,FJ56),IF(FK56="",NETWORKDAYS(BH56,FJ56),NETWORKDAYS(BH56,FK56)))</f>
        <v>189</v>
      </c>
      <c r="FW56" s="58" t="s">
        <v>467</v>
      </c>
    </row>
    <row r="57" spans="1:179" s="23" customFormat="1" x14ac:dyDescent="0.35">
      <c r="I57" s="13"/>
      <c r="O57" s="56"/>
      <c r="R57" s="56"/>
      <c r="AG57" s="56"/>
      <c r="AJ57" s="56"/>
      <c r="AM57" s="10"/>
      <c r="AP57" s="10"/>
      <c r="AS57" s="10"/>
      <c r="BE57" s="10"/>
      <c r="CO57" s="10"/>
      <c r="CR57" s="10"/>
      <c r="CV57" s="56"/>
    </row>
  </sheetData>
  <autoFilter ref="A8:KY56" xr:uid="{F4E22136-C518-4089-A549-24027D094DBC}">
    <filterColumn colId="3">
      <colorFilter dxfId="304"/>
    </filterColumn>
  </autoFilter>
  <mergeCells count="70">
    <mergeCell ref="G1:G2"/>
    <mergeCell ref="H1:H2"/>
    <mergeCell ref="I1:CU2"/>
    <mergeCell ref="J3:AA3"/>
    <mergeCell ref="AE3:AG3"/>
    <mergeCell ref="AH3:AP3"/>
    <mergeCell ref="AQ3:BA3"/>
    <mergeCell ref="BC3:BH3"/>
    <mergeCell ref="J4:BE4"/>
    <mergeCell ref="BF4:CL4"/>
    <mergeCell ref="CM4:EY4"/>
    <mergeCell ref="EZ4:FR4"/>
    <mergeCell ref="I5:BH6"/>
    <mergeCell ref="BI5:FK6"/>
    <mergeCell ref="FL5:FR6"/>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AW7:AY7"/>
    <mergeCell ref="AZ7:BB7"/>
    <mergeCell ref="BC7:BE7"/>
    <mergeCell ref="BF7:BH7"/>
    <mergeCell ref="BI7:BK7"/>
    <mergeCell ref="BL7:BN7"/>
    <mergeCell ref="CZ7:DB7"/>
    <mergeCell ref="BR7:BT7"/>
    <mergeCell ref="BU7:BW7"/>
    <mergeCell ref="BX7:BZ7"/>
    <mergeCell ref="CA7:CC7"/>
    <mergeCell ref="CD7:CF7"/>
    <mergeCell ref="CG7:CI7"/>
    <mergeCell ref="CJ7:CL7"/>
    <mergeCell ref="CM7:CO7"/>
    <mergeCell ref="CP7:CS7"/>
    <mergeCell ref="CT7:CV7"/>
    <mergeCell ref="CW7:CY7"/>
    <mergeCell ref="EN7:EP7"/>
    <mergeCell ref="DC7:DE7"/>
    <mergeCell ref="DF7:DH7"/>
    <mergeCell ref="DI7:DL7"/>
    <mergeCell ref="DM7:DO7"/>
    <mergeCell ref="DP7:DR7"/>
    <mergeCell ref="DS7:DV7"/>
    <mergeCell ref="DW7:DZ7"/>
    <mergeCell ref="EA7:ED7"/>
    <mergeCell ref="EE7:EG7"/>
    <mergeCell ref="EH7:EJ7"/>
    <mergeCell ref="EK7:EM7"/>
    <mergeCell ref="FI7:FK7"/>
    <mergeCell ref="FL7:FN7"/>
    <mergeCell ref="FO7:FQ7"/>
    <mergeCell ref="EQ7:ES7"/>
    <mergeCell ref="ET7:EV7"/>
    <mergeCell ref="EW7:EY7"/>
    <mergeCell ref="EZ7:FB7"/>
    <mergeCell ref="FC7:FE7"/>
    <mergeCell ref="FF7:FH7"/>
  </mergeCells>
  <conditionalFormatting sqref="L10 O10 U10 X10 AA10 AG10 AJ10 AV10 AY10 BB10 BH10 BK10 BN10 BQ10 BT10 BW10 BZ10 CC10 CF10 CI10 CL10 CV10 CY10 DB10 DE10 DH10 DL10 DO10 DZ10:EA10 ED10 EJ10 EM10 EP10 ES10 EV10 EY10 FB10 FE10 FH10 FQ10 FK10 EG10 DR10 DV10 I10 AD10 FN10 R10">
    <cfRule type="notContainsBlanks" dxfId="303" priority="276">
      <formula>LEN(TRIM(I10))&gt;0</formula>
    </cfRule>
  </conditionalFormatting>
  <conditionalFormatting sqref="E1:E56 E58:E1048576">
    <cfRule type="cellIs" dxfId="302" priority="271" operator="equal">
      <formula>"Red"</formula>
    </cfRule>
    <cfRule type="cellIs" dxfId="301" priority="272" operator="equal">
      <formula>"Unknown"</formula>
    </cfRule>
    <cfRule type="cellIs" dxfId="300" priority="273" operator="equal">
      <formula>"Covered"</formula>
    </cfRule>
    <cfRule type="cellIs" dxfId="299" priority="274" operator="equal">
      <formula>"Green"</formula>
    </cfRule>
    <cfRule type="cellIs" dxfId="298" priority="275" operator="equal">
      <formula>"Yellow"</formula>
    </cfRule>
  </conditionalFormatting>
  <conditionalFormatting sqref="FR10:FS10">
    <cfRule type="cellIs" dxfId="297" priority="268" operator="equal">
      <formula>"Requires Re-Baseline"</formula>
    </cfRule>
    <cfRule type="cellIs" dxfId="296" priority="269" operator="equal">
      <formula>"On-Track"</formula>
    </cfRule>
    <cfRule type="cellIs" dxfId="295" priority="270" operator="equal">
      <formula>"At Risk"</formula>
    </cfRule>
  </conditionalFormatting>
  <conditionalFormatting sqref="CS10">
    <cfRule type="cellIs" dxfId="294" priority="267" operator="equal">
      <formula>"Execution schedule has been re-baselined w/ FAIR PO Ack ACD. Validate your durations before publishing"</formula>
    </cfRule>
  </conditionalFormatting>
  <conditionalFormatting sqref="L10 O10 U10 X10 AA10 AG10 AJ10 AV10 AY10 BB10 BH10 BK10 BN10 BQ10 BT10 BW10 BZ10 CC10 CF10 CI10 CL10 CV10 CY10 DB10 DE10 DH10 DO10 DZ10:EA10 ED10 EJ10 EM10 EP10 ES10 EV10 EY10 FB10 FE10 FH10 FQ10 FK10 EG10 DR10 DV10 I10 AD10 FN10 DL10 R10">
    <cfRule type="notContainsBlanks" dxfId="293" priority="266">
      <formula>LEN(TRIM(I10))&gt;0</formula>
    </cfRule>
  </conditionalFormatting>
  <conditionalFormatting sqref="E9:E10">
    <cfRule type="cellIs" dxfId="292" priority="261" operator="equal">
      <formula>"Red"</formula>
    </cfRule>
    <cfRule type="cellIs" dxfId="291" priority="262" operator="equal">
      <formula>"Unknown"</formula>
    </cfRule>
    <cfRule type="cellIs" dxfId="290" priority="263" operator="equal">
      <formula>"Covered"</formula>
    </cfRule>
    <cfRule type="cellIs" dxfId="289" priority="264" operator="equal">
      <formula>"Green"</formula>
    </cfRule>
    <cfRule type="cellIs" dxfId="288" priority="265" operator="equal">
      <formula>"Yellow"</formula>
    </cfRule>
  </conditionalFormatting>
  <conditionalFormatting sqref="FR10:FS10">
    <cfRule type="cellIs" dxfId="287" priority="258" operator="equal">
      <formula>"Missed TCD"</formula>
    </cfRule>
    <cfRule type="cellIs" dxfId="286" priority="259" operator="equal">
      <formula>"On-Track"</formula>
    </cfRule>
    <cfRule type="cellIs" dxfId="285" priority="260" operator="equal">
      <formula>"At Risk"</formula>
    </cfRule>
  </conditionalFormatting>
  <conditionalFormatting sqref="CS10">
    <cfRule type="cellIs" dxfId="284" priority="257" operator="equal">
      <formula>"Execution schedule has been re-baselined w/ FAIR PO Ack ACD. Validate your durations before publishing"</formula>
    </cfRule>
  </conditionalFormatting>
  <conditionalFormatting sqref="L12 U12 AV12 AY12 BB12 BH12 BK12 BN12 BQ12 BT12 BW12 BZ12 CC12 CF12 CI12 CL12 CY12 DB12 DE12 DH12 DO12 DZ12:EA12 ED12 EJ12 EM12 EP12 ES12 EV12 EY12 FB12 FE12 FH12 FQ12 FK12 EG12 DR12 DV12 FN12 DL12">
    <cfRule type="notContainsBlanks" dxfId="283" priority="256">
      <formula>LEN(TRIM(L12))&gt;0</formula>
    </cfRule>
  </conditionalFormatting>
  <conditionalFormatting sqref="E11:E12">
    <cfRule type="cellIs" dxfId="282" priority="251" operator="equal">
      <formula>"Red"</formula>
    </cfRule>
    <cfRule type="cellIs" dxfId="281" priority="252" operator="equal">
      <formula>"Unknown"</formula>
    </cfRule>
    <cfRule type="cellIs" dxfId="280" priority="253" operator="equal">
      <formula>"Covered"</formula>
    </cfRule>
    <cfRule type="cellIs" dxfId="279" priority="254" operator="equal">
      <formula>"Green"</formula>
    </cfRule>
    <cfRule type="cellIs" dxfId="278" priority="255" operator="equal">
      <formula>"Yellow"</formula>
    </cfRule>
  </conditionalFormatting>
  <conditionalFormatting sqref="FR12:FS12">
    <cfRule type="cellIs" dxfId="277" priority="248" operator="equal">
      <formula>"Missed TCD"</formula>
    </cfRule>
    <cfRule type="cellIs" dxfId="276" priority="249" operator="equal">
      <formula>"On-Track"</formula>
    </cfRule>
    <cfRule type="cellIs" dxfId="275" priority="250" operator="equal">
      <formula>"At Risk"</formula>
    </cfRule>
  </conditionalFormatting>
  <conditionalFormatting sqref="CS12">
    <cfRule type="cellIs" dxfId="274" priority="247" operator="equal">
      <formula>"Execution schedule has been re-baselined w/ FAIR PO Ack ACD. Validate your durations before publishing"</formula>
    </cfRule>
  </conditionalFormatting>
  <conditionalFormatting sqref="L14 U14 AV14 AY14 BB14 BH14 BK14 BN14 BQ14 BT14 BW14 BZ14 CC14 CF14 CI14 CL14 CY14 DB14 DE14 DH14 DO14 DZ14:EA14 ED14 EJ14 EM14 EP14 ES14 EV14 EY14 FB14 FE14 FH14 FQ14 FK14 EG14 DR14 DV14 FN14 DL14">
    <cfRule type="notContainsBlanks" dxfId="273" priority="246">
      <formula>LEN(TRIM(L14))&gt;0</formula>
    </cfRule>
  </conditionalFormatting>
  <conditionalFormatting sqref="E13:E14">
    <cfRule type="cellIs" dxfId="272" priority="241" operator="equal">
      <formula>"Red"</formula>
    </cfRule>
    <cfRule type="cellIs" dxfId="271" priority="242" operator="equal">
      <formula>"Unknown"</formula>
    </cfRule>
    <cfRule type="cellIs" dxfId="270" priority="243" operator="equal">
      <formula>"Covered"</formula>
    </cfRule>
    <cfRule type="cellIs" dxfId="269" priority="244" operator="equal">
      <formula>"Green"</formula>
    </cfRule>
    <cfRule type="cellIs" dxfId="268" priority="245" operator="equal">
      <formula>"Yellow"</formula>
    </cfRule>
  </conditionalFormatting>
  <conditionalFormatting sqref="FR14:FS14">
    <cfRule type="cellIs" dxfId="267" priority="238" operator="equal">
      <formula>"Missed TCD"</formula>
    </cfRule>
    <cfRule type="cellIs" dxfId="266" priority="239" operator="equal">
      <formula>"On-Track"</formula>
    </cfRule>
    <cfRule type="cellIs" dxfId="265" priority="240" operator="equal">
      <formula>"At Risk"</formula>
    </cfRule>
  </conditionalFormatting>
  <conditionalFormatting sqref="CS14">
    <cfRule type="cellIs" dxfId="264" priority="237" operator="equal">
      <formula>"Execution schedule has been re-baselined w/ FAIR PO Ack ACD. Validate your durations before publishing"</formula>
    </cfRule>
  </conditionalFormatting>
  <conditionalFormatting sqref="L16 U16 AV16 AY16 BB16 BH16 BK16 BN16 BQ16 BT16 BW16 BZ16 CC16 CF16 CI16 CL16 CY16 DB16 DE16 DH16 DO16 DZ16:EA16 ED16 EJ16 EM16 EP16 ES16 EV16 EY16 FB16 FE16 FH16 FQ16 FK16 EG16 DR16 DV16 FN16 DL16">
    <cfRule type="notContainsBlanks" dxfId="263" priority="236">
      <formula>LEN(TRIM(L16))&gt;0</formula>
    </cfRule>
  </conditionalFormatting>
  <conditionalFormatting sqref="E15:E16">
    <cfRule type="cellIs" dxfId="262" priority="231" operator="equal">
      <formula>"Red"</formula>
    </cfRule>
    <cfRule type="cellIs" dxfId="261" priority="232" operator="equal">
      <formula>"Unknown"</formula>
    </cfRule>
    <cfRule type="cellIs" dxfId="260" priority="233" operator="equal">
      <formula>"Covered"</formula>
    </cfRule>
    <cfRule type="cellIs" dxfId="259" priority="234" operator="equal">
      <formula>"Green"</formula>
    </cfRule>
    <cfRule type="cellIs" dxfId="258" priority="235" operator="equal">
      <formula>"Yellow"</formula>
    </cfRule>
  </conditionalFormatting>
  <conditionalFormatting sqref="FR16:FS16">
    <cfRule type="cellIs" dxfId="257" priority="228" operator="equal">
      <formula>"Missed TCD"</formula>
    </cfRule>
    <cfRule type="cellIs" dxfId="256" priority="229" operator="equal">
      <formula>"On-Track"</formula>
    </cfRule>
    <cfRule type="cellIs" dxfId="255" priority="230" operator="equal">
      <formula>"At Risk"</formula>
    </cfRule>
  </conditionalFormatting>
  <conditionalFormatting sqref="CS16">
    <cfRule type="cellIs" dxfId="254" priority="227" operator="equal">
      <formula>"Execution schedule has been re-baselined w/ FAIR PO Ack ACD. Validate your durations before publishing"</formula>
    </cfRule>
  </conditionalFormatting>
  <conditionalFormatting sqref="L18 U18 AV18 AY18 BB18 BH18 BK18 BN18 BQ18 BT18 BW18 BZ18 CC18 CF18 CI18 CL18 CY18 DB18 DE18 DH18 DO18 DZ18:EA18 ED18 EJ18 EM18 EP18 ES18 EV18 EY18 FB18 FE18 FH18 FQ18 FK18 EG18 DR18 DV18 FN18 DL18">
    <cfRule type="notContainsBlanks" dxfId="253" priority="226">
      <formula>LEN(TRIM(L18))&gt;0</formula>
    </cfRule>
  </conditionalFormatting>
  <conditionalFormatting sqref="E17:E18">
    <cfRule type="cellIs" dxfId="252" priority="221" operator="equal">
      <formula>"Red"</formula>
    </cfRule>
    <cfRule type="cellIs" dxfId="251" priority="222" operator="equal">
      <formula>"Unknown"</formula>
    </cfRule>
    <cfRule type="cellIs" dxfId="250" priority="223" operator="equal">
      <formula>"Covered"</formula>
    </cfRule>
    <cfRule type="cellIs" dxfId="249" priority="224" operator="equal">
      <formula>"Green"</formula>
    </cfRule>
    <cfRule type="cellIs" dxfId="248" priority="225" operator="equal">
      <formula>"Yellow"</formula>
    </cfRule>
  </conditionalFormatting>
  <conditionalFormatting sqref="FR18:FS18">
    <cfRule type="cellIs" dxfId="247" priority="218" operator="equal">
      <formula>"Missed TCD"</formula>
    </cfRule>
    <cfRule type="cellIs" dxfId="246" priority="219" operator="equal">
      <formula>"On-Track"</formula>
    </cfRule>
    <cfRule type="cellIs" dxfId="245" priority="220" operator="equal">
      <formula>"At Risk"</formula>
    </cfRule>
  </conditionalFormatting>
  <conditionalFormatting sqref="CS18">
    <cfRule type="cellIs" dxfId="244" priority="217" operator="equal">
      <formula>"Execution schedule has been re-baselined w/ FAIR PO Ack ACD. Validate your durations before publishing"</formula>
    </cfRule>
  </conditionalFormatting>
  <conditionalFormatting sqref="L20 U20 AV20 AY20 BB20 BH20 BK20 BN20 BQ20 BT20 BW20 BZ20 CC20 CF20 CI20 CL20 CY20 DB20 DE20 DH20 DO20 DZ20:EA20 ED20 EJ20 EM20 EP20 ES20 EV20 EY20 FB20 FE20 FH20 FQ20 FK20 EG20 DR20 DV20 FN20 DL20">
    <cfRule type="notContainsBlanks" dxfId="243" priority="216">
      <formula>LEN(TRIM(L20))&gt;0</formula>
    </cfRule>
  </conditionalFormatting>
  <conditionalFormatting sqref="E19:E20">
    <cfRule type="cellIs" dxfId="242" priority="211" operator="equal">
      <formula>"Red"</formula>
    </cfRule>
    <cfRule type="cellIs" dxfId="241" priority="212" operator="equal">
      <formula>"Unknown"</formula>
    </cfRule>
    <cfRule type="cellIs" dxfId="240" priority="213" operator="equal">
      <formula>"Covered"</formula>
    </cfRule>
    <cfRule type="cellIs" dxfId="239" priority="214" operator="equal">
      <formula>"Green"</formula>
    </cfRule>
    <cfRule type="cellIs" dxfId="238" priority="215" operator="equal">
      <formula>"Yellow"</formula>
    </cfRule>
  </conditionalFormatting>
  <conditionalFormatting sqref="FR20:FS20">
    <cfRule type="cellIs" dxfId="237" priority="208" operator="equal">
      <formula>"Missed TCD"</formula>
    </cfRule>
    <cfRule type="cellIs" dxfId="236" priority="209" operator="equal">
      <formula>"On-Track"</formula>
    </cfRule>
    <cfRule type="cellIs" dxfId="235" priority="210" operator="equal">
      <formula>"At Risk"</formula>
    </cfRule>
  </conditionalFormatting>
  <conditionalFormatting sqref="CS20">
    <cfRule type="cellIs" dxfId="234" priority="207" operator="equal">
      <formula>"Execution schedule has been re-baselined w/ FAIR PO Ack ACD. Validate your durations before publishing"</formula>
    </cfRule>
  </conditionalFormatting>
  <conditionalFormatting sqref="L22 U22 AV22 AY22 BB22 BH22 BK22 BN22 BQ22 BT22 BW22 BZ22 CC22 CF22 CI22 CL22 CY22 DB22 DE22 DH22 DO22 DZ22:EA22 ED22 EJ22 EM22 EP22 ES22 EV22 EY22 FB22 FE22 FH22 FQ22 FK22 EG22 DR22 DV22 FN22 DL22">
    <cfRule type="notContainsBlanks" dxfId="233" priority="206">
      <formula>LEN(TRIM(L22))&gt;0</formula>
    </cfRule>
  </conditionalFormatting>
  <conditionalFormatting sqref="E21:E22">
    <cfRule type="cellIs" dxfId="232" priority="201" operator="equal">
      <formula>"Red"</formula>
    </cfRule>
    <cfRule type="cellIs" dxfId="231" priority="202" operator="equal">
      <formula>"Unknown"</formula>
    </cfRule>
    <cfRule type="cellIs" dxfId="230" priority="203" operator="equal">
      <formula>"Covered"</formula>
    </cfRule>
    <cfRule type="cellIs" dxfId="229" priority="204" operator="equal">
      <formula>"Green"</formula>
    </cfRule>
    <cfRule type="cellIs" dxfId="228" priority="205" operator="equal">
      <formula>"Yellow"</formula>
    </cfRule>
  </conditionalFormatting>
  <conditionalFormatting sqref="FR22:FS22">
    <cfRule type="cellIs" dxfId="227" priority="198" operator="equal">
      <formula>"Missed TCD"</formula>
    </cfRule>
    <cfRule type="cellIs" dxfId="226" priority="199" operator="equal">
      <formula>"On-Track"</formula>
    </cfRule>
    <cfRule type="cellIs" dxfId="225" priority="200" operator="equal">
      <formula>"At Risk"</formula>
    </cfRule>
  </conditionalFormatting>
  <conditionalFormatting sqref="CS22">
    <cfRule type="cellIs" dxfId="224" priority="197" operator="equal">
      <formula>"Execution schedule has been re-baselined w/ FAIR PO Ack ACD. Validate your durations before publishing"</formula>
    </cfRule>
  </conditionalFormatting>
  <conditionalFormatting sqref="L24 U24 AV24 AY24 BB24 BH24 BK24 BN24 BQ24 BT24 BW24 BZ24 CC24 CF24 CI24 CL24 CY24 DB24 DE24 DH24 DO24 DZ24:EA24 ED24 EJ24 EM24 EP24 ES24 EV24 EY24 FB24 FE24 FH24 FQ24 FK24 EG24 DR24 DV24 FN24 DL24">
    <cfRule type="notContainsBlanks" dxfId="223" priority="196">
      <formula>LEN(TRIM(L24))&gt;0</formula>
    </cfRule>
  </conditionalFormatting>
  <conditionalFormatting sqref="E23:E24">
    <cfRule type="cellIs" dxfId="222" priority="191" operator="equal">
      <formula>"Red"</formula>
    </cfRule>
    <cfRule type="cellIs" dxfId="221" priority="192" operator="equal">
      <formula>"Unknown"</formula>
    </cfRule>
    <cfRule type="cellIs" dxfId="220" priority="193" operator="equal">
      <formula>"Covered"</formula>
    </cfRule>
    <cfRule type="cellIs" dxfId="219" priority="194" operator="equal">
      <formula>"Green"</formula>
    </cfRule>
    <cfRule type="cellIs" dxfId="218" priority="195" operator="equal">
      <formula>"Yellow"</formula>
    </cfRule>
  </conditionalFormatting>
  <conditionalFormatting sqref="FR24:FS24">
    <cfRule type="cellIs" dxfId="217" priority="188" operator="equal">
      <formula>"Missed TCD"</formula>
    </cfRule>
    <cfRule type="cellIs" dxfId="216" priority="189" operator="equal">
      <formula>"On-Track"</formula>
    </cfRule>
    <cfRule type="cellIs" dxfId="215" priority="190" operator="equal">
      <formula>"At Risk"</formula>
    </cfRule>
  </conditionalFormatting>
  <conditionalFormatting sqref="CS24">
    <cfRule type="cellIs" dxfId="214" priority="187" operator="equal">
      <formula>"Execution schedule has been re-baselined w/ FAIR PO Ack ACD. Validate your durations before publishing"</formula>
    </cfRule>
  </conditionalFormatting>
  <conditionalFormatting sqref="L26 U26 AV26 AY26 BB26 BH26 BK26 BN26 BQ26 BT26 BW26 BZ26 CC26 CF26 CI26 CL26 CY26 DB26 DE26 DH26 DO26 DZ26:EA26 ED26 EJ26 EM26 EP26 ES26 EV26 EY26 FB26 FE26 FH26 FQ26 FK26 EG26 DR26 DV26 FN26 DL26">
    <cfRule type="notContainsBlanks" dxfId="213" priority="186">
      <formula>LEN(TRIM(L26))&gt;0</formula>
    </cfRule>
  </conditionalFormatting>
  <conditionalFormatting sqref="E25:E26">
    <cfRule type="cellIs" dxfId="212" priority="181" operator="equal">
      <formula>"Red"</formula>
    </cfRule>
    <cfRule type="cellIs" dxfId="211" priority="182" operator="equal">
      <formula>"Unknown"</formula>
    </cfRule>
    <cfRule type="cellIs" dxfId="210" priority="183" operator="equal">
      <formula>"Covered"</formula>
    </cfRule>
    <cfRule type="cellIs" dxfId="209" priority="184" operator="equal">
      <formula>"Green"</formula>
    </cfRule>
    <cfRule type="cellIs" dxfId="208" priority="185" operator="equal">
      <formula>"Yellow"</formula>
    </cfRule>
  </conditionalFormatting>
  <conditionalFormatting sqref="FR26:FS26">
    <cfRule type="cellIs" dxfId="207" priority="178" operator="equal">
      <formula>"Missed TCD"</formula>
    </cfRule>
    <cfRule type="cellIs" dxfId="206" priority="179" operator="equal">
      <formula>"On-Track"</formula>
    </cfRule>
    <cfRule type="cellIs" dxfId="205" priority="180" operator="equal">
      <formula>"At Risk"</formula>
    </cfRule>
  </conditionalFormatting>
  <conditionalFormatting sqref="CS26">
    <cfRule type="cellIs" dxfId="204" priority="177" operator="equal">
      <formula>"Execution schedule has been re-baselined w/ FAIR PO Ack ACD. Validate your durations before publishing"</formula>
    </cfRule>
  </conditionalFormatting>
  <conditionalFormatting sqref="L28 U28 AV28 AY28 BB28 BH28 BK28 BN28 BQ28 BT28 BW28 BZ28 CC28 CF28 CI28 CL28 CY28 DB28 DE28 DH28 DO28 DZ28:EA28 ED28 EJ28 EM28 EP28 ES28 EV28 EY28 FB28 FE28 FH28 FQ28 FK28 EG28 DR28 DV28 FN28 DL28">
    <cfRule type="notContainsBlanks" dxfId="203" priority="176">
      <formula>LEN(TRIM(L28))&gt;0</formula>
    </cfRule>
  </conditionalFormatting>
  <conditionalFormatting sqref="E27:E28">
    <cfRule type="cellIs" dxfId="202" priority="171" operator="equal">
      <formula>"Red"</formula>
    </cfRule>
    <cfRule type="cellIs" dxfId="201" priority="172" operator="equal">
      <formula>"Unknown"</formula>
    </cfRule>
    <cfRule type="cellIs" dxfId="200" priority="173" operator="equal">
      <formula>"Covered"</formula>
    </cfRule>
    <cfRule type="cellIs" dxfId="199" priority="174" operator="equal">
      <formula>"Green"</formula>
    </cfRule>
    <cfRule type="cellIs" dxfId="198" priority="175" operator="equal">
      <formula>"Yellow"</formula>
    </cfRule>
  </conditionalFormatting>
  <conditionalFormatting sqref="FR28:FS28">
    <cfRule type="cellIs" dxfId="197" priority="168" operator="equal">
      <formula>"Missed TCD"</formula>
    </cfRule>
    <cfRule type="cellIs" dxfId="196" priority="169" operator="equal">
      <formula>"On-Track"</formula>
    </cfRule>
    <cfRule type="cellIs" dxfId="195" priority="170" operator="equal">
      <formula>"At Risk"</formula>
    </cfRule>
  </conditionalFormatting>
  <conditionalFormatting sqref="CS28">
    <cfRule type="cellIs" dxfId="194" priority="167" operator="equal">
      <formula>"Execution schedule has been re-baselined w/ FAIR PO Ack ACD. Validate your durations before publishing"</formula>
    </cfRule>
  </conditionalFormatting>
  <conditionalFormatting sqref="L30 U30 AV30 AY30 BB30 BH30 BK30 BN30 BQ30 BT30 BW30 BZ30 CC30 CF30 CI30 CL30 CY30 DB30 DE30 DH30 DO30 DZ30:EA30 ED30 EJ30 EM30 EP30 ES30 EV30 EY30 FB30 FE30 FH30 FQ30 FK30 EG30 DR30 DV30 FN30 DL30">
    <cfRule type="notContainsBlanks" dxfId="193" priority="166">
      <formula>LEN(TRIM(L30))&gt;0</formula>
    </cfRule>
  </conditionalFormatting>
  <conditionalFormatting sqref="E29:E30">
    <cfRule type="cellIs" dxfId="192" priority="161" operator="equal">
      <formula>"Red"</formula>
    </cfRule>
    <cfRule type="cellIs" dxfId="191" priority="162" operator="equal">
      <formula>"Unknown"</formula>
    </cfRule>
    <cfRule type="cellIs" dxfId="190" priority="163" operator="equal">
      <formula>"Covered"</formula>
    </cfRule>
    <cfRule type="cellIs" dxfId="189" priority="164" operator="equal">
      <formula>"Green"</formula>
    </cfRule>
    <cfRule type="cellIs" dxfId="188" priority="165" operator="equal">
      <formula>"Yellow"</formula>
    </cfRule>
  </conditionalFormatting>
  <conditionalFormatting sqref="FR30:FS30">
    <cfRule type="cellIs" dxfId="187" priority="158" operator="equal">
      <formula>"Missed TCD"</formula>
    </cfRule>
    <cfRule type="cellIs" dxfId="186" priority="159" operator="equal">
      <formula>"On-Track"</formula>
    </cfRule>
    <cfRule type="cellIs" dxfId="185" priority="160" operator="equal">
      <formula>"At Risk"</formula>
    </cfRule>
  </conditionalFormatting>
  <conditionalFormatting sqref="CS30">
    <cfRule type="cellIs" dxfId="184" priority="157" operator="equal">
      <formula>"Execution schedule has been re-baselined w/ FAIR PO Ack ACD. Validate your durations before publishing"</formula>
    </cfRule>
  </conditionalFormatting>
  <conditionalFormatting sqref="L32 U32 AV32 AY32 BB32 BH32 BK32 BN32 BQ32 BT32 BW32 BZ32 CC32 CF32 CI32 CL32 CY32 DB32 DE32 DH32 DO32 DZ32:EA32 ED32 EJ32 EM32 EP32 ES32 EV32 EY32 FB32 FE32 FH32 FQ32 FK32 EG32 DR32 DV32 FN32 DL32">
    <cfRule type="notContainsBlanks" dxfId="183" priority="156">
      <formula>LEN(TRIM(L32))&gt;0</formula>
    </cfRule>
  </conditionalFormatting>
  <conditionalFormatting sqref="E31:E32">
    <cfRule type="cellIs" dxfId="182" priority="151" operator="equal">
      <formula>"Red"</formula>
    </cfRule>
    <cfRule type="cellIs" dxfId="181" priority="152" operator="equal">
      <formula>"Unknown"</formula>
    </cfRule>
    <cfRule type="cellIs" dxfId="180" priority="153" operator="equal">
      <formula>"Covered"</formula>
    </cfRule>
    <cfRule type="cellIs" dxfId="179" priority="154" operator="equal">
      <formula>"Green"</formula>
    </cfRule>
    <cfRule type="cellIs" dxfId="178" priority="155" operator="equal">
      <formula>"Yellow"</formula>
    </cfRule>
  </conditionalFormatting>
  <conditionalFormatting sqref="FR32:FS32">
    <cfRule type="cellIs" dxfId="177" priority="148" operator="equal">
      <formula>"Missed TCD"</formula>
    </cfRule>
    <cfRule type="cellIs" dxfId="176" priority="149" operator="equal">
      <formula>"On-Track"</formula>
    </cfRule>
    <cfRule type="cellIs" dxfId="175" priority="150" operator="equal">
      <formula>"At Risk"</formula>
    </cfRule>
  </conditionalFormatting>
  <conditionalFormatting sqref="CS32">
    <cfRule type="cellIs" dxfId="174" priority="147" operator="equal">
      <formula>"Execution schedule has been re-baselined w/ FAIR PO Ack ACD. Validate your durations before publishing"</formula>
    </cfRule>
  </conditionalFormatting>
  <conditionalFormatting sqref="L34 U34 AV34 AY34 BB34 BH34 BK34 BN34 BQ34 BT34 BW34 BZ34 CC34 CF34 CI34 CL34 CY34 DB34 DE34 DH34 DO34 DZ34:EA34 ED34 EJ34 EM34 EP34 ES34 EV34 EY34 FB34 FE34 FH34 FQ34 FK34 EG34 DR34 DV34 FN34 DL34">
    <cfRule type="notContainsBlanks" dxfId="173" priority="146">
      <formula>LEN(TRIM(L34))&gt;0</formula>
    </cfRule>
  </conditionalFormatting>
  <conditionalFormatting sqref="E33:E34">
    <cfRule type="cellIs" dxfId="172" priority="141" operator="equal">
      <formula>"Red"</formula>
    </cfRule>
    <cfRule type="cellIs" dxfId="171" priority="142" operator="equal">
      <formula>"Unknown"</formula>
    </cfRule>
    <cfRule type="cellIs" dxfId="170" priority="143" operator="equal">
      <formula>"Covered"</formula>
    </cfRule>
    <cfRule type="cellIs" dxfId="169" priority="144" operator="equal">
      <formula>"Green"</formula>
    </cfRule>
    <cfRule type="cellIs" dxfId="168" priority="145" operator="equal">
      <formula>"Yellow"</formula>
    </cfRule>
  </conditionalFormatting>
  <conditionalFormatting sqref="FR34:FS34">
    <cfRule type="cellIs" dxfId="167" priority="138" operator="equal">
      <formula>"Missed TCD"</formula>
    </cfRule>
    <cfRule type="cellIs" dxfId="166" priority="139" operator="equal">
      <formula>"On-Track"</formula>
    </cfRule>
    <cfRule type="cellIs" dxfId="165" priority="140" operator="equal">
      <formula>"At Risk"</formula>
    </cfRule>
  </conditionalFormatting>
  <conditionalFormatting sqref="CS34">
    <cfRule type="cellIs" dxfId="164" priority="137" operator="equal">
      <formula>"Execution schedule has been re-baselined w/ FAIR PO Ack ACD. Validate your durations before publishing"</formula>
    </cfRule>
  </conditionalFormatting>
  <conditionalFormatting sqref="L36 U36 AV36 AY36 BB36 BH36 BK36 BN36 BQ36 BT36 BW36 BZ36 CC36 CF36 CI36 CL36 CY36 DB36 DE36 DH36 DO36 DZ36:EA36 ED36 EJ36 EM36 EP36 ES36 EV36 EY36 FB36 FE36 FH36 FQ36 FK36 EG36 DR36 DV36 FN36 DL36">
    <cfRule type="notContainsBlanks" dxfId="163" priority="136">
      <formula>LEN(TRIM(L36))&gt;0</formula>
    </cfRule>
  </conditionalFormatting>
  <conditionalFormatting sqref="E35:E36">
    <cfRule type="cellIs" dxfId="162" priority="131" operator="equal">
      <formula>"Red"</formula>
    </cfRule>
    <cfRule type="cellIs" dxfId="161" priority="132" operator="equal">
      <formula>"Unknown"</formula>
    </cfRule>
    <cfRule type="cellIs" dxfId="160" priority="133" operator="equal">
      <formula>"Covered"</formula>
    </cfRule>
    <cfRule type="cellIs" dxfId="159" priority="134" operator="equal">
      <formula>"Green"</formula>
    </cfRule>
    <cfRule type="cellIs" dxfId="158" priority="135" operator="equal">
      <formula>"Yellow"</formula>
    </cfRule>
  </conditionalFormatting>
  <conditionalFormatting sqref="FR36:FS36">
    <cfRule type="cellIs" dxfId="157" priority="128" operator="equal">
      <formula>"Missed TCD"</formula>
    </cfRule>
    <cfRule type="cellIs" dxfId="156" priority="129" operator="equal">
      <formula>"On-Track"</formula>
    </cfRule>
    <cfRule type="cellIs" dxfId="155" priority="130" operator="equal">
      <formula>"At Risk"</formula>
    </cfRule>
  </conditionalFormatting>
  <conditionalFormatting sqref="CS36">
    <cfRule type="cellIs" dxfId="154" priority="127" operator="equal">
      <formula>"Execution schedule has been re-baselined w/ FAIR PO Ack ACD. Validate your durations before publishing"</formula>
    </cfRule>
  </conditionalFormatting>
  <conditionalFormatting sqref="L38 U38 AV38 AY38 BB38 BH38 BK38 BN38 BQ38 BT38 BW38 BZ38 CC38 CF38 CI38 CL38 CY38 DB38 DE38 DH38 DO38 DZ38:EA38 ED38 EJ38 EM38 EP38 ES38 EV38 EY38 FB38 FE38 FH38 FQ38 FK38 EG38 DR38 DV38 FN38 DL38">
    <cfRule type="notContainsBlanks" dxfId="153" priority="126">
      <formula>LEN(TRIM(L38))&gt;0</formula>
    </cfRule>
  </conditionalFormatting>
  <conditionalFormatting sqref="E37:E38">
    <cfRule type="cellIs" dxfId="152" priority="121" operator="equal">
      <formula>"Red"</formula>
    </cfRule>
    <cfRule type="cellIs" dxfId="151" priority="122" operator="equal">
      <formula>"Unknown"</formula>
    </cfRule>
    <cfRule type="cellIs" dxfId="150" priority="123" operator="equal">
      <formula>"Covered"</formula>
    </cfRule>
    <cfRule type="cellIs" dxfId="149" priority="124" operator="equal">
      <formula>"Green"</formula>
    </cfRule>
    <cfRule type="cellIs" dxfId="148" priority="125" operator="equal">
      <formula>"Yellow"</formula>
    </cfRule>
  </conditionalFormatting>
  <conditionalFormatting sqref="FR38:FS38">
    <cfRule type="cellIs" dxfId="147" priority="118" operator="equal">
      <formula>"Missed TCD"</formula>
    </cfRule>
    <cfRule type="cellIs" dxfId="146" priority="119" operator="equal">
      <formula>"On-Track"</formula>
    </cfRule>
    <cfRule type="cellIs" dxfId="145" priority="120" operator="equal">
      <formula>"At Risk"</formula>
    </cfRule>
  </conditionalFormatting>
  <conditionalFormatting sqref="CS38">
    <cfRule type="cellIs" dxfId="144" priority="117" operator="equal">
      <formula>"Execution schedule has been re-baselined w/ FAIR PO Ack ACD. Validate your durations before publishing"</formula>
    </cfRule>
  </conditionalFormatting>
  <conditionalFormatting sqref="L40 U40 AV40 AY40 BB40 BH40 BK40 BN40 BQ40 BT40 BW40 BZ40 CC40 CF40 CI40 CL40 CY40 DB40 DE40 DH40 DO40 DZ40:EA40 ED40 EJ40 EM40 EP40 ES40 EV40 EY40 FB40 FE40 FH40 FQ40 FK40 EG40 DR40 DV40 FN40 DL40">
    <cfRule type="notContainsBlanks" dxfId="143" priority="116">
      <formula>LEN(TRIM(L40))&gt;0</formula>
    </cfRule>
  </conditionalFormatting>
  <conditionalFormatting sqref="E39:E40">
    <cfRule type="cellIs" dxfId="142" priority="111" operator="equal">
      <formula>"Red"</formula>
    </cfRule>
    <cfRule type="cellIs" dxfId="141" priority="112" operator="equal">
      <formula>"Unknown"</formula>
    </cfRule>
    <cfRule type="cellIs" dxfId="140" priority="113" operator="equal">
      <formula>"Covered"</formula>
    </cfRule>
    <cfRule type="cellIs" dxfId="139" priority="114" operator="equal">
      <formula>"Green"</formula>
    </cfRule>
    <cfRule type="cellIs" dxfId="138" priority="115" operator="equal">
      <formula>"Yellow"</formula>
    </cfRule>
  </conditionalFormatting>
  <conditionalFormatting sqref="FR40:FS40">
    <cfRule type="cellIs" dxfId="137" priority="108" operator="equal">
      <formula>"Missed TCD"</formula>
    </cfRule>
    <cfRule type="cellIs" dxfId="136" priority="109" operator="equal">
      <formula>"On-Track"</formula>
    </cfRule>
    <cfRule type="cellIs" dxfId="135" priority="110" operator="equal">
      <formula>"At Risk"</formula>
    </cfRule>
  </conditionalFormatting>
  <conditionalFormatting sqref="CS40">
    <cfRule type="cellIs" dxfId="134" priority="107" operator="equal">
      <formula>"Execution schedule has been re-baselined w/ FAIR PO Ack ACD. Validate your durations before publishing"</formula>
    </cfRule>
  </conditionalFormatting>
  <conditionalFormatting sqref="L42 U42 AV42 AY42 BB42 BH42 BK42 BN42 BQ42 BT42 BW42 BZ42 CC42 CF42 CI42 CL42 CY42 DB42 DE42 DH42 DO42 DZ42:EA42 ED42 EJ42 EM42 EP42 ES42 EV42 EY42 FB42 FE42 FH42 FQ42 FK42 EG42 DR42 DV42 FN42 DL42">
    <cfRule type="notContainsBlanks" dxfId="133" priority="106">
      <formula>LEN(TRIM(L42))&gt;0</formula>
    </cfRule>
  </conditionalFormatting>
  <conditionalFormatting sqref="E41:E42">
    <cfRule type="cellIs" dxfId="132" priority="101" operator="equal">
      <formula>"Red"</formula>
    </cfRule>
    <cfRule type="cellIs" dxfId="131" priority="102" operator="equal">
      <formula>"Unknown"</formula>
    </cfRule>
    <cfRule type="cellIs" dxfId="130" priority="103" operator="equal">
      <formula>"Covered"</formula>
    </cfRule>
    <cfRule type="cellIs" dxfId="129" priority="104" operator="equal">
      <formula>"Green"</formula>
    </cfRule>
    <cfRule type="cellIs" dxfId="128" priority="105" operator="equal">
      <formula>"Yellow"</formula>
    </cfRule>
  </conditionalFormatting>
  <conditionalFormatting sqref="FR42:FS42">
    <cfRule type="cellIs" dxfId="127" priority="98" operator="equal">
      <formula>"Missed TCD"</formula>
    </cfRule>
    <cfRule type="cellIs" dxfId="126" priority="99" operator="equal">
      <formula>"On-Track"</formula>
    </cfRule>
    <cfRule type="cellIs" dxfId="125" priority="100" operator="equal">
      <formula>"At Risk"</formula>
    </cfRule>
  </conditionalFormatting>
  <conditionalFormatting sqref="CS42">
    <cfRule type="cellIs" dxfId="124" priority="97" operator="equal">
      <formula>"Execution schedule has been re-baselined w/ FAIR PO Ack ACD. Validate your durations before publishing"</formula>
    </cfRule>
  </conditionalFormatting>
  <conditionalFormatting sqref="L44 U44 AV44 AY44 BB44 BH44 BK44 BN44 BQ44 BT44 BW44 BZ44 CC44 CF44 CI44 CL44 CY44 DB44 DE44 DH44 DO44 DZ44:EA44 ED44 EJ44 EM44 EP44 ES44 EV44 EY44 FB44 FE44 FH44 FQ44 FK44 EG44 DR44 DV44 FN44 DL44">
    <cfRule type="notContainsBlanks" dxfId="123" priority="96">
      <formula>LEN(TRIM(L44))&gt;0</formula>
    </cfRule>
  </conditionalFormatting>
  <conditionalFormatting sqref="E43:E44">
    <cfRule type="cellIs" dxfId="122" priority="91" operator="equal">
      <formula>"Red"</formula>
    </cfRule>
    <cfRule type="cellIs" dxfId="121" priority="92" operator="equal">
      <formula>"Unknown"</formula>
    </cfRule>
    <cfRule type="cellIs" dxfId="120" priority="93" operator="equal">
      <formula>"Covered"</formula>
    </cfRule>
    <cfRule type="cellIs" dxfId="119" priority="94" operator="equal">
      <formula>"Green"</formula>
    </cfRule>
    <cfRule type="cellIs" dxfId="118" priority="95" operator="equal">
      <formula>"Yellow"</formula>
    </cfRule>
  </conditionalFormatting>
  <conditionalFormatting sqref="FR44:FS44">
    <cfRule type="cellIs" dxfId="117" priority="88" operator="equal">
      <formula>"Missed TCD"</formula>
    </cfRule>
    <cfRule type="cellIs" dxfId="116" priority="89" operator="equal">
      <formula>"On-Track"</formula>
    </cfRule>
    <cfRule type="cellIs" dxfId="115" priority="90" operator="equal">
      <formula>"At Risk"</formula>
    </cfRule>
  </conditionalFormatting>
  <conditionalFormatting sqref="CS44">
    <cfRule type="cellIs" dxfId="114" priority="87" operator="equal">
      <formula>"Execution schedule has been re-baselined w/ FAIR PO Ack ACD. Validate your durations before publishing"</formula>
    </cfRule>
  </conditionalFormatting>
  <conditionalFormatting sqref="L46 U46 AV46 AY46 BB46 BH46 BK46 BN46 BQ46 BT46 BW46 BZ46 CC46 CF46 CI46 CL46 CY46 DB46 DE46 DH46 DO46 DZ46:EA46 ED46 EJ46 EM46 EP46 ES46 EV46 EY46 FB46 FE46 FH46 FQ46 FK46 EG46 DR46 DV46 FN46 DL46">
    <cfRule type="notContainsBlanks" dxfId="113" priority="86">
      <formula>LEN(TRIM(L46))&gt;0</formula>
    </cfRule>
  </conditionalFormatting>
  <conditionalFormatting sqref="E45:E46">
    <cfRule type="cellIs" dxfId="112" priority="81" operator="equal">
      <formula>"Red"</formula>
    </cfRule>
    <cfRule type="cellIs" dxfId="111" priority="82" operator="equal">
      <formula>"Unknown"</formula>
    </cfRule>
    <cfRule type="cellIs" dxfId="110" priority="83" operator="equal">
      <formula>"Covered"</formula>
    </cfRule>
    <cfRule type="cellIs" dxfId="109" priority="84" operator="equal">
      <formula>"Green"</formula>
    </cfRule>
    <cfRule type="cellIs" dxfId="108" priority="85" operator="equal">
      <formula>"Yellow"</formula>
    </cfRule>
  </conditionalFormatting>
  <conditionalFormatting sqref="FR46:FS46">
    <cfRule type="cellIs" dxfId="107" priority="78" operator="equal">
      <formula>"Missed TCD"</formula>
    </cfRule>
    <cfRule type="cellIs" dxfId="106" priority="79" operator="equal">
      <formula>"On-Track"</formula>
    </cfRule>
    <cfRule type="cellIs" dxfId="105" priority="80" operator="equal">
      <formula>"At Risk"</formula>
    </cfRule>
  </conditionalFormatting>
  <conditionalFormatting sqref="CS46">
    <cfRule type="cellIs" dxfId="104" priority="77" operator="equal">
      <formula>"Execution schedule has been re-baselined w/ FAIR PO Ack ACD. Validate your durations before publishing"</formula>
    </cfRule>
  </conditionalFormatting>
  <conditionalFormatting sqref="L48 U48 AV48 AY48 BB48 BH48 BK48 BN48 BQ48 BT48 BW48 BZ48 CC48 CF48 CI48 CL48 CY48 DB48 DE48 DH48 DO48 DZ48:EA48 ED48 EJ48 EM48 EP48 ES48 EV48 EY48 FB48 FE48 FH48 FQ48 FK48 EG48 DR48 DV48 FN48 DL48">
    <cfRule type="notContainsBlanks" dxfId="103" priority="76">
      <formula>LEN(TRIM(L48))&gt;0</formula>
    </cfRule>
  </conditionalFormatting>
  <conditionalFormatting sqref="E47:E48">
    <cfRule type="cellIs" dxfId="102" priority="71" operator="equal">
      <formula>"Red"</formula>
    </cfRule>
    <cfRule type="cellIs" dxfId="101" priority="72" operator="equal">
      <formula>"Unknown"</formula>
    </cfRule>
    <cfRule type="cellIs" dxfId="100" priority="73" operator="equal">
      <formula>"Covered"</formula>
    </cfRule>
    <cfRule type="cellIs" dxfId="99" priority="74" operator="equal">
      <formula>"Green"</formula>
    </cfRule>
    <cfRule type="cellIs" dxfId="98" priority="75" operator="equal">
      <formula>"Yellow"</formula>
    </cfRule>
  </conditionalFormatting>
  <conditionalFormatting sqref="FR48:FS48">
    <cfRule type="cellIs" dxfId="97" priority="68" operator="equal">
      <formula>"Missed TCD"</formula>
    </cfRule>
    <cfRule type="cellIs" dxfId="96" priority="69" operator="equal">
      <formula>"On-Track"</formula>
    </cfRule>
    <cfRule type="cellIs" dxfId="95" priority="70" operator="equal">
      <formula>"At Risk"</formula>
    </cfRule>
  </conditionalFormatting>
  <conditionalFormatting sqref="CS48">
    <cfRule type="cellIs" dxfId="94" priority="67" operator="equal">
      <formula>"Execution schedule has been re-baselined w/ FAIR PO Ack ACD. Validate your durations before publishing"</formula>
    </cfRule>
  </conditionalFormatting>
  <conditionalFormatting sqref="L50 U50 AV50 AY50 BB50 BH50 BK50 BN50 BQ50 BT50 BW50 BZ50 CC50 CF50 CI50 CL50 CY50 DB50 DE50 DH50 DO50 DZ50:EA50 ED50 EJ50 EM50 EP50 ES50 EV50 EY50 FB50 FE50 FH50 FQ50 FK50 EG50 DR50 DV50 FN50 DL50">
    <cfRule type="notContainsBlanks" dxfId="93" priority="66">
      <formula>LEN(TRIM(L50))&gt;0</formula>
    </cfRule>
  </conditionalFormatting>
  <conditionalFormatting sqref="E49:E50">
    <cfRule type="cellIs" dxfId="92" priority="61" operator="equal">
      <formula>"Red"</formula>
    </cfRule>
    <cfRule type="cellIs" dxfId="91" priority="62" operator="equal">
      <formula>"Unknown"</formula>
    </cfRule>
    <cfRule type="cellIs" dxfId="90" priority="63" operator="equal">
      <formula>"Covered"</formula>
    </cfRule>
    <cfRule type="cellIs" dxfId="89" priority="64" operator="equal">
      <formula>"Green"</formula>
    </cfRule>
    <cfRule type="cellIs" dxfId="88" priority="65" operator="equal">
      <formula>"Yellow"</formula>
    </cfRule>
  </conditionalFormatting>
  <conditionalFormatting sqref="FR50:FS50">
    <cfRule type="cellIs" dxfId="87" priority="58" operator="equal">
      <formula>"Missed TCD"</formula>
    </cfRule>
    <cfRule type="cellIs" dxfId="86" priority="59" operator="equal">
      <formula>"On-Track"</formula>
    </cfRule>
    <cfRule type="cellIs" dxfId="85" priority="60" operator="equal">
      <formula>"At Risk"</formula>
    </cfRule>
  </conditionalFormatting>
  <conditionalFormatting sqref="CS50">
    <cfRule type="cellIs" dxfId="84" priority="57" operator="equal">
      <formula>"Execution schedule has been re-baselined w/ FAIR PO Ack ACD. Validate your durations before publishing"</formula>
    </cfRule>
  </conditionalFormatting>
  <conditionalFormatting sqref="L52 U52 AV52 AY52 BB52 BH52 BK52 BN52 BQ52 BT52 BW52 BZ52 CC52 CF52 CI52 CL52 CY52 DB52 DE52 DH52 DO52 DZ52:EA52 ED52 EJ52 EM52 EP52 ES52 EV52 EY52 FB52 FE52 FH52 FQ52 FK52 EG52 DR52 DV52 FN52 DL52">
    <cfRule type="notContainsBlanks" dxfId="83" priority="56">
      <formula>LEN(TRIM(L52))&gt;0</formula>
    </cfRule>
  </conditionalFormatting>
  <conditionalFormatting sqref="E51:E52">
    <cfRule type="cellIs" dxfId="82" priority="51" operator="equal">
      <formula>"Red"</formula>
    </cfRule>
    <cfRule type="cellIs" dxfId="81" priority="52" operator="equal">
      <formula>"Unknown"</formula>
    </cfRule>
    <cfRule type="cellIs" dxfId="80" priority="53" operator="equal">
      <formula>"Covered"</formula>
    </cfRule>
    <cfRule type="cellIs" dxfId="79" priority="54" operator="equal">
      <formula>"Green"</formula>
    </cfRule>
    <cfRule type="cellIs" dxfId="78" priority="55" operator="equal">
      <formula>"Yellow"</formula>
    </cfRule>
  </conditionalFormatting>
  <conditionalFormatting sqref="FR52:FS52">
    <cfRule type="cellIs" dxfId="77" priority="48" operator="equal">
      <formula>"Missed TCD"</formula>
    </cfRule>
    <cfRule type="cellIs" dxfId="76" priority="49" operator="equal">
      <formula>"On-Track"</formula>
    </cfRule>
    <cfRule type="cellIs" dxfId="75" priority="50" operator="equal">
      <formula>"At Risk"</formula>
    </cfRule>
  </conditionalFormatting>
  <conditionalFormatting sqref="CS52">
    <cfRule type="cellIs" dxfId="74" priority="47" operator="equal">
      <formula>"Execution schedule has been re-baselined w/ FAIR PO Ack ACD. Validate your durations before publishing"</formula>
    </cfRule>
  </conditionalFormatting>
  <conditionalFormatting sqref="L54 U54 AV54 AY54 BB54 BH54 BK54 BN54 BQ54 BT54 BW54 BZ54 CC54 CF54 CI54 CL54 CY54 DB54 DE54 DH54 DO54 DZ54:EA54 ED54 EJ54 EM54 EP54 ES54 EV54 EY54 FB54 FE54 FH54 FQ54 FK54 EG54 DR54 DV54 FN54 DL54">
    <cfRule type="notContainsBlanks" dxfId="73" priority="46">
      <formula>LEN(TRIM(L54))&gt;0</formula>
    </cfRule>
  </conditionalFormatting>
  <conditionalFormatting sqref="E53:E54">
    <cfRule type="cellIs" dxfId="72" priority="41" operator="equal">
      <formula>"Red"</formula>
    </cfRule>
    <cfRule type="cellIs" dxfId="71" priority="42" operator="equal">
      <formula>"Unknown"</formula>
    </cfRule>
    <cfRule type="cellIs" dxfId="70" priority="43" operator="equal">
      <formula>"Covered"</formula>
    </cfRule>
    <cfRule type="cellIs" dxfId="69" priority="44" operator="equal">
      <formula>"Green"</formula>
    </cfRule>
    <cfRule type="cellIs" dxfId="68" priority="45" operator="equal">
      <formula>"Yellow"</formula>
    </cfRule>
  </conditionalFormatting>
  <conditionalFormatting sqref="FR54:FS54">
    <cfRule type="cellIs" dxfId="67" priority="38" operator="equal">
      <formula>"Missed TCD"</formula>
    </cfRule>
    <cfRule type="cellIs" dxfId="66" priority="39" operator="equal">
      <formula>"On-Track"</formula>
    </cfRule>
    <cfRule type="cellIs" dxfId="65" priority="40" operator="equal">
      <formula>"At Risk"</formula>
    </cfRule>
  </conditionalFormatting>
  <conditionalFormatting sqref="CS54">
    <cfRule type="cellIs" dxfId="64" priority="37" operator="equal">
      <formula>"Execution schedule has been re-baselined w/ FAIR PO Ack ACD. Validate your durations before publishing"</formula>
    </cfRule>
  </conditionalFormatting>
  <conditionalFormatting sqref="L56 U56 AV56 AY56 BB56 BH56 BK56 BN56 BQ56 BT56 BW56 BZ56 CC56 CF56 CI56 CL56 CY56 DB56 DE56 DH56 DO56 DZ56:EA56 ED56 EJ56 EM56 EP56 ES56 EV56 EY56 FB56 FE56 FH56 FQ56 FK56 EG56 DR56 DV56 FN56 DL56">
    <cfRule type="notContainsBlanks" dxfId="63" priority="36">
      <formula>LEN(TRIM(L56))&gt;0</formula>
    </cfRule>
  </conditionalFormatting>
  <conditionalFormatting sqref="E55:E56">
    <cfRule type="cellIs" dxfId="62" priority="31" operator="equal">
      <formula>"Red"</formula>
    </cfRule>
    <cfRule type="cellIs" dxfId="61" priority="32" operator="equal">
      <formula>"Unknown"</formula>
    </cfRule>
    <cfRule type="cellIs" dxfId="60" priority="33" operator="equal">
      <formula>"Covered"</formula>
    </cfRule>
    <cfRule type="cellIs" dxfId="59" priority="34" operator="equal">
      <formula>"Green"</formula>
    </cfRule>
    <cfRule type="cellIs" dxfId="58" priority="35" operator="equal">
      <formula>"Yellow"</formula>
    </cfRule>
  </conditionalFormatting>
  <conditionalFormatting sqref="FR56:FS56">
    <cfRule type="cellIs" dxfId="57" priority="28" operator="equal">
      <formula>"Missed TCD"</formula>
    </cfRule>
    <cfRule type="cellIs" dxfId="56" priority="29" operator="equal">
      <formula>"On-Track"</formula>
    </cfRule>
    <cfRule type="cellIs" dxfId="55" priority="30" operator="equal">
      <formula>"At Risk"</formula>
    </cfRule>
  </conditionalFormatting>
  <conditionalFormatting sqref="CS56">
    <cfRule type="cellIs" dxfId="54" priority="27" operator="equal">
      <formula>"Execution schedule has been re-baselined w/ FAIR PO Ack ACD. Validate your durations before publishing"</formula>
    </cfRule>
  </conditionalFormatting>
  <conditionalFormatting sqref="X56 X54 X52 X50 X48 X46 X44 X42 X40 X38 X36 X34 X32 X30 X28 X26 X24 X22 X20 X18 X16 X14 X12">
    <cfRule type="notContainsBlanks" dxfId="53" priority="20">
      <formula>LEN(TRIM(X12))&gt;0</formula>
    </cfRule>
  </conditionalFormatting>
  <conditionalFormatting sqref="X56 X54 X52 X50 X48 X46 X44 X42 X40 X38 X36 X34 X32 X30 X28 X26 X24 X22 X20 X18 X16 X14 X12">
    <cfRule type="notContainsBlanks" dxfId="52" priority="19">
      <formula>LEN(TRIM(X12))&gt;0</formula>
    </cfRule>
  </conditionalFormatting>
  <conditionalFormatting sqref="AA56 AA54 AA52 AA50 AA48 AA46 AA44 AA42 AA40 AA38 AA36 AA34 AA32 AA30 AA28 AA26 AA24 AA22 AA20 AA18 AA16 AA14 AA12">
    <cfRule type="notContainsBlanks" dxfId="51" priority="18">
      <formula>LEN(TRIM(AA12))&gt;0</formula>
    </cfRule>
  </conditionalFormatting>
  <conditionalFormatting sqref="AA56 AA54 AA52 AA50 AA48 AA46 AA44 AA42 AA40 AA38 AA36 AA34 AA32 AA30 AA28 AA26 AA24 AA22 AA20 AA18 AA16 AA14 AA12">
    <cfRule type="notContainsBlanks" dxfId="50" priority="17">
      <formula>LEN(TRIM(AA12))&gt;0</formula>
    </cfRule>
  </conditionalFormatting>
  <conditionalFormatting sqref="AD56 AD54 AD52 AD50 AD48 AD46 AD44 AD42 AD40 AD38 AD36 AD34 AD32 AD30 AD28 AD26 AD24 AD22 AD20 AD18 AD16 AD14 AD12">
    <cfRule type="notContainsBlanks" dxfId="49" priority="16">
      <formula>LEN(TRIM(AD12))&gt;0</formula>
    </cfRule>
  </conditionalFormatting>
  <conditionalFormatting sqref="AD56 AD54 AD52 AD50 AD48 AD46 AD44 AD42 AD40 AD38 AD36 AD34 AD32 AD30 AD28 AD26 AD24 AD22 AD20 AD18 AD16 AD14 AD12">
    <cfRule type="notContainsBlanks" dxfId="48" priority="15">
      <formula>LEN(TRIM(AD12))&gt;0</formula>
    </cfRule>
  </conditionalFormatting>
  <conditionalFormatting sqref="AG56:AG57 AG54 AG52 AG50 AG48 AG46 AG44 AG42 AG40 AG38 AG36 AG34 AG32 AG30 AG28 AG26 AG24 AG22 AG20 AG18 AG16 AG14 AG12">
    <cfRule type="notContainsBlanks" dxfId="47" priority="14">
      <formula>LEN(TRIM(AG12))&gt;0</formula>
    </cfRule>
  </conditionalFormatting>
  <conditionalFormatting sqref="AG56:AG57 AG54 AG52 AG50 AG48 AG46 AG44 AG42 AG40 AG38 AG36 AG34 AG32 AG30 AG28 AG26 AG24 AG22 AG20 AG18 AG16 AG14 AG12">
    <cfRule type="notContainsBlanks" dxfId="46" priority="13">
      <formula>LEN(TRIM(AG12))&gt;0</formula>
    </cfRule>
  </conditionalFormatting>
  <conditionalFormatting sqref="AJ56:AJ57 AJ54 AJ52 AJ50 AJ48 AJ46 AJ44 AJ42 AJ40 AJ38 AJ36 AJ34 AJ32 AJ30 AJ28 AJ26 AJ24 AJ22 AJ20 AJ18 AJ16 AJ14 AJ12">
    <cfRule type="notContainsBlanks" dxfId="45" priority="12">
      <formula>LEN(TRIM(AJ12))&gt;0</formula>
    </cfRule>
  </conditionalFormatting>
  <conditionalFormatting sqref="AJ56:AJ57 AJ54 AJ52 AJ50 AJ48 AJ46 AJ44 AJ42 AJ40 AJ38 AJ36 AJ34 AJ32 AJ30 AJ28 AJ26 AJ24 AJ22 AJ20 AJ18 AJ16 AJ14 AJ12">
    <cfRule type="notContainsBlanks" dxfId="44" priority="11">
      <formula>LEN(TRIM(AJ12))&gt;0</formula>
    </cfRule>
  </conditionalFormatting>
  <conditionalFormatting sqref="CV56:CV57 CV54 CV52 CV50 CV48 CV46 CV44 CV42 CV40 CV38 CV36 CV34 CV32 CV30 CV28 CV26 CV24 CV22 CV20 CV18 CV16 CV14 CV12">
    <cfRule type="notContainsBlanks" dxfId="43" priority="10">
      <formula>LEN(TRIM(CV12))&gt;0</formula>
    </cfRule>
  </conditionalFormatting>
  <conditionalFormatting sqref="CV56:CV57 CV54 CV52 CV50 CV48 CV46 CV44 CV42 CV40 CV38 CV36 CV34 CV32 CV30 CV28 CV26 CV24 CV22 CV20 CV18 CV16 CV14 CV12">
    <cfRule type="notContainsBlanks" dxfId="42" priority="9">
      <formula>LEN(TRIM(CV12))&gt;0</formula>
    </cfRule>
  </conditionalFormatting>
  <conditionalFormatting sqref="I56:I57 I54 I52 I50 I48 I46 I44 I42 I40 I38 I36 I34 I32 I30 I28 I26 I24 I22 I20 I18 I16 I14 I12">
    <cfRule type="notContainsBlanks" dxfId="41" priority="6">
      <formula>LEN(TRIM(I12))&gt;0</formula>
    </cfRule>
  </conditionalFormatting>
  <conditionalFormatting sqref="I56:I57 I54 I52 I50 I48 I46 I44 I42 I40 I38 I36 I34 I32 I30 I28 I26 I24 I22 I20 I18 I16 I14 I12">
    <cfRule type="notContainsBlanks" dxfId="40" priority="5">
      <formula>LEN(TRIM(I12))&gt;0</formula>
    </cfRule>
  </conditionalFormatting>
  <conditionalFormatting sqref="O56:O57 O54 O52 O50 O48 O46 O44 O42 O40 O38 O36 O34 O32 O30 O28 O26 O24 O22 O20 O18 O16 O14 O12">
    <cfRule type="notContainsBlanks" dxfId="39" priority="4">
      <formula>LEN(TRIM(O12))&gt;0</formula>
    </cfRule>
  </conditionalFormatting>
  <conditionalFormatting sqref="O56:O57 O54 O52 O50 O48 O46 O44 O42 O40 O38 O36 O34 O32 O30 O28 O26 O24 O22 O20 O18 O16 O14 O12">
    <cfRule type="notContainsBlanks" dxfId="38" priority="3">
      <formula>LEN(TRIM(O12))&gt;0</formula>
    </cfRule>
  </conditionalFormatting>
  <conditionalFormatting sqref="R56:R57 R54 R52 R50 R48 R46 R44 R42 R40 R38 R36 R34 R32 R30 R28 R26 R24 R22 R20 R18 R16 R14 R12">
    <cfRule type="notContainsBlanks" dxfId="37" priority="2">
      <formula>LEN(TRIM(R12))&gt;0</formula>
    </cfRule>
  </conditionalFormatting>
  <conditionalFormatting sqref="R56:R57 R54 R52 R50 R48 R46 R44 R42 R40 R38 R36 R34 R32 R30 R28 R26 R24 R22 R20 R18 R16 R14 R12">
    <cfRule type="notContainsBlanks" dxfId="36" priority="1">
      <formula>LEN(TRIM(R12))&gt;0</formula>
    </cfRule>
  </conditionalFormatting>
  <dataValidations count="4">
    <dataValidation operator="greaterThan" allowBlank="1" showInputMessage="1" showErrorMessage="1" sqref="FR1:FS2 CS9:CS56 FR7:FS56 FR58:FS1048576"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CR8:CR57 D58:D1048576 CV8:CV57 BE8:BE57 D9:D56 FI7:FL56 FM8:FN56 DQ8:ED56 AC8:AD56 BF1:BF56 BA8:BD56 FO7:FQ56 I58:FQ1048576 DF7:DH56 CT7:CT56 DA8:DE56 FD8:FH56 CW7:CZ56 DM7:DP56 EN8:FB56 AS1:AS57 BI7:CN56 FC7:FC56 CO7:CO57 DI8:DL56 AE1:AF56 AG1:AG57 AH1:AI56 AJ1:AJ57 AK1:AL56 R1:R57 AM1:AM57 AN1:AO56 AP1:AP57 AQ1:AR56 AT1:AZ56 BG5:BH56 CP7:CP56 CQ8:CQ56 CU8:CU56 I1:I57 J1:N56 O1:O57 P1:Q56 S1:AB56 EE7:EM56" xr:uid="{84F31B0F-7F3B-4F81-91EF-CF6B135FACDA}">
      <formula1>-9999</formula1>
    </dataValidation>
    <dataValidation type="list" allowBlank="1" showInputMessage="1" showErrorMessage="1" sqref="E9:E56 E58:E1048576" xr:uid="{35E056E9-B255-4640-A1CD-89FC9799F9F0}">
      <formula1>"Covered,Green,Yellow,Red,Unknown"</formula1>
    </dataValidation>
    <dataValidation type="list" allowBlank="1" showInputMessage="1" showErrorMessage="1" sqref="H6:H56 H58: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4.5" x14ac:dyDescent="0.35"/>
  <cols>
    <col min="3" max="3" width="10.26953125" bestFit="1" customWidth="1"/>
  </cols>
  <sheetData>
    <row r="1" spans="1:3" x14ac:dyDescent="0.35">
      <c r="A1" s="14" t="s">
        <v>502</v>
      </c>
      <c r="B1" s="15" t="s">
        <v>503</v>
      </c>
      <c r="C1" s="15" t="s">
        <v>504</v>
      </c>
    </row>
    <row r="2" spans="1:3" x14ac:dyDescent="0.35">
      <c r="A2" t="s">
        <v>505</v>
      </c>
      <c r="C2" s="9">
        <v>45758</v>
      </c>
    </row>
    <row r="3" spans="1:3" x14ac:dyDescent="0.35">
      <c r="A3" t="s">
        <v>506</v>
      </c>
      <c r="B3">
        <v>5</v>
      </c>
      <c r="C3" s="9">
        <f>WORKDAY(C2,B3)</f>
        <v>45765</v>
      </c>
    </row>
    <row r="4" spans="1:3" x14ac:dyDescent="0.35">
      <c r="A4" t="s">
        <v>507</v>
      </c>
      <c r="B4">
        <v>10</v>
      </c>
      <c r="C4" s="9">
        <f t="shared" ref="C4:C13" si="0">WORKDAY(C3,B4)</f>
        <v>45779</v>
      </c>
    </row>
    <row r="5" spans="1:3" x14ac:dyDescent="0.35">
      <c r="A5" t="s">
        <v>508</v>
      </c>
      <c r="B5">
        <v>15</v>
      </c>
      <c r="C5" s="9">
        <f t="shared" si="0"/>
        <v>45800</v>
      </c>
    </row>
    <row r="6" spans="1:3" x14ac:dyDescent="0.35">
      <c r="A6" t="s">
        <v>509</v>
      </c>
      <c r="B6">
        <v>5</v>
      </c>
      <c r="C6" s="9">
        <f t="shared" si="0"/>
        <v>45807</v>
      </c>
    </row>
    <row r="7" spans="1:3" x14ac:dyDescent="0.35">
      <c r="A7" t="s">
        <v>510</v>
      </c>
      <c r="B7">
        <v>45</v>
      </c>
      <c r="C7" s="9">
        <f t="shared" si="0"/>
        <v>45870</v>
      </c>
    </row>
    <row r="8" spans="1:3" x14ac:dyDescent="0.35">
      <c r="A8" t="s">
        <v>511</v>
      </c>
      <c r="B8">
        <v>10</v>
      </c>
      <c r="C8" s="9">
        <f t="shared" si="0"/>
        <v>45884</v>
      </c>
    </row>
    <row r="9" spans="1:3" x14ac:dyDescent="0.35">
      <c r="A9" t="s">
        <v>512</v>
      </c>
      <c r="B9">
        <v>50</v>
      </c>
      <c r="C9" s="9">
        <f t="shared" si="0"/>
        <v>45954</v>
      </c>
    </row>
    <row r="10" spans="1:3" x14ac:dyDescent="0.35">
      <c r="A10" t="s">
        <v>513</v>
      </c>
      <c r="B10">
        <v>10</v>
      </c>
      <c r="C10" s="9">
        <f t="shared" si="0"/>
        <v>45968</v>
      </c>
    </row>
    <row r="11" spans="1:3" x14ac:dyDescent="0.35">
      <c r="A11" t="s">
        <v>514</v>
      </c>
      <c r="B11">
        <v>5</v>
      </c>
      <c r="C11" s="9">
        <f t="shared" si="0"/>
        <v>45975</v>
      </c>
    </row>
    <row r="12" spans="1:3" x14ac:dyDescent="0.35">
      <c r="A12" t="s">
        <v>515</v>
      </c>
      <c r="B12">
        <v>85</v>
      </c>
      <c r="C12" s="9">
        <f t="shared" si="0"/>
        <v>46094</v>
      </c>
    </row>
    <row r="13" spans="1:3" x14ac:dyDescent="0.35">
      <c r="A13" t="s">
        <v>516</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5ED08968429F841957127518CBE11EB" ma:contentTypeVersion="3" ma:contentTypeDescription="Create a new document." ma:contentTypeScope="" ma:versionID="8b55102dfc24a116c3212cdb8818b1af">
  <xsd:schema xmlns:xsd="http://www.w3.org/2001/XMLSchema" xmlns:xs="http://www.w3.org/2001/XMLSchema" xmlns:p="http://schemas.microsoft.com/office/2006/metadata/properties" xmlns:ns2="d42d171d-8134-49e3-9261-5540650d98f6" targetNamespace="http://schemas.microsoft.com/office/2006/metadata/properties" ma:root="true" ma:fieldsID="deb8d1a803aea5bd36c220f7888e5f51" ns2:_="">
    <xsd:import namespace="d42d171d-8134-49e3-9261-5540650d98f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2d171d-8134-49e3-9261-5540650d98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04276B-22BA-48E5-8D2C-E35445855F0E}">
  <ds:schemaRefs>
    <ds:schemaRef ds:uri="http://purl.org/dc/terms/"/>
    <ds:schemaRef ds:uri="http://schemas.microsoft.com/office/2006/metadata/properties"/>
    <ds:schemaRef ds:uri="d42d171d-8134-49e3-9261-5540650d98f6"/>
    <ds:schemaRef ds:uri="http://purl.org/dc/elements/1.1/"/>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632649C2-D5A7-4E4D-AD04-80FDD60D77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2d171d-8134-49e3-9261-5540650d98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4DC704B-3B43-4446-949D-CF537C83CBE4}">
  <ds:schemaRefs>
    <ds:schemaRef ds:uri="http://schemas.microsoft.com/sharepoint/v3/contenttype/forms"/>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G, Rathna</cp:lastModifiedBy>
  <cp:revision/>
  <dcterms:created xsi:type="dcterms:W3CDTF">2025-03-07T14:46:06Z</dcterms:created>
  <dcterms:modified xsi:type="dcterms:W3CDTF">2026-04-30T21:07:48Z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0x01010085ED08968429F841957127518CBE11EB</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