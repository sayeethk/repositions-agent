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08" yWindow="-108" windowWidth="23256" windowHeight="12456" tabRatio="587" firstSheet="0" activeTab="2" autoFilterDateGrouping="1"/>
  </bookViews>
  <sheets>
    <sheet name="Instructions" sheetId="1" state="visible" r:id="rId1"/>
    <sheet name="SIMS_Template" sheetId="2" state="visible" r:id="rId2"/>
    <sheet name="SIMS" sheetId="3" state="visible" r:id="rId3"/>
    <sheet name="Inchstone Example" sheetId="4" state="visible" r:id="rId4"/>
  </sheets>
  <definedNames>
    <definedName name="_xleta.BASE" hidden="1" xlm="1">#NAME?</definedName>
    <definedName name="_xleta.DAYS" hidden="1" xlm="1">#NAME?</definedName>
    <definedName name="_xleta.N" hidden="1" xlm="1">#NAME?</definedName>
    <definedName name="_xleta.NETWORKDAYS" hidden="1" xlm="1">#NAME?</definedName>
    <definedName name="_xleta.T" hidden="1" xlm="1">#NAME?</definedName>
    <definedName name="_xlnm._FilterDatabase" localSheetId="0" hidden="1">'Instructions'!$A$26:$B$26</definedName>
    <definedName name="_xlnm._FilterDatabase" localSheetId="1" hidden="1">'SIMS_Template'!$A$8:$FW$19</definedName>
  </definedNames>
  <calcPr calcId="191028" fullCalcOnLoad="1"/>
</workbook>
</file>

<file path=xl/styles.xml><?xml version="1.0" encoding="utf-8"?>
<styleSheet xmlns="http://schemas.openxmlformats.org/spreadsheetml/2006/main">
  <numFmts count="0"/>
  <fonts count="33">
    <font>
      <name val="Aptos Narrow"/>
      <family val="2"/>
      <color theme="1"/>
      <sz val="11"/>
      <scheme val="minor"/>
    </font>
    <font>
      <name val="Aptos Narrow"/>
      <family val="2"/>
      <color theme="1"/>
      <sz val="11"/>
      <scheme val="minor"/>
    </font>
    <font>
      <name val="Aptos Narrow"/>
      <family val="2"/>
      <b val="1"/>
      <color theme="1"/>
      <sz val="11"/>
      <scheme val="minor"/>
    </font>
    <font>
      <name val="Aptos Narrow"/>
      <family val="2"/>
      <b val="1"/>
      <color theme="1"/>
      <sz val="12"/>
      <scheme val="minor"/>
    </font>
    <font>
      <name val="Calibri"/>
      <family val="2"/>
      <b val="1"/>
      <color rgb="FF000000"/>
      <sz val="11"/>
    </font>
    <font>
      <name val="Calibri"/>
      <family val="2"/>
      <b val="1"/>
      <color rgb="FF000000"/>
      <sz val="10"/>
    </font>
    <font>
      <name val="Calibri"/>
      <family val="2"/>
      <b val="1"/>
      <color theme="0"/>
      <sz val="10"/>
    </font>
    <font>
      <name val="Calibri"/>
      <family val="2"/>
      <b val="1"/>
      <color theme="1"/>
      <sz val="10"/>
    </font>
    <font>
      <name val="Calibri"/>
      <family val="2"/>
      <b val="1"/>
      <sz val="10"/>
    </font>
    <font>
      <name val="Aptos Narrow"/>
      <family val="2"/>
      <color theme="1"/>
      <sz val="9"/>
      <scheme val="minor"/>
    </font>
    <font>
      <name val="Calibri"/>
      <family val="2"/>
      <color rgb="FF000000"/>
      <sz val="11"/>
    </font>
    <font>
      <name val="Aptos Narrow"/>
      <family val="2"/>
      <b val="1"/>
      <color theme="0"/>
      <sz val="11"/>
      <scheme val="minor"/>
    </font>
    <font>
      <name val="Aptos Narrow"/>
      <family val="2"/>
      <color theme="0"/>
      <sz val="11"/>
      <scheme val="minor"/>
    </font>
    <font>
      <name val="Aptos Narrow"/>
      <family val="2"/>
      <color theme="0"/>
      <sz val="9"/>
      <scheme val="minor"/>
    </font>
    <font>
      <name val="Calibri"/>
      <family val="2"/>
      <b val="1"/>
      <color theme="0"/>
      <sz val="11"/>
    </font>
    <font>
      <name val="Calibri"/>
      <family val="2"/>
      <b val="1"/>
      <color rgb="FF000000"/>
      <sz val="12"/>
    </font>
    <font>
      <name val="Aptos Narrow"/>
      <family val="2"/>
      <b val="1"/>
      <color theme="1" tint="0.249977111117893"/>
      <sz val="11"/>
      <scheme val="minor"/>
    </font>
    <font>
      <name val="Aptos Narrow"/>
      <charset val="2"/>
      <family val="1"/>
      <b val="1"/>
      <color theme="1"/>
      <sz val="11"/>
      <scheme val="minor"/>
    </font>
    <font>
      <name val="Wingdings 3"/>
      <charset val="2"/>
      <family val="1"/>
      <b val="1"/>
      <color theme="1"/>
      <sz val="11"/>
    </font>
    <font>
      <name val="Aptos Narrow"/>
      <family val="2"/>
      <b val="1"/>
      <color theme="1"/>
      <sz val="7.7"/>
    </font>
    <font>
      <name val="Calibri"/>
      <family val="2"/>
      <b val="1"/>
      <color theme="1"/>
      <sz val="11"/>
    </font>
    <font>
      <name val="Aptos Narrow"/>
      <family val="2"/>
      <color theme="10"/>
      <sz val="11"/>
      <u val="single"/>
      <scheme val="minor"/>
    </font>
    <font>
      <name val="Aptos Narrow"/>
      <family val="2"/>
      <color rgb="FF3F3F76"/>
      <sz val="11"/>
      <scheme val="minor"/>
    </font>
    <font>
      <name val="Aptos Narrow"/>
      <family val="2"/>
      <color theme="1"/>
      <sz val="8"/>
      <scheme val="minor"/>
    </font>
    <font>
      <name val="Aptos Narrow"/>
      <family val="2"/>
      <b val="1"/>
      <color rgb="FFFF0000"/>
      <sz val="10"/>
      <scheme val="minor"/>
    </font>
    <font>
      <name val="Aptos Narrow"/>
      <family val="2"/>
      <b val="1"/>
      <color theme="1"/>
      <sz val="10"/>
      <scheme val="minor"/>
    </font>
    <font>
      <name val="Aptos Narrow"/>
      <family val="2"/>
      <b val="1"/>
      <color rgb="FF3F3F76"/>
      <sz val="14"/>
      <scheme val="minor"/>
    </font>
    <font>
      <name val="Calibri"/>
      <family val="2"/>
      <b val="1"/>
      <color theme="2" tint="-0.499984740745262"/>
      <sz val="10"/>
    </font>
    <font>
      <name val="Aptos Narrow"/>
      <family val="2"/>
      <b val="1"/>
      <color theme="2" tint="-0.499984740745262"/>
      <sz val="10"/>
      <scheme val="minor"/>
    </font>
    <font>
      <name val="Aptos Narrow"/>
      <family val="2"/>
      <color theme="1"/>
      <sz val="10"/>
      <scheme val="minor"/>
    </font>
    <font>
      <name val="Aptos Narrow"/>
      <family val="2"/>
      <b val="1"/>
      <color rgb="FF92D050"/>
      <sz val="10"/>
      <scheme val="minor"/>
    </font>
    <font>
      <name val="Aptos Narrow"/>
      <family val="2"/>
      <b val="1"/>
      <color rgb="FFFF0000"/>
      <sz val="12"/>
      <scheme val="minor"/>
    </font>
    <font>
      <name val="Aptos Narrow"/>
      <family val="2"/>
      <b val="1"/>
      <sz val="12"/>
      <scheme val="minor"/>
    </font>
  </fonts>
  <fills count="34">
    <fill>
      <patternFill/>
    </fill>
    <fill>
      <patternFill patternType="gray125"/>
    </fill>
    <fill>
      <patternFill patternType="solid">
        <fgColor theme="0"/>
        <bgColor indexed="64"/>
      </patternFill>
    </fill>
    <fill>
      <patternFill patternType="solid">
        <fgColor theme="7"/>
        <bgColor indexed="64"/>
      </patternFill>
    </fill>
    <fill>
      <patternFill patternType="solid">
        <fgColor rgb="FF00B0F0"/>
        <bgColor indexed="64"/>
      </patternFill>
    </fill>
    <fill>
      <patternFill patternType="solid">
        <fgColor rgb="FFFFFF00"/>
        <bgColor theme="4"/>
      </patternFill>
    </fill>
    <fill>
      <patternFill patternType="solid">
        <fgColor rgb="FFFFFF00"/>
        <bgColor indexed="64"/>
      </patternFill>
    </fill>
    <fill>
      <patternFill patternType="solid">
        <fgColor theme="0"/>
        <bgColor theme="4"/>
      </patternFill>
    </fill>
    <fill>
      <patternFill patternType="solid">
        <fgColor rgb="FF92D050"/>
        <bgColor indexed="64"/>
      </patternFill>
    </fill>
    <fill>
      <patternFill patternType="solid">
        <fgColor theme="3" tint="0.749992370372631"/>
        <bgColor indexed="64"/>
      </patternFill>
    </fill>
    <fill>
      <patternFill patternType="solid">
        <fgColor theme="5" tint="0.7999816888943144"/>
        <bgColor indexed="64"/>
      </patternFill>
    </fill>
    <fill>
      <patternFill patternType="solid">
        <fgColor theme="1"/>
        <bgColor indexed="64"/>
      </patternFill>
    </fill>
    <fill>
      <patternFill patternType="solid">
        <fgColor theme="2"/>
        <bgColor indexed="64"/>
      </patternFill>
    </fill>
    <fill>
      <patternFill patternType="solid">
        <fgColor rgb="FFC00000"/>
        <bgColor indexed="64"/>
      </patternFill>
    </fill>
    <fill>
      <patternFill patternType="solid">
        <fgColor theme="1" tint="0.249977111117893"/>
        <bgColor indexed="64"/>
      </patternFill>
    </fill>
    <fill>
      <patternFill patternType="solid">
        <fgColor theme="0" tint="-0.1499984740745262"/>
        <bgColor indexed="64"/>
      </patternFill>
    </fill>
    <fill>
      <patternFill patternType="solid">
        <fgColor theme="0" tint="-0.3499862666707358"/>
        <bgColor theme="4"/>
      </patternFill>
    </fill>
    <fill>
      <patternFill patternType="solid">
        <fgColor theme="0" tint="-0.3499862666707358"/>
        <bgColor indexed="64"/>
      </patternFill>
    </fill>
    <fill>
      <patternFill patternType="solid">
        <fgColor theme="1" tint="0.249977111117893"/>
        <bgColor theme="4"/>
      </patternFill>
    </fill>
    <fill>
      <patternFill patternType="solid">
        <fgColor theme="0" tint="-0.0499893185216834"/>
        <bgColor indexed="64"/>
      </patternFill>
    </fill>
    <fill>
      <patternFill patternType="solid">
        <fgColor rgb="FFFFC000"/>
        <bgColor indexed="64"/>
      </patternFill>
    </fill>
    <fill>
      <patternFill patternType="solid">
        <fgColor rgb="FFFFFFE5"/>
        <bgColor indexed="64"/>
      </patternFill>
    </fill>
    <fill>
      <patternFill patternType="solid">
        <fgColor rgb="FFF9D2BF"/>
        <bgColor indexed="64"/>
      </patternFill>
    </fill>
    <fill>
      <patternFill patternType="solid">
        <fgColor theme="5" tint="0.3999755851924192"/>
        <bgColor indexed="64"/>
      </patternFill>
    </fill>
    <fill>
      <patternFill patternType="solid">
        <fgColor theme="4" tint="0.7999816888943144"/>
        <bgColor indexed="64"/>
      </patternFill>
    </fill>
    <fill>
      <patternFill patternType="solid">
        <fgColor theme="3" tint="0.249977111117893"/>
        <bgColor indexed="64"/>
      </patternFill>
    </fill>
    <fill>
      <patternFill patternType="solid">
        <fgColor theme="3" tint="0.09997863704336681"/>
        <bgColor indexed="64"/>
      </patternFill>
    </fill>
    <fill>
      <patternFill patternType="solid">
        <fgColor rgb="FFFF9393"/>
        <bgColor indexed="64"/>
      </patternFill>
    </fill>
    <fill>
      <patternFill patternType="solid">
        <fgColor rgb="FFFFCC99"/>
      </patternFill>
    </fill>
    <fill>
      <patternFill patternType="solid">
        <fgColor rgb="FF9D1D24"/>
        <bgColor indexed="64"/>
      </patternFill>
    </fill>
    <fill>
      <patternFill patternType="solid">
        <fgColor theme="4" tint="-0.249977111117893"/>
        <bgColor indexed="64"/>
      </patternFill>
    </fill>
    <fill>
      <patternFill patternType="solid">
        <fgColor rgb="FFFFC000"/>
        <bgColor theme="4"/>
      </patternFill>
    </fill>
    <fill>
      <patternFill patternType="solid">
        <fgColor theme="4" tint="-0.249977111117893"/>
        <bgColor theme="4"/>
      </patternFill>
    </fill>
    <fill>
      <patternFill patternType="solid">
        <fgColor theme="0" tint="-0.1499984740745262"/>
        <bgColor theme="0" tint="-0.1499984740745262"/>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thin">
        <color indexed="64"/>
      </left>
      <right/>
      <top/>
      <bottom/>
      <diagonal/>
    </border>
    <border>
      <left style="thin">
        <color rgb="FF7F7F7F"/>
      </left>
      <right style="thin">
        <color rgb="FF7F7F7F"/>
      </right>
      <top style="thin">
        <color rgb="FF7F7F7F"/>
      </top>
      <bottom style="thin">
        <color rgb="FF7F7F7F"/>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0"/>
      </right>
      <top style="thin">
        <color theme="1"/>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1"/>
      </right>
      <top style="thin">
        <color theme="1"/>
      </top>
      <bottom style="thin">
        <color theme="1"/>
      </bottom>
      <diagonal/>
    </border>
    <border>
      <left/>
      <right/>
      <top style="medium">
        <color indexed="64"/>
      </top>
      <bottom/>
      <diagonal/>
    </border>
    <border>
      <left/>
      <right style="medium">
        <color indexed="64"/>
      </right>
      <top style="medium">
        <color indexed="64"/>
      </top>
      <bottom/>
      <diagonal/>
    </border>
  </borders>
  <cellStyleXfs count="5">
    <xf numFmtId="0" fontId="1" fillId="0" borderId="0"/>
    <xf numFmtId="9" fontId="1" fillId="0" borderId="0"/>
    <xf numFmtId="0" fontId="10" fillId="0" borderId="0"/>
    <xf numFmtId="0" fontId="21" fillId="0" borderId="0"/>
    <xf numFmtId="0" fontId="22" fillId="28" borderId="16"/>
  </cellStyleXfs>
  <cellXfs count="228">
    <xf numFmtId="0" fontId="0" fillId="0" borderId="0" pivotButton="0" quotePrefix="0" xfId="0"/>
    <xf numFmtId="0" fontId="0" fillId="2" borderId="0" pivotButton="0" quotePrefix="0" xfId="0"/>
    <xf numFmtId="0" fontId="4" fillId="2" borderId="0" applyAlignment="1" pivotButton="0" quotePrefix="0" xfId="0">
      <alignment horizontal="center"/>
    </xf>
    <xf numFmtId="0" fontId="0" fillId="0" borderId="0" applyAlignment="1" pivotButton="0" quotePrefix="0" xfId="0">
      <alignment horizontal="center" vertical="center"/>
    </xf>
    <xf numFmtId="0" fontId="7" fillId="5" borderId="1" applyAlignment="1" pivotButton="0" quotePrefix="0" xfId="0">
      <alignment horizontal="center" vertical="center" wrapText="1"/>
    </xf>
    <xf numFmtId="0" fontId="8" fillId="6" borderId="1" applyAlignment="1" pivotButton="0" quotePrefix="0" xfId="0">
      <alignment horizontal="center" vertical="center"/>
    </xf>
    <xf numFmtId="9" fontId="0" fillId="0" borderId="0" pivotButton="0" quotePrefix="0" xfId="1"/>
    <xf numFmtId="0" fontId="10" fillId="0" borderId="0" pivotButton="0" quotePrefix="0" xfId="2"/>
    <xf numFmtId="0" fontId="10" fillId="3" borderId="0" pivotButton="0" quotePrefix="0" xfId="2"/>
    <xf numFmtId="14" fontId="0" fillId="0" borderId="0" pivotButton="0" quotePrefix="0" xfId="0"/>
    <xf numFmtId="14" fontId="5" fillId="0" borderId="1" applyAlignment="1" pivotButton="0" quotePrefix="0" xfId="0">
      <alignment horizontal="center" vertical="center"/>
    </xf>
    <xf numFmtId="14" fontId="8" fillId="0" borderId="1" applyAlignment="1" pivotButton="0" quotePrefix="0" xfId="0">
      <alignment horizontal="center" vertical="center"/>
    </xf>
    <xf numFmtId="14" fontId="8" fillId="0" borderId="3" applyAlignment="1" pivotButton="0" quotePrefix="0" xfId="0">
      <alignment horizontal="center" vertical="center"/>
    </xf>
    <xf numFmtId="14" fontId="5" fillId="10" borderId="1" applyAlignment="1" pivotButton="0" quotePrefix="0" xfId="0">
      <alignment horizontal="center" vertical="center"/>
    </xf>
    <xf numFmtId="0" fontId="4" fillId="12" borderId="0" applyAlignment="1" pivotButton="0" quotePrefix="0" xfId="2">
      <alignment horizontal="center"/>
    </xf>
    <xf numFmtId="0" fontId="4" fillId="12" borderId="0" applyAlignment="1" pivotButton="0" quotePrefix="0" xfId="2">
      <alignment horizontal="center" wrapText="1"/>
    </xf>
    <xf numFmtId="0" fontId="0" fillId="0" borderId="0" applyAlignment="1" pivotButton="0" quotePrefix="0" xfId="0">
      <alignment horizontal="left" vertical="top"/>
    </xf>
    <xf numFmtId="0" fontId="0" fillId="2" borderId="0" applyAlignment="1" pivotButton="0" quotePrefix="0" xfId="0">
      <alignment vertical="center"/>
    </xf>
    <xf numFmtId="0" fontId="3" fillId="2" borderId="0" applyAlignment="1" pivotButton="0" quotePrefix="0" xfId="0">
      <alignment vertical="center"/>
    </xf>
    <xf numFmtId="0" fontId="2" fillId="2" borderId="0" pivotButton="0" quotePrefix="0" xfId="0"/>
    <xf numFmtId="0" fontId="2" fillId="2" borderId="0" applyAlignment="1" pivotButton="0" quotePrefix="0" xfId="0">
      <alignment horizontal="right"/>
    </xf>
    <xf numFmtId="0" fontId="0" fillId="2" borderId="0" applyAlignment="1" pivotButton="0" quotePrefix="0" xfId="0">
      <alignment horizontal="left"/>
    </xf>
    <xf numFmtId="0" fontId="2" fillId="2" borderId="0" applyAlignment="1" pivotButton="0" quotePrefix="0" xfId="0">
      <alignment horizontal="left"/>
    </xf>
    <xf numFmtId="0" fontId="0" fillId="0" borderId="1" pivotButton="0" quotePrefix="0" xfId="0"/>
    <xf numFmtId="0" fontId="0" fillId="0" borderId="2" pivotButton="0" quotePrefix="0" xfId="0"/>
    <xf numFmtId="0" fontId="2" fillId="0" borderId="1" pivotButton="0" quotePrefix="0" xfId="0"/>
    <xf numFmtId="0" fontId="2" fillId="0" borderId="1" applyAlignment="1" pivotButton="0" quotePrefix="0" xfId="0">
      <alignment vertical="center"/>
    </xf>
    <xf numFmtId="0" fontId="7" fillId="16" borderId="1" applyAlignment="1" pivotButton="0" quotePrefix="0" xfId="0">
      <alignment horizontal="center" vertical="center" wrapText="1"/>
    </xf>
    <xf numFmtId="14" fontId="5" fillId="17" borderId="1" applyAlignment="1" pivotButton="0" quotePrefix="0" xfId="0">
      <alignment horizontal="center" vertical="center"/>
    </xf>
    <xf numFmtId="9" fontId="5" fillId="17" borderId="1" applyAlignment="1" pivotButton="0" quotePrefix="0" xfId="1">
      <alignment horizontal="center" vertical="center"/>
    </xf>
    <xf numFmtId="0" fontId="9" fillId="0" borderId="0" applyAlignment="1" pivotButton="0" quotePrefix="0" xfId="0">
      <alignment horizontal="center" vertical="center"/>
    </xf>
    <xf numFmtId="0" fontId="8" fillId="17" borderId="1" applyAlignment="1" pivotButton="0" quotePrefix="0" xfId="0">
      <alignment horizontal="center" vertical="center"/>
    </xf>
    <xf numFmtId="0" fontId="14" fillId="14" borderId="0" pivotButton="0" quotePrefix="0" xfId="0"/>
    <xf numFmtId="0" fontId="6" fillId="18" borderId="1" applyAlignment="1" pivotButton="0" quotePrefix="0" xfId="0">
      <alignment horizontal="center" vertical="center" wrapText="1"/>
    </xf>
    <xf numFmtId="0" fontId="2" fillId="15" borderId="1" applyAlignment="1" pivotButton="0" quotePrefix="0" xfId="0">
      <alignment horizontal="center" vertical="center" wrapText="1"/>
    </xf>
    <xf numFmtId="14" fontId="6" fillId="18" borderId="1" applyAlignment="1" pivotButton="0" quotePrefix="0" xfId="0">
      <alignment horizontal="center" vertical="center" wrapText="1"/>
    </xf>
    <xf numFmtId="0" fontId="4" fillId="0" borderId="0" applyAlignment="1" pivotButton="0" quotePrefix="0" xfId="0">
      <alignment horizontal="center"/>
    </xf>
    <xf numFmtId="0" fontId="17" fillId="20" borderId="0" applyAlignment="1" pivotButton="0" quotePrefix="0" xfId="0">
      <alignment horizontal="center" vertical="center" wrapText="1"/>
    </xf>
    <xf numFmtId="0" fontId="20" fillId="20" borderId="0" pivotButton="0" quotePrefix="0" xfId="0"/>
    <xf numFmtId="0" fontId="2" fillId="2" borderId="0" applyAlignment="1" pivotButton="0" quotePrefix="0" xfId="0">
      <alignment horizontal="left" vertical="top"/>
    </xf>
    <xf numFmtId="0" fontId="0" fillId="2" borderId="14" pivotButton="0" quotePrefix="0" xfId="0"/>
    <xf numFmtId="0" fontId="4" fillId="2" borderId="14" applyAlignment="1" pivotButton="0" quotePrefix="0" xfId="0">
      <alignment horizontal="center"/>
    </xf>
    <xf numFmtId="14" fontId="5" fillId="0" borderId="3" applyAlignment="1" pivotButton="0" quotePrefix="0" xfId="0">
      <alignment horizontal="center" vertical="center"/>
    </xf>
    <xf numFmtId="0" fontId="12" fillId="0" borderId="17" pivotButton="0" quotePrefix="0" xfId="0"/>
    <xf numFmtId="0" fontId="12" fillId="0" borderId="5" pivotButton="0" quotePrefix="0" xfId="0"/>
    <xf numFmtId="14" fontId="8" fillId="17" borderId="1" applyAlignment="1" pivotButton="0" quotePrefix="0" xfId="0">
      <alignment horizontal="center" vertical="center"/>
    </xf>
    <xf numFmtId="14" fontId="7" fillId="16" borderId="1" applyAlignment="1" pivotButton="0" quotePrefix="0" xfId="0">
      <alignment horizontal="center" vertical="center" wrapText="1"/>
    </xf>
    <xf numFmtId="14" fontId="5" fillId="17" borderId="1" applyAlignment="1" pivotButton="0" quotePrefix="0" xfId="1">
      <alignment horizontal="center" vertical="center"/>
    </xf>
    <xf numFmtId="0" fontId="16" fillId="0" borderId="0" applyAlignment="1" pivotButton="0" quotePrefix="0" xfId="0">
      <alignment horizontal="left" vertical="top"/>
    </xf>
    <xf numFmtId="0" fontId="23" fillId="0" borderId="15" applyAlignment="1" pivotButton="0" quotePrefix="0" xfId="0">
      <alignment vertical="top" wrapText="1"/>
    </xf>
    <xf numFmtId="0" fontId="4" fillId="23" borderId="0" applyAlignment="1" pivotButton="0" quotePrefix="0" xfId="0">
      <alignment horizontal="center"/>
    </xf>
    <xf numFmtId="14" fontId="5" fillId="8" borderId="1" applyAlignment="1" pivotButton="0" quotePrefix="0" xfId="0">
      <alignment horizontal="center" vertical="center"/>
    </xf>
    <xf numFmtId="0" fontId="11" fillId="13" borderId="0" applyAlignment="1" pivotButton="0" quotePrefix="0" xfId="0">
      <alignment horizontal="center" vertical="center"/>
    </xf>
    <xf numFmtId="0" fontId="2" fillId="20" borderId="1" applyAlignment="1" pivotButton="0" quotePrefix="0" xfId="0">
      <alignment horizontal="center" vertical="center" wrapText="1"/>
    </xf>
    <xf numFmtId="1" fontId="7" fillId="7" borderId="1" applyAlignment="1" pivotButton="0" quotePrefix="0" xfId="0">
      <alignment horizontal="center" vertical="center" wrapText="1"/>
    </xf>
    <xf numFmtId="0" fontId="25" fillId="0" borderId="1" pivotButton="0" quotePrefix="0" xfId="0"/>
    <xf numFmtId="14" fontId="5" fillId="22" borderId="1" applyAlignment="1" pivotButton="0" quotePrefix="0" xfId="0">
      <alignment horizontal="center" vertical="center"/>
    </xf>
    <xf numFmtId="1" fontId="27" fillId="2" borderId="1" applyAlignment="1" pivotButton="0" quotePrefix="0" xfId="0">
      <alignment horizontal="center"/>
    </xf>
    <xf numFmtId="0" fontId="28" fillId="0" borderId="1" pivotButton="0" quotePrefix="0" xfId="0"/>
    <xf numFmtId="14" fontId="5" fillId="22" borderId="3" applyAlignment="1" pivotButton="0" quotePrefix="0" xfId="0">
      <alignment horizontal="center" vertical="center"/>
    </xf>
    <xf numFmtId="14" fontId="5" fillId="17" borderId="3" applyAlignment="1" pivotButton="0" quotePrefix="0" xfId="0">
      <alignment horizontal="center" vertical="center"/>
    </xf>
    <xf numFmtId="1" fontId="5" fillId="17" borderId="1" applyAlignment="1" pivotButton="0" quotePrefix="0" xfId="0">
      <alignment horizontal="center" vertical="center"/>
    </xf>
    <xf numFmtId="0" fontId="10" fillId="0" borderId="0" applyAlignment="1" pivotButton="0" quotePrefix="0" xfId="2">
      <alignment horizontal="left"/>
    </xf>
    <xf numFmtId="0" fontId="4" fillId="0" borderId="0" applyAlignment="1" pivotButton="0" quotePrefix="0" xfId="2">
      <alignment horizontal="center"/>
    </xf>
    <xf numFmtId="0" fontId="20" fillId="0" borderId="0" applyAlignment="1" pivotButton="0" quotePrefix="0" xfId="2">
      <alignment horizontal="center"/>
    </xf>
    <xf numFmtId="14" fontId="0" fillId="22" borderId="1" pivotButton="0" quotePrefix="0" xfId="0"/>
    <xf numFmtId="0" fontId="2" fillId="20" borderId="1" applyAlignment="1" pivotButton="0" quotePrefix="0" xfId="0">
      <alignment vertical="center"/>
    </xf>
    <xf numFmtId="0" fontId="0" fillId="0" borderId="1" applyAlignment="1" pivotButton="0" quotePrefix="0" xfId="0">
      <alignment wrapText="1"/>
    </xf>
    <xf numFmtId="0" fontId="11" fillId="13" borderId="1" applyAlignment="1" pivotButton="0" quotePrefix="0" xfId="0">
      <alignment vertical="center"/>
    </xf>
    <xf numFmtId="0" fontId="11" fillId="29" borderId="1" applyAlignment="1" pivotButton="0" quotePrefix="0" xfId="0">
      <alignment vertical="center"/>
    </xf>
    <xf numFmtId="0" fontId="6" fillId="30" borderId="1" applyAlignment="1" pivotButton="0" quotePrefix="0" xfId="0">
      <alignment vertical="center" wrapText="1"/>
    </xf>
    <xf numFmtId="0" fontId="29" fillId="0" borderId="0" applyAlignment="1" pivotButton="0" quotePrefix="1" xfId="0">
      <alignment horizontal="left" vertical="top" wrapText="1"/>
    </xf>
    <xf numFmtId="0" fontId="25" fillId="0" borderId="0" applyAlignment="1" pivotButton="0" quotePrefix="0" xfId="0">
      <alignment horizontal="left" vertical="top"/>
    </xf>
    <xf numFmtId="0" fontId="25" fillId="0" borderId="0" applyAlignment="1" pivotButton="0" quotePrefix="1" xfId="0">
      <alignment horizontal="left" vertical="top" wrapText="1"/>
    </xf>
    <xf numFmtId="0" fontId="29" fillId="0" borderId="0" applyAlignment="1" pivotButton="0" quotePrefix="1" xfId="0">
      <alignment horizontal="left" vertical="top"/>
    </xf>
    <xf numFmtId="14" fontId="6" fillId="13" borderId="1" applyAlignment="1" pivotButton="0" quotePrefix="0" xfId="0">
      <alignment horizontal="center" vertical="center" wrapText="1"/>
    </xf>
    <xf numFmtId="0" fontId="9" fillId="20" borderId="10" applyAlignment="1" pivotButton="0" quotePrefix="0" xfId="0">
      <alignment horizontal="center" vertical="center"/>
    </xf>
    <xf numFmtId="0" fontId="5" fillId="0" borderId="1" applyAlignment="1" pivotButton="0" quotePrefix="0" xfId="0">
      <alignment horizontal="center" vertical="center"/>
    </xf>
    <xf numFmtId="0" fontId="7" fillId="31" borderId="1" applyAlignment="1" pivotButton="0" quotePrefix="0" xfId="0">
      <alignment horizontal="center" vertical="center" wrapText="1"/>
    </xf>
    <xf numFmtId="0" fontId="12" fillId="0" borderId="0" applyAlignment="1" pivotButton="0" quotePrefix="0" xfId="0">
      <alignment horizontal="center"/>
    </xf>
    <xf numFmtId="0" fontId="3" fillId="2" borderId="0" applyAlignment="1" pivotButton="0" quotePrefix="0" xfId="0">
      <alignment horizontal="right" vertical="center"/>
    </xf>
    <xf numFmtId="0" fontId="2" fillId="0" borderId="14" applyAlignment="1" pivotButton="0" quotePrefix="0" xfId="0">
      <alignment horizontal="right" vertical="top" wrapText="1"/>
    </xf>
    <xf numFmtId="0" fontId="2" fillId="12" borderId="1" pivotButton="0" quotePrefix="0" xfId="0"/>
    <xf numFmtId="0" fontId="2" fillId="0" borderId="0" applyAlignment="1" pivotButton="0" quotePrefix="0" xfId="0">
      <alignment horizontal="right"/>
    </xf>
    <xf numFmtId="0" fontId="23" fillId="0" borderId="0" applyAlignment="1" pivotButton="0" quotePrefix="0" xfId="0">
      <alignment vertical="top" wrapText="1"/>
    </xf>
    <xf numFmtId="0" fontId="2" fillId="0" borderId="18" pivotButton="0" quotePrefix="0" xfId="0"/>
    <xf numFmtId="0" fontId="24" fillId="0" borderId="0" applyAlignment="1" pivotButton="0" quotePrefix="0" xfId="0">
      <alignment vertical="center" wrapText="1"/>
    </xf>
    <xf numFmtId="0" fontId="25" fillId="0" borderId="0" applyAlignment="1" pivotButton="0" quotePrefix="0" xfId="0">
      <alignment horizontal="center" wrapText="1"/>
    </xf>
    <xf numFmtId="0" fontId="26" fillId="0" borderId="0" applyAlignment="1" pivotButton="0" quotePrefix="0" xfId="4">
      <alignment horizontal="center" vertical="center"/>
    </xf>
    <xf numFmtId="0" fontId="6" fillId="32" borderId="1" applyAlignment="1" pivotButton="0" quotePrefix="0" xfId="0">
      <alignment horizontal="center" vertical="center" wrapText="1"/>
    </xf>
    <xf numFmtId="14" fontId="7" fillId="16" borderId="3" applyAlignment="1" pivotButton="0" quotePrefix="0" xfId="0">
      <alignment horizontal="center" vertical="center" wrapText="1"/>
    </xf>
    <xf numFmtId="0" fontId="24" fillId="0" borderId="0" applyAlignment="1" pivotButton="0" quotePrefix="0" xfId="0">
      <alignment horizontal="right" vertical="center" wrapText="1"/>
    </xf>
    <xf numFmtId="0" fontId="0" fillId="30" borderId="1" pivotButton="0" quotePrefix="0" xfId="0"/>
    <xf numFmtId="0" fontId="21" fillId="0" borderId="0" applyAlignment="1" pivotButton="0" quotePrefix="0" xfId="3">
      <alignment horizontal="left" vertical="top"/>
    </xf>
    <xf numFmtId="14" fontId="0" fillId="2" borderId="0" applyAlignment="1" pivotButton="0" quotePrefix="0" xfId="0">
      <alignment vertical="center"/>
    </xf>
    <xf numFmtId="14" fontId="0" fillId="0" borderId="2" pivotButton="0" quotePrefix="0" xfId="0"/>
    <xf numFmtId="0" fontId="4" fillId="21" borderId="0" applyAlignment="1" pivotButton="0" quotePrefix="0" xfId="0">
      <alignment horizontal="center" wrapText="1"/>
    </xf>
    <xf numFmtId="0" fontId="2" fillId="0" borderId="0" pivotButton="0" quotePrefix="0" xfId="0"/>
    <xf numFmtId="0" fontId="14" fillId="13" borderId="0" pivotButton="0" quotePrefix="0" xfId="0"/>
    <xf numFmtId="0" fontId="11" fillId="11" borderId="20" applyAlignment="1" pivotButton="0" quotePrefix="0" xfId="0">
      <alignment horizontal="center" wrapText="1"/>
    </xf>
    <xf numFmtId="0" fontId="11" fillId="11" borderId="21" applyAlignment="1" pivotButton="0" quotePrefix="0" xfId="0">
      <alignment horizontal="center" wrapText="1"/>
    </xf>
    <xf numFmtId="0" fontId="11" fillId="11" borderId="22" applyAlignment="1" pivotButton="0" quotePrefix="0" xfId="0">
      <alignment horizontal="center" wrapText="1"/>
    </xf>
    <xf numFmtId="0" fontId="22" fillId="28" borderId="16" pivotButton="0" quotePrefix="0" xfId="4"/>
    <xf numFmtId="1" fontId="22" fillId="28" borderId="16" pivotButton="0" quotePrefix="0" xfId="4"/>
    <xf numFmtId="1" fontId="0" fillId="0" borderId="0" pivotButton="0" quotePrefix="0" xfId="0"/>
    <xf numFmtId="0" fontId="14" fillId="13" borderId="0" applyAlignment="1" pivotButton="0" quotePrefix="0" xfId="0">
      <alignment horizontal="left"/>
    </xf>
    <xf numFmtId="14" fontId="6" fillId="26" borderId="0" applyAlignment="1" pivotButton="0" quotePrefix="0" xfId="0">
      <alignment horizontal="left" vertical="center"/>
    </xf>
    <xf numFmtId="14" fontId="7" fillId="15" borderId="6" applyAlignment="1" pivotButton="0" quotePrefix="0" xfId="0">
      <alignment horizontal="left" vertical="center"/>
    </xf>
    <xf numFmtId="14" fontId="7" fillId="15" borderId="8" applyAlignment="1" pivotButton="0" quotePrefix="0" xfId="0">
      <alignment horizontal="left" vertical="center"/>
    </xf>
    <xf numFmtId="0" fontId="7" fillId="16" borderId="1" applyAlignment="1" pivotButton="0" quotePrefix="0" xfId="0">
      <alignment horizontal="left" vertical="center" wrapText="1"/>
    </xf>
    <xf numFmtId="0" fontId="5" fillId="0" borderId="1" applyAlignment="1" pivotButton="0" quotePrefix="0" xfId="0">
      <alignment horizontal="left" vertical="center"/>
    </xf>
    <xf numFmtId="0" fontId="12" fillId="0" borderId="0" applyAlignment="1" pivotButton="0" quotePrefix="0" xfId="0">
      <alignment horizontal="left"/>
    </xf>
    <xf numFmtId="0" fontId="0" fillId="0" borderId="0" applyAlignment="1" pivotButton="0" quotePrefix="0" xfId="0">
      <alignment horizontal="left"/>
    </xf>
    <xf numFmtId="0" fontId="9" fillId="33" borderId="1" applyAlignment="1" pivotButton="0" quotePrefix="0" xfId="0">
      <alignment horizontal="center" vertical="center"/>
    </xf>
    <xf numFmtId="0" fontId="9" fillId="0" borderId="1" applyAlignment="1" pivotButton="0" quotePrefix="0" xfId="0">
      <alignment horizontal="center" vertical="center"/>
    </xf>
    <xf numFmtId="0" fontId="9" fillId="33" borderId="1" applyAlignment="1" pivotButton="0" quotePrefix="0" xfId="0">
      <alignment horizontal="center"/>
    </xf>
    <xf numFmtId="0" fontId="9" fillId="0" borderId="1" applyAlignment="1" pivotButton="0" quotePrefix="0" xfId="0">
      <alignment horizontal="center"/>
    </xf>
    <xf numFmtId="0" fontId="10" fillId="0" borderId="0" applyAlignment="1" pivotButton="0" quotePrefix="0" xfId="2">
      <alignment horizontal="left"/>
    </xf>
    <xf numFmtId="0" fontId="10" fillId="4" borderId="0" applyAlignment="1" pivotButton="0" quotePrefix="0" xfId="2">
      <alignment horizontal="left"/>
    </xf>
    <xf numFmtId="0" fontId="11" fillId="13" borderId="0" applyAlignment="1" pivotButton="0" quotePrefix="0" xfId="0">
      <alignment horizontal="center"/>
    </xf>
    <xf numFmtId="0" fontId="11" fillId="11" borderId="0" applyAlignment="1" pivotButton="0" quotePrefix="0" xfId="0">
      <alignment horizontal="center"/>
    </xf>
    <xf numFmtId="0" fontId="2" fillId="15" borderId="0" applyAlignment="1" pivotButton="0" quotePrefix="0" xfId="0">
      <alignment horizontal="center"/>
    </xf>
    <xf numFmtId="0" fontId="29" fillId="0" borderId="0" applyAlignment="1" pivotButton="0" quotePrefix="1" xfId="0">
      <alignment horizontal="left" vertical="top" wrapText="1"/>
    </xf>
    <xf numFmtId="0" fontId="9" fillId="0" borderId="0" applyAlignment="1" pivotButton="0" quotePrefix="0" xfId="0">
      <alignment horizontal="left" vertical="center" wrapText="1"/>
    </xf>
    <xf numFmtId="0" fontId="0" fillId="0" borderId="1" applyAlignment="1" pivotButton="0" quotePrefix="0" xfId="0">
      <alignment horizontal="left" wrapText="1"/>
    </xf>
    <xf numFmtId="0" fontId="0" fillId="0" borderId="2" applyAlignment="1" pivotButton="0" quotePrefix="0" xfId="0">
      <alignment horizontal="left" wrapText="1"/>
    </xf>
    <xf numFmtId="0" fontId="0" fillId="0" borderId="18" applyAlignment="1" pivotButton="0" quotePrefix="0" xfId="0">
      <alignment horizontal="left"/>
    </xf>
    <xf numFmtId="0" fontId="0" fillId="0" borderId="19" applyAlignment="1" pivotButton="0" quotePrefix="0" xfId="0">
      <alignment horizontal="left"/>
    </xf>
    <xf numFmtId="0" fontId="0" fillId="0" borderId="18" applyAlignment="1" pivotButton="0" quotePrefix="0" xfId="0">
      <alignment horizontal="left" wrapText="1"/>
    </xf>
    <xf numFmtId="0" fontId="0" fillId="0" borderId="19" applyAlignment="1" pivotButton="0" quotePrefix="0" xfId="0">
      <alignment horizontal="left" wrapText="1"/>
    </xf>
    <xf numFmtId="0" fontId="2" fillId="0" borderId="18" applyAlignment="1" pivotButton="0" quotePrefix="0" xfId="0">
      <alignment horizontal="left"/>
    </xf>
    <xf numFmtId="0" fontId="2" fillId="0" borderId="19" applyAlignment="1" pivotButton="0" quotePrefix="0" xfId="0">
      <alignment horizontal="left"/>
    </xf>
    <xf numFmtId="0" fontId="2" fillId="0" borderId="9" pivotButton="0" quotePrefix="0" xfId="0"/>
    <xf numFmtId="0" fontId="12" fillId="13" borderId="11" applyAlignment="1" pivotButton="0" quotePrefix="0" xfId="0">
      <alignment horizontal="center"/>
    </xf>
    <xf numFmtId="0" fontId="12" fillId="13" borderId="12" applyAlignment="1" pivotButton="0" quotePrefix="0" xfId="0">
      <alignment horizontal="center"/>
    </xf>
    <xf numFmtId="0" fontId="12" fillId="13" borderId="13" applyAlignment="1" pivotButton="0" quotePrefix="0" xfId="0">
      <alignment horizontal="center"/>
    </xf>
    <xf numFmtId="0" fontId="12" fillId="29" borderId="11" applyAlignment="1" pivotButton="0" quotePrefix="0" xfId="0">
      <alignment horizontal="center"/>
    </xf>
    <xf numFmtId="0" fontId="12" fillId="29" borderId="12" applyAlignment="1" pivotButton="0" quotePrefix="0" xfId="0">
      <alignment horizontal="center"/>
    </xf>
    <xf numFmtId="0" fontId="12" fillId="29" borderId="13" applyAlignment="1" pivotButton="0" quotePrefix="0" xfId="0">
      <alignment horizontal="center"/>
    </xf>
    <xf numFmtId="0" fontId="13" fillId="29" borderId="11" applyAlignment="1" pivotButton="0" quotePrefix="0" xfId="0">
      <alignment horizontal="center" vertical="center"/>
    </xf>
    <xf numFmtId="0" fontId="13" fillId="29" borderId="12" applyAlignment="1" pivotButton="0" quotePrefix="0" xfId="0">
      <alignment horizontal="center" vertical="center"/>
    </xf>
    <xf numFmtId="0" fontId="13" fillId="29" borderId="13" applyAlignment="1" pivotButton="0" quotePrefix="0" xfId="0">
      <alignment horizontal="center" vertical="center"/>
    </xf>
    <xf numFmtId="0" fontId="13" fillId="30" borderId="11" applyAlignment="1" pivotButton="0" quotePrefix="0" xfId="0">
      <alignment horizontal="center" vertical="center"/>
    </xf>
    <xf numFmtId="0" fontId="13" fillId="30" borderId="12" applyAlignment="1" pivotButton="0" quotePrefix="0" xfId="0">
      <alignment horizontal="center" vertical="center"/>
    </xf>
    <xf numFmtId="0" fontId="13" fillId="30" borderId="13" applyAlignment="1" pivotButton="0" quotePrefix="0" xfId="0">
      <alignment horizontal="center" vertical="center"/>
    </xf>
    <xf numFmtId="0" fontId="6" fillId="30" borderId="2" applyAlignment="1" pivotButton="0" quotePrefix="0" xfId="0">
      <alignment horizontal="center" vertical="center"/>
    </xf>
    <xf numFmtId="0" fontId="6" fillId="30" borderId="18" applyAlignment="1" pivotButton="0" quotePrefix="0" xfId="0">
      <alignment horizontal="center" vertical="center"/>
    </xf>
    <xf numFmtId="0" fontId="6" fillId="30" borderId="19" applyAlignment="1" pivotButton="0" quotePrefix="0" xfId="0">
      <alignment horizontal="center" vertical="center"/>
    </xf>
    <xf numFmtId="0" fontId="6" fillId="14" borderId="1" applyAlignment="1" pivotButton="0" quotePrefix="0" xfId="0">
      <alignment horizontal="center" vertical="center"/>
    </xf>
    <xf numFmtId="0" fontId="6" fillId="30" borderId="2" applyAlignment="1" pivotButton="0" quotePrefix="0" xfId="0">
      <alignment horizontal="center" vertical="center" wrapText="1"/>
    </xf>
    <xf numFmtId="0" fontId="6" fillId="30" borderId="18" applyAlignment="1" pivotButton="0" quotePrefix="0" xfId="0">
      <alignment horizontal="center" vertical="center" wrapText="1"/>
    </xf>
    <xf numFmtId="0" fontId="6" fillId="30" borderId="19" applyAlignment="1" pivotButton="0" quotePrefix="0" xfId="0">
      <alignment horizontal="center" vertical="center" wrapText="1"/>
    </xf>
    <xf numFmtId="0" fontId="7" fillId="20" borderId="1" applyAlignment="1" pivotButton="0" quotePrefix="0" xfId="0">
      <alignment horizontal="center" vertical="center" wrapText="1"/>
    </xf>
    <xf numFmtId="0" fontId="7" fillId="20" borderId="2" applyAlignment="1" pivotButton="0" quotePrefix="0" xfId="0">
      <alignment horizontal="center" vertical="center" wrapText="1"/>
    </xf>
    <xf numFmtId="0" fontId="6" fillId="29" borderId="1" applyAlignment="1" pivotButton="0" quotePrefix="0" xfId="0">
      <alignment horizontal="center" vertical="center" wrapText="1"/>
    </xf>
    <xf numFmtId="0" fontId="6" fillId="29" borderId="2" applyAlignment="1" pivotButton="0" quotePrefix="0" xfId="0">
      <alignment horizontal="center" vertical="center" wrapText="1"/>
    </xf>
    <xf numFmtId="0" fontId="6" fillId="14" borderId="1" applyAlignment="1" pivotButton="0" quotePrefix="0" xfId="0">
      <alignment horizontal="center" vertical="center" wrapText="1"/>
    </xf>
    <xf numFmtId="0" fontId="6" fillId="14" borderId="0" applyAlignment="1" pivotButton="0" quotePrefix="0" xfId="0">
      <alignment horizontal="center" vertical="center" wrapText="1"/>
    </xf>
    <xf numFmtId="0" fontId="13" fillId="13" borderId="11" applyAlignment="1" pivotButton="0" quotePrefix="0" xfId="0">
      <alignment horizontal="center" vertical="center"/>
    </xf>
    <xf numFmtId="0" fontId="13" fillId="13" borderId="12" applyAlignment="1" pivotButton="0" quotePrefix="0" xfId="0">
      <alignment horizontal="center" vertical="center"/>
    </xf>
    <xf numFmtId="0" fontId="13" fillId="13" borderId="13" applyAlignment="1" pivotButton="0" quotePrefix="0" xfId="0">
      <alignment horizontal="center" vertical="center"/>
    </xf>
    <xf numFmtId="14" fontId="6" fillId="13" borderId="1"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7" applyAlignment="1" pivotButton="0" quotePrefix="0" xfId="0">
      <alignment horizontal="center" vertical="center"/>
    </xf>
    <xf numFmtId="0" fontId="5" fillId="10" borderId="9" applyAlignment="1" pivotButton="0" quotePrefix="0" xfId="0">
      <alignment horizontal="center" vertical="center"/>
    </xf>
    <xf numFmtId="0" fontId="5" fillId="10" borderId="8" applyAlignment="1" pivotButton="0" quotePrefix="0" xfId="0">
      <alignment horizontal="center" vertical="center"/>
    </xf>
    <xf numFmtId="0" fontId="6" fillId="13" borderId="0" applyAlignment="1" pivotButton="0" quotePrefix="0" xfId="0">
      <alignment horizontal="center" vertical="center" wrapText="1"/>
    </xf>
    <xf numFmtId="14" fontId="7" fillId="15" borderId="4" applyAlignment="1" pivotButton="0" quotePrefix="0" xfId="0">
      <alignment horizontal="center" vertical="center"/>
    </xf>
    <xf numFmtId="14" fontId="7" fillId="15" borderId="5" applyAlignment="1" pivotButton="0" quotePrefix="0" xfId="0">
      <alignment horizontal="center" vertical="center"/>
    </xf>
    <xf numFmtId="14" fontId="7" fillId="15" borderId="6" applyAlignment="1" pivotButton="0" quotePrefix="0" xfId="0">
      <alignment horizontal="center" vertical="center"/>
    </xf>
    <xf numFmtId="14" fontId="7" fillId="15" borderId="7" applyAlignment="1" pivotButton="0" quotePrefix="0" xfId="0">
      <alignment horizontal="center" vertical="center"/>
    </xf>
    <xf numFmtId="14" fontId="7" fillId="15" borderId="9" applyAlignment="1" pivotButton="0" quotePrefix="0" xfId="0">
      <alignment horizontal="center" vertical="center"/>
    </xf>
    <xf numFmtId="14" fontId="7" fillId="15" borderId="8" applyAlignment="1" pivotButton="0" quotePrefix="0" xfId="0">
      <alignment horizontal="center" vertical="center"/>
    </xf>
    <xf numFmtId="0" fontId="6" fillId="14" borderId="2" applyAlignment="1" pivotButton="0" quotePrefix="0" xfId="0">
      <alignment horizontal="center" vertical="center" wrapText="1"/>
    </xf>
    <xf numFmtId="0" fontId="6" fillId="14" borderId="18" applyAlignment="1" pivotButton="0" quotePrefix="0" xfId="0">
      <alignment horizontal="center" vertical="center" wrapText="1"/>
    </xf>
    <xf numFmtId="0" fontId="6" fillId="29" borderId="18" applyAlignment="1" pivotButton="0" quotePrefix="0" xfId="0">
      <alignment horizontal="center" vertical="center" wrapText="1"/>
    </xf>
    <xf numFmtId="14" fontId="6" fillId="13" borderId="1" applyAlignment="1" pivotButton="0" quotePrefix="0" xfId="0">
      <alignment horizontal="center" vertical="center" wrapText="1"/>
    </xf>
    <xf numFmtId="0" fontId="11" fillId="13" borderId="0" applyAlignment="1" pivotButton="0" quotePrefix="0" xfId="0">
      <alignment horizontal="center" vertical="center"/>
    </xf>
    <xf numFmtId="0" fontId="6" fillId="13" borderId="1" applyAlignment="1" pivotButton="0" quotePrefix="0" xfId="0">
      <alignment horizontal="center" vertical="center" wrapText="1"/>
    </xf>
    <xf numFmtId="0" fontId="6" fillId="13" borderId="2" applyAlignment="1" pivotButton="0" quotePrefix="0" xfId="0">
      <alignment horizontal="center" vertical="center" wrapText="1"/>
    </xf>
    <xf numFmtId="0" fontId="3" fillId="2" borderId="0" applyAlignment="1" pivotButton="0" quotePrefix="0" xfId="0">
      <alignment horizontal="right" vertical="center"/>
    </xf>
    <xf numFmtId="0" fontId="16" fillId="0" borderId="0" applyAlignment="1" pivotButton="0" quotePrefix="0" xfId="0">
      <alignment horizontal="left" vertical="top" wrapText="1"/>
    </xf>
    <xf numFmtId="0" fontId="16" fillId="0" borderId="0" applyAlignment="1" pivotButton="0" quotePrefix="0" xfId="0">
      <alignment horizontal="left" vertical="top"/>
    </xf>
    <xf numFmtId="0" fontId="4" fillId="21" borderId="0" applyAlignment="1" pivotButton="0" quotePrefix="0" xfId="0">
      <alignment horizontal="center" wrapText="1"/>
    </xf>
    <xf numFmtId="0" fontId="4" fillId="10" borderId="0" applyAlignment="1" pivotButton="0" quotePrefix="0" xfId="0">
      <alignment horizontal="center"/>
    </xf>
    <xf numFmtId="0" fontId="4" fillId="22" borderId="0" applyAlignment="1" pivotButton="0" quotePrefix="0" xfId="0">
      <alignment horizontal="center"/>
    </xf>
    <xf numFmtId="0" fontId="4" fillId="23" borderId="0" applyAlignment="1" pivotButton="0" quotePrefix="0" xfId="0">
      <alignment horizontal="center"/>
    </xf>
    <xf numFmtId="0" fontId="20" fillId="27" borderId="0" applyAlignment="1" pivotButton="0" quotePrefix="0" xfId="0">
      <alignment horizontal="center"/>
    </xf>
    <xf numFmtId="0" fontId="12" fillId="0" borderId="0" applyAlignment="1" pivotButton="0" quotePrefix="0" xfId="0">
      <alignment horizontal="center"/>
    </xf>
    <xf numFmtId="0" fontId="5" fillId="9" borderId="9" applyAlignment="1" pivotButton="0" quotePrefix="0" xfId="0">
      <alignment horizontal="center" vertical="center"/>
    </xf>
    <xf numFmtId="0" fontId="5" fillId="24" borderId="0" applyAlignment="1" pivotButton="0" quotePrefix="0" xfId="0">
      <alignment horizontal="center" vertical="center"/>
    </xf>
    <xf numFmtId="0" fontId="15" fillId="19" borderId="4" applyAlignment="1" pivotButton="0" quotePrefix="0" xfId="0">
      <alignment horizontal="center" vertical="center"/>
    </xf>
    <xf numFmtId="0" fontId="15" fillId="19" borderId="5" applyAlignment="1" pivotButton="0" quotePrefix="0" xfId="0">
      <alignment horizontal="center" vertical="center"/>
    </xf>
    <xf numFmtId="0" fontId="15" fillId="19" borderId="7" applyAlignment="1" pivotButton="0" quotePrefix="0" xfId="0">
      <alignment horizontal="center" vertical="center"/>
    </xf>
    <xf numFmtId="0" fontId="15" fillId="19" borderId="9" applyAlignment="1" pivotButton="0" quotePrefix="0" xfId="0">
      <alignment horizontal="center" vertical="center"/>
    </xf>
    <xf numFmtId="9" fontId="6" fillId="14" borderId="1" applyAlignment="1" pivotButton="0" quotePrefix="0" xfId="1">
      <alignment horizontal="center" vertical="center" wrapText="1"/>
    </xf>
    <xf numFmtId="0" fontId="3" fillId="0" borderId="0" applyAlignment="1" pivotButton="0" quotePrefix="0" xfId="0">
      <alignment horizontal="center" wrapText="1"/>
    </xf>
    <xf numFmtId="0" fontId="9" fillId="20" borderId="11" applyAlignment="1" pivotButton="0" quotePrefix="0" xfId="0">
      <alignment horizontal="center" vertical="center"/>
    </xf>
    <xf numFmtId="0" fontId="9" fillId="20" borderId="12" applyAlignment="1" pivotButton="0" quotePrefix="0" xfId="0">
      <alignment horizontal="center" vertical="center"/>
    </xf>
    <xf numFmtId="0" fontId="9" fillId="20" borderId="13" applyAlignment="1" pivotButton="0" quotePrefix="0" xfId="0">
      <alignment horizontal="center" vertical="center"/>
    </xf>
    <xf numFmtId="0" fontId="7" fillId="20" borderId="18" applyAlignment="1" pivotButton="0" quotePrefix="0" xfId="0">
      <alignment horizontal="center" vertical="center" wrapText="1"/>
    </xf>
    <xf numFmtId="0" fontId="7" fillId="20" borderId="19" applyAlignment="1" pivotButton="0" quotePrefix="0" xfId="0">
      <alignment horizontal="center" vertical="center" wrapText="1"/>
    </xf>
    <xf numFmtId="14" fontId="6" fillId="26" borderId="9" applyAlignment="1" pivotButton="0" quotePrefix="0" xfId="0">
      <alignment horizontal="center" vertical="center"/>
    </xf>
    <xf numFmtId="0" fontId="6" fillId="25" borderId="9" applyAlignment="1" pivotButton="0" quotePrefix="0" xfId="0">
      <alignment horizontal="center" vertical="center"/>
    </xf>
    <xf numFmtId="0" fontId="6" fillId="29" borderId="0" applyAlignment="1" pivotButton="0" quotePrefix="0" xfId="0">
      <alignment horizontal="center" vertical="center"/>
    </xf>
    <xf numFmtId="0" fontId="0" fillId="0" borderId="9" pivotButton="0" quotePrefix="0" xfId="0"/>
    <xf numFmtId="0" fontId="0" fillId="0" borderId="18" pivotButton="0" quotePrefix="0" xfId="0"/>
    <xf numFmtId="0" fontId="0" fillId="0" borderId="19" pivotButton="0" quotePrefix="0" xfId="0"/>
    <xf numFmtId="0" fontId="15" fillId="19" borderId="2" applyAlignment="1" pivotButton="0" quotePrefix="0" xfId="0">
      <alignment horizontal="center" vertical="center"/>
    </xf>
    <xf numFmtId="0" fontId="0" fillId="0" borderId="5" pivotButton="0" quotePrefix="0" xfId="0"/>
    <xf numFmtId="0" fontId="5" fillId="10" borderId="1" applyAlignment="1" pivotButton="0" quotePrefix="0" xfId="0">
      <alignment horizontal="center" vertical="center"/>
    </xf>
    <xf numFmtId="0" fontId="0" fillId="0" borderId="6" pivotButton="0" quotePrefix="0" xfId="0"/>
    <xf numFmtId="14" fontId="7" fillId="15" borderId="1" applyAlignment="1" pivotButton="0" quotePrefix="0" xfId="0">
      <alignment horizontal="center" vertical="center"/>
    </xf>
    <xf numFmtId="0" fontId="0" fillId="0" borderId="7" pivotButton="0" quotePrefix="0" xfId="0"/>
    <xf numFmtId="0" fontId="0" fillId="0" borderId="8" pivotButton="0" quotePrefix="0" xfId="0"/>
    <xf numFmtId="0" fontId="0" fillId="0" borderId="15" pivotButton="0" quotePrefix="0" xfId="0"/>
    <xf numFmtId="0" fontId="0" fillId="0" borderId="14" pivotButton="0" quotePrefix="0" xfId="0"/>
    <xf numFmtId="0" fontId="6" fillId="30" borderId="1" applyAlignment="1" pivotButton="0" quotePrefix="0" xfId="0">
      <alignment horizontal="center" vertical="center"/>
    </xf>
    <xf numFmtId="0" fontId="6" fillId="30" borderId="1" applyAlignment="1" pivotButton="0" quotePrefix="0" xfId="0">
      <alignment horizontal="center" vertical="center" wrapText="1"/>
    </xf>
    <xf numFmtId="0" fontId="0" fillId="0" borderId="12" pivotButton="0" quotePrefix="0" xfId="0"/>
    <xf numFmtId="0" fontId="13" fillId="13" borderId="10" applyAlignment="1" pivotButton="0" quotePrefix="0" xfId="0">
      <alignment horizontal="center" vertical="center"/>
    </xf>
    <xf numFmtId="0" fontId="0" fillId="0" borderId="13" pivotButton="0" quotePrefix="0" xfId="0"/>
    <xf numFmtId="0" fontId="13" fillId="29" borderId="10" applyAlignment="1" pivotButton="0" quotePrefix="0" xfId="0">
      <alignment horizontal="center" vertical="center"/>
    </xf>
    <xf numFmtId="0" fontId="13" fillId="30" borderId="10" applyAlignment="1" pivotButton="0" quotePrefix="0" xfId="0">
      <alignment horizontal="center" vertical="center"/>
    </xf>
    <xf numFmtId="0" fontId="12" fillId="13" borderId="10" applyAlignment="1" pivotButton="0" quotePrefix="0" xfId="0">
      <alignment horizontal="center"/>
    </xf>
    <xf numFmtId="0" fontId="12" fillId="29" borderId="10" applyAlignment="1" pivotButton="0" quotePrefix="0" xfId="0">
      <alignment horizontal="center"/>
    </xf>
  </cellXfs>
  <cellStyles count="5">
    <cellStyle name="Normal" xfId="0" builtinId="0"/>
    <cellStyle name="Percent" xfId="1" builtinId="5"/>
    <cellStyle name="Normal 4" xfId="2"/>
    <cellStyle name="Hyperlink" xfId="3" builtinId="8"/>
    <cellStyle name="Input" xfId="4" builtinId="20"/>
  </cellStyles>
  <dxfs count="183">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patternType="solid">
          <fgColor rgb="FFFBE2D5"/>
          <bgColor rgb="FF0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theme="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FFFF00"/>
        </patternFill>
      </fill>
    </dxf>
    <dxf>
      <fill>
        <patternFill>
          <bgColor rgb="FFFFFF00"/>
        </patternFill>
      </fill>
    </dxf>
    <dxf>
      <fill>
        <patternFill>
          <bgColor rgb="FF92D050"/>
        </patternFill>
      </fill>
    </dxf>
    <dxf>
      <fill>
        <patternFill>
          <bgColor rgb="FFC00000"/>
        </patternFill>
      </fill>
    </dxf>
    <dxf>
      <fill>
        <patternFill>
          <bgColor rgb="FFFFFF00"/>
        </patternFill>
      </fill>
    </dxf>
    <dxf>
      <fill>
        <patternFill>
          <bgColor rgb="FF92D050"/>
        </patternFill>
      </fill>
    </dxf>
    <dxf>
      <fill>
        <patternFill>
          <bgColor rgb="FF00B050"/>
        </patternFill>
      </fill>
    </dxf>
    <dxf>
      <fill>
        <patternFill>
          <bgColor theme="0" tint="-0.1499679555650502"/>
        </patternFill>
      </fill>
    </dxf>
    <dxf>
      <fill>
        <patternFill>
          <bgColor rgb="FFFF0000"/>
        </patternFill>
      </fill>
    </dxf>
    <dxf>
      <fill>
        <patternFill>
          <bgColor rgb="FF92D050"/>
        </patternFill>
      </fill>
    </dxf>
    <dxf>
      <fill>
        <patternFill>
          <bgColor rgb="FFFFFFCC"/>
        </patternFill>
      </fill>
      <border>
        <left style="thin">
          <color auto="1"/>
        </left>
        <right style="thin">
          <color auto="1"/>
        </right>
        <vertical/>
        <horizontal/>
      </border>
    </dxf>
    <dxf>
      <fill>
        <patternFill>
          <bgColor rgb="FFE8E8E8"/>
        </patternFill>
      </fill>
      <border>
        <left style="thin">
          <color auto="1"/>
        </left>
        <right style="thin">
          <color auto="1"/>
        </right>
        <vertical/>
        <horizontal/>
      </border>
    </dxf>
    <dxf>
      <fill>
        <patternFill>
          <bgColor rgb="FFFFFFCC"/>
        </patternFill>
      </fill>
    </dxf>
    <dxf>
      <fill>
        <patternFill>
          <bgColor rgb="FFFFFFCC"/>
        </patternFill>
      </fill>
    </dxf>
    <dxf>
      <font>
        <color rgb="FFFF0000"/>
      </font>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s>
</file>

<file path=xl/comments/comment1.xml><?xml version="1.0" encoding="utf-8"?>
<comments xmlns="http://schemas.openxmlformats.org/spreadsheetml/2006/main">
  <authors>
    <author>tc={08BC158A-969E-4D67-839D-FF33265E984F}</author>
    <author>tc={E52FB5DD-51A0-4D57-B63A-F9D92FCF6C5C}</author>
    <author>tc={0FC57DC6-17D1-4E3E-B52D-8C4440F48F92}</author>
    <author>tc={A0FFCB2B-7DEF-40C0-9909-8D1D80EE7C83}</author>
    <author>tc={91E1CCED-81A8-4506-B259-8AEBC43445FE}</author>
    <author>tc={5836E495-177A-4B77-94F9-F0E91E49CE3A}</author>
    <author>tc={A2889480-F7FE-4B34-9B21-D8D24F326420}</author>
    <author>tc={C2F0857A-BC02-4A1B-B073-D529FB241A2D}</author>
    <author>tc={A16F8D56-6F5C-4F8E-AA0A-FD5D9EB1665E}</author>
    <author>tc={21E66285-8263-4788-9556-F2DECE98E869}</author>
    <author>tc={CCDAF93E-687F-4B88-AEA7-7D35A6175C67}</author>
    <author>tc={F7B9C23B-4F78-4195-8323-289C59E3B1FF}</author>
    <author>tc={FF2B224C-40C5-4EAC-8420-46F49DF3E3BB}</author>
    <author>tc={A1A22307-2509-4EE9-B5AB-DE109CD116A9}</author>
    <author>tc={AA1753E6-8A4B-4CE8-8D6A-CF6B3B221B35}</author>
    <author>tc={670E1313-D1FF-4E56-B630-9D6C89DE3B96}</author>
    <author>tc={73263EC4-6F5A-48A3-8550-1513F40E6B66}</author>
    <author>tc={8E554F45-B388-4AEB-8B40-BF00E768870A}</author>
    <author>tc={3D4F271B-0118-4D98-9BFD-F9DDD2F44661}</author>
    <author>tc={E9CC74F1-79B2-4822-B53F-72EB84341249}</author>
    <author>tc={B41373CF-F784-432A-BB9D-C1E13F5D239B}</author>
    <author>tc={8658C90C-3745-4532-A4C1-DFDA147CB2F1}</author>
    <author>tc={D2C72F31-62D7-4F21-930F-1103B5193EA9}</author>
    <author>tc={3BC82244-D1CE-43D8-9AD9-5839D30EA82B}</author>
    <author>tc={65B6615F-DEA1-4E32-B4A3-3E45EF21615B}</author>
    <author>tc={6A38574B-E458-4FB3-82F7-683CFE6BE099}</author>
    <author>tc={771A4593-9052-4961-8D7E-B753A98C576A}</author>
    <author>tc={E0410239-E63C-4102-B2B4-9D078268B850}</author>
    <author>tc={51FCA388-CA91-43F8-B6B9-586774A84E1A}</author>
    <author>tc={ECAF61EE-7041-4B4F-A868-10D3EF070DC4}</author>
    <author>tc={A6A5D544-D923-427A-A376-59A999BFBDE2}</author>
    <author>tc={BAFCC0C7-5872-4DA2-858B-D8F3EA0E2E4E}</author>
    <author>tc={9C5433C9-2195-444D-AF1C-1FB2CF7BB802}</author>
    <author>tc={042611B2-FFBA-4E8F-9946-248F6B9B8165}</author>
    <author>tc={21C6C478-2F06-410E-AE6C-7610DB8527A0}</author>
    <author>tc={D01D9706-9BF2-4112-8754-A78B011C0A74}</author>
    <author>tc={2C848EBF-A0A3-436F-A5BC-2A57C120894A}</author>
    <author>tc={944DA72B-9826-47E7-86C2-FA15F8CC21CE}</author>
    <author>tc={43E56FF7-CEEB-4EA0-889A-B8DC4990A2B9}</author>
    <author>tc={DD206D59-72EF-49E8-A62D-FD721E544CD4}</author>
    <author>tc={E2FA127D-6371-4205-BDD1-783367837589}</author>
    <author>tc={6ABCC524-3B25-4C74-8718-8D7735E7197F}</author>
    <author>tc={B4205A6A-CA8C-4F1B-B620-F279DDC972E6}</author>
    <author>tc={B0B48EB2-1E79-4E96-9467-F9DF4E16AAE0}</author>
  </authors>
  <commentList>
    <comment ref="I4" authorId="0" shapeId="0">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L7" authorId="10" shapeId="0">
      <text>
        <t>[Threaded comment]
Your version of Excel allows you to read this threaded comment; however, any edits to it will get removed if the file is opened in a newer version of Excel. Learn more: https://go.microsoft.com/fwlink/?linkid=870924
Comment:
    Design Review Engineering Approval</t>
      </text>
    </comment>
    <comment ref="BO7" authorId="11" shapeId="0">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2" shapeId="0">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3" shapeId="0">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4" shapeId="0">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5" shapeId="0">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6" shapeId="0">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7" shapeId="0">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8"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9"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20"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1"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2" shapeId="0">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3" shapeId="0">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4"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5"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6"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7"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8"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9"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30" shapeId="0">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1" shapeId="0">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2" shapeId="0">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3" shapeId="0">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4"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5" shapeId="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6"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7" shapeId="0">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8" shapeId="0">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9" shapeId="0">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40"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1" shapeId="0">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2"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3"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comments/comment2.xml><?xml version="1.0" encoding="utf-8"?>
<comments xmlns="http://schemas.openxmlformats.org/spreadsheetml/2006/main">
  <authors>
    <author>tc={BE2375AC-1FAF-44E1-9EC4-C93788DC684C}</author>
    <author>tc={66875AA3-88D8-4D84-BF53-5839F1A26708}</author>
    <author>tc={7C683C32-962F-4806-A1AB-6E6964B34523}</author>
    <author>tc={5653E446-D393-40C1-A794-4800335652B4}</author>
    <author>tc={5AF57A17-74DC-4747-BE7A-3ECB75BAA857}</author>
    <author>tc={37CF6CAF-52BB-4529-8422-966BD1CCE868}</author>
    <author>tc={824A813A-6CF6-48FE-A258-EEDC94DB712A}</author>
    <author>tc={4D0D99E7-0094-428B-B4F4-7B322D6B90F4}</author>
    <author>tc={2C4E589F-A397-4587-9013-84365E829417}</author>
    <author>tc={D97378B8-583E-448E-86BE-F41E0762D426}</author>
    <author>tc={14D2AC08-373C-4BC2-AC0D-85F8A0D6A8AA}</author>
    <author>tc={A3C47215-1FE3-4A49-8B37-F428270BEE7B}</author>
    <author>tc={2345DA65-6CF7-49C3-A58C-1E7B3DE155A9}</author>
    <author>tc={D8214D93-D1B2-45B3-B845-B36EB771B5E9}</author>
    <author>tc={F80009F5-45DC-4AD7-91C7-8A71CD4B93B1}</author>
    <author>tc={A5F5E895-759C-4BEE-B19F-4DC31DEBE3DB}</author>
    <author>tc={01E7CAAD-4D42-4568-8253-AE173FA9BE5B}</author>
    <author>tc={D08A23F8-16DA-4C83-93FE-8492D92356C8}</author>
    <author>tc={E7537BC0-5699-48AD-9736-584B1942D35D}</author>
    <author>tc={31848541-5900-4B87-89CD-C8EF7B691CDC}</author>
    <author>tc={031108AA-8D04-4990-BBCF-DD2098939F33}</author>
    <author>tc={A17DACD4-9174-4F7B-BF3B-3B8DB1AA6D75}</author>
    <author>tc={B70C87FD-4CEE-4A8D-8E61-009C17EC9285}</author>
    <author>tc={DC7FE293-C0CC-4BF1-A7C2-3363470F8714}</author>
    <author>tc={8CDAC6A0-56FE-46A3-AB76-6DD10A2BD26C}</author>
    <author>tc={FEE21791-EC55-4C04-BD78-64F3CC5D57BA}</author>
    <author>tc={9AD321C6-E1D9-4FDF-9937-701F038A0377}</author>
    <author>tc={29032A7E-71C5-4C1F-9F24-B6B9A77EF185}</author>
    <author>tc={A4708FEF-8C18-4144-B3C6-748E0A041265}</author>
    <author>tc={1A7F99C2-82A0-45F7-9A2C-D5A86A99C631}</author>
    <author>tc={52124900-563F-4B55-8AF7-A30CB795B34B}</author>
    <author>tc={9B0E2A01-42FA-4319-8198-8CDC54B5D1A1}</author>
    <author>tc={5BD3A202-51E5-4C14-8991-8AFD7E94E761}</author>
    <author>tc={293A5B57-37A4-4D7A-BE86-C5C05B9BC6AE}</author>
    <author>tc={F847554A-54F2-45F2-B61F-704798CE2FB0}</author>
    <author>tc={7EB810F2-8894-4EB0-97BB-1A6ECE894423}</author>
    <author>tc={881D75AE-2AD0-419D-8BFF-F7956CFB8117}</author>
    <author>tc={726E5D60-889F-4B30-974F-188BC48C3E1B}</author>
    <author>tc={95C3C469-5D1C-4FD2-918F-12C6DEA588F2}</author>
    <author>tc={22E25760-5825-4B1F-AB5F-F312CBAE0AB4}</author>
    <author>tc={4982CBF0-3EB0-40A8-BCE8-F06A0802EB1C}</author>
    <author>tc={FB1F36B9-04E3-491C-AB3C-07EFB1DCA83E}</author>
    <author>tc={D31E8C5D-06AB-466B-AE26-8E6E4E49F062}</author>
  </authors>
  <commentList>
    <comment ref="I4" authorId="0" shapeId="0">
      <text>
        <t>[Threaded comment]
Your version of Excel allows you to read this threaded comment; however, any edits to it will get removed if the file is opened in a newer version of Excel. Learn more: https://go.microsoft.com/fwlink/?linkid=870924
Comment:
    Only Applicable for Power Systems</t>
      </text>
    </comment>
    <comment ref="J7" authorId="1" shapeId="0">
      <text>
        <t>[Threaded comment]
Your version of Excel allows you to read this threaded comment; however, any edits to it will get removed if the file is opened in a newer version of Excel. Learn more: https://go.microsoft.com/fwlink/?linkid=870924
Comment:
    PSC = Procurement Spec</t>
      </text>
    </comment>
    <comment ref="P7" authorId="2" shapeId="0">
      <text>
        <t>[Threaded comment]
Your version of Excel allows you to read this threaded comment; however, any edits to it will get removed if the file is opened in a newer version of Excel. Learn more: https://go.microsoft.com/fwlink/?linkid=870924
Comment:
    BTP FAIR Only will not require a TDR, but to efficiently provide a link to PFEP tab not blanking this out, but leaving as grey</t>
      </text>
    </comment>
    <comment ref="Y7" authorId="3" shapeId="0">
      <text>
        <t>[Threaded comment]
Your version of Excel allows you to read this threaded comment; however, any edits to it will get removed if the file is opened in a newer version of Excel. Learn more: https://go.microsoft.com/fwlink/?linkid=870924
Comment:
    Often up front drawing changes will be found during EPA/TDR, later dwg changes will need to be built into the supplier build time</t>
      </text>
    </comment>
    <comment ref="AB7" authorId="4" shapeId="0">
      <text>
        <t>[Threaded comment]
Your version of Excel allows you to read this threaded comment; however, any edits to it will get removed if the file is opened in a newer version of Excel. Learn more: https://go.microsoft.com/fwlink/?linkid=870924
Comment:
    Applicable for Repositions or Transitions with suppliers that are new to HON and need to be set up in multiple systems: SAP, Net-Inspect, HASP, etc.
For this scenario, the suggested duration is of 20 workdays</t>
      </text>
    </comment>
    <comment ref="AN7" authorId="5" shapeId="0">
      <text>
        <t>[Threaded comment]
Your version of Excel allows you to read this threaded comment; however, any edits to it will get removed if the file is opened in a newer version of Excel. Learn more: https://go.microsoft.com/fwlink/?linkid=870924
Comment:
    Largely unused anymore, can set as 0 duration</t>
      </text>
    </comment>
    <comment ref="AQ7" authorId="6" shapeId="0">
      <text>
        <t>[Threaded comment]
Your version of Excel allows you to read this threaded comment; however, any edits to it will get removed if the file is opened in a newer version of Excel. Learn more: https://go.microsoft.com/fwlink/?linkid=870924
Comment:
    Formal onsite review with full checklist completed by SDE, the one pager in the TRB file does not count. Check with SDE to determine if one has been completed recently that is still valid</t>
      </text>
    </comment>
    <comment ref="AT7" authorId="7" shapeId="0">
      <text>
        <t>[Threaded comment]
Your version of Excel allows you to read this threaded comment; however, any edits to it will get removed if the file is opened in a newer version of Excel. Learn more: https://go.microsoft.com/fwlink/?linkid=870924
Comment:
    Once you have validation plan from EPA/TDR this can be completed even before formal EPA/TDR approval in ERS or TeamCenter
Reply:
    ECE = Engineering Cost Estimate</t>
      </text>
    </comment>
    <comment ref="AZ7" authorId="8"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BI7" authorId="9" shapeId="0">
      <text>
        <t>[Threaded comment]
Your version of Excel allows you to read this threaded comment; however, any edits to it will get removed if the file is opened in a newer version of Excel. Learn more: https://go.microsoft.com/fwlink/?linkid=870924
Comment:
    Initial meetings with internal team and/or go-to supplier</t>
      </text>
    </comment>
    <comment ref="BO7" authorId="10" shapeId="0">
      <text>
        <t>[Threaded comment]
Your version of Excel allows you to read this threaded comment; however, any edits to it will get removed if the file is opened in a newer version of Excel. Learn more: https://go.microsoft.com/fwlink/?linkid=870924
Comment:
    Level 1 Design Review (DR)</t>
      </text>
    </comment>
    <comment ref="BR7" authorId="11" shapeId="0">
      <text>
        <t>[Threaded comment]
Your version of Excel allows you to read this threaded comment; however, any edits to it will get removed if the file is opened in a newer version of Excel. Learn more: https://go.microsoft.com/fwlink/?linkid=870924
Comment:
    Technical Concept Review</t>
      </text>
    </comment>
    <comment ref="BU7" authorId="12" shapeId="0">
      <text>
        <t>[Threaded comment]
Your version of Excel allows you to read this threaded comment; however, any edits to it will get removed if the file is opened in a newer version of Excel. Learn more: https://go.microsoft.com/fwlink/?linkid=870924
Comment:
    Preliminary Design Review (PDR)</t>
      </text>
    </comment>
    <comment ref="BX7" authorId="13" shapeId="0">
      <text>
        <t>[Threaded comment]
Your version of Excel allows you to read this threaded comment; however, any edits to it will get removed if the file is opened in a newer version of Excel. Learn more: https://go.microsoft.com/fwlink/?linkid=870924
Comment:
    Critical Design Review (CDR)</t>
      </text>
    </comment>
    <comment ref="CA7" authorId="14" shapeId="0">
      <text>
        <t>[Threaded comment]
Your version of Excel allows you to read this threaded comment; however, any edits to it will get removed if the file is opened in a newer version of Excel. Learn more: https://go.microsoft.com/fwlink/?linkid=870924
Comment:
    Includes time to close all CDR actions for BTS parts</t>
      </text>
    </comment>
    <comment ref="CG7" authorId="15" shapeId="0">
      <text>
        <t>[Threaded comment]
Your version of Excel allows you to read this threaded comment; however, any edits to it will get removed if the file is opened in a newer version of Excel. Learn more: https://go.microsoft.com/fwlink/?linkid=870924
Comment:
    Approval date is the combination of HON &amp; Customer, if applicable
Reply:
    HON Approval: 15 WD
HON + Cust Approval: 60WD</t>
      </text>
    </comment>
    <comment ref="CP7" authorId="16" shapeId="0">
      <text>
        <t>[Threaded comment]
Your version of Excel allows you to read this threaded comment; however, any edits to it will get removed if the file is opened in a newer version of Excel. Learn more: https://go.microsoft.com/fwlink/?linkid=870924
Comment:
    The baseline for Execution milestones will be set up once there is an Actual Completion Date for the FAIR PO Acknowledgment by the supplier</t>
      </text>
    </comment>
    <comment ref="CT7" authorId="17"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CW7" authorId="18" shapeId="0">
      <text>
        <t>[Threaded comment]
Your version of Excel allows you to read this threaded comment; however, any edits to it will get removed if the file is opened in a newer version of Excel. Learn more: https://go.microsoft.com/fwlink/?linkid=870924
Comment:
    Most projects will not have this, if N/A then 0 for duration</t>
      </text>
    </comment>
    <comment ref="CZ7" authorId="19" shapeId="0">
      <text>
        <t>[Threaded comment]
Your version of Excel allows you to read this threaded comment; however, any edits to it will get removed if the file is opened in a newer version of Excel. Learn more: https://go.microsoft.com/fwlink/?linkid=870924
Comment:
    Baseline assumes 6 months for material lead-time.  Adjust as needed...</t>
      </text>
    </comment>
    <comment ref="DC7" authorId="20"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DF7" authorId="21" shapeId="0">
      <text>
        <t>[Threaded comment]
Your version of Excel allows you to read this threaded comment; however, any edits to it will get removed if the file is opened in a newer version of Excel. Learn more: https://go.microsoft.com/fwlink/?linkid=870924
Comment:
    At baseline adjust duration for schedule and then have cell locked by VS IRB/TRB focal</t>
      </text>
    </comment>
    <comment ref="DP7" authorId="22" shapeId="0">
      <text>
        <t>[Threaded comment]
Your version of Excel allows you to read this threaded comment; however, any edits to it will get removed if the file is opened in a newer version of Excel. Learn more: https://go.microsoft.com/fwlink/?linkid=870924
Comment:
    3.3.4.4	Test Readiness Review (TRR)
The Supplier shall plan/coordinate a TRR for each part or group of parts subject to test.  The TRR shall be attended by Honeywell and shall demonstrate that all necessary test hardware, tooling and procedures are available and approved in advance of the testing to be performed. The TRR shall be conducted at least 1 week prior to the start of substantiation testing.</t>
      </text>
    </comment>
    <comment ref="DS7" authorId="23"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STICs, Proof &amp; Burst, Fire Test, Fixed Process, Metallurgy, etc.
Reply:
    If N/A - adjust duration to "0"</t>
      </text>
    </comment>
    <comment ref="EA7" authorId="24" shapeId="0">
      <text>
        <t>[Threaded comment]
Your version of Excel allows you to read this threaded comment; however, any edits to it will get removed if the file is opened in a newer version of Excel. Learn more: https://go.microsoft.com/fwlink/?linkid=870924
Comment:
    A inchstone plan for this should be created by the PE, adjust the duration to align to the inchstone.  One initial plan is set, cell must be locked by VS IRB/TRB Focal
Reply:
    Common items: Machining trials, engine test</t>
      </text>
    </comment>
    <comment ref="EE7" authorId="25"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
Reply:
    This is all of the post test reports being completed, examples: engine test report, gear report, STR, FTR, etc. Anything that is needed for the SS1 ECN.
Reply:
    FAIR Only parts are greyed out since N/A, leaving a date in here to support PFEP link</t>
      </text>
    </comment>
    <comment ref="EN7" authorId="26"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Q7" authorId="27"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ET7" authorId="28" shapeId="0">
      <text>
        <t>[Threaded comment]
Your version of Excel allows you to read this threaded comment; however, any edits to it will get removed if the file is opened in a newer version of Excel. Learn more: https://go.microsoft.com/fwlink/?linkid=870924
Comment:
    If N/A change duration to 0</t>
      </text>
    </comment>
    <comment ref="FC7" authorId="29" shapeId="0">
      <text>
        <t>[Threaded comment]
Your version of Excel allows you to read this threaded comment; however, any edits to it will get removed if the file is opened in a newer version of Excel. Learn more: https://go.microsoft.com/fwlink/?linkid=870924
Comment:
    4 to 5 weeks after SS1 Elevation.</t>
      </text>
    </comment>
    <comment ref="FI7" authorId="30" shapeId="0">
      <text>
        <t>[Threaded comment]
Your version of Excel allows you to read this threaded comment; however, any edits to it will get removed if the file is opened in a newer version of Excel. Learn more: https://go.microsoft.com/fwlink/?linkid=870924
Comment:
    When all actions completed including final audit pass</t>
      </text>
    </comment>
    <comment ref="FL7" authorId="31" shapeId="0">
      <text>
        <t>[Threaded comment]
Your version of Excel allows you to read this threaded comment; however, any edits to it will get removed if the file is opened in a newer version of Excel. Learn more: https://go.microsoft.com/fwlink/?linkid=870924
Comment:
    Production Cutover Date should match your 1st Production Delivery Date.</t>
      </text>
    </comment>
    <comment ref="FO7" authorId="32" shapeId="0">
      <text>
        <t>[Threaded comment]
Your version of Excel allows you to read this threaded comment; however, any edits to it will get removed if the file is opened in a newer version of Excel. Learn more: https://go.microsoft.com/fwlink/?linkid=870924
Comment:
    Use formula ONLY to determine TCD date, after TRB approval replace the formula with a hard coded date, otherwise as your schedule moves this will move with it and you mass pass your TCD without even realizing it</t>
      </text>
    </comment>
    <comment ref="A8" authorId="33"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Project name, helps with filters</t>
      </text>
    </comment>
    <comment ref="B8" authorId="34" shapeId="0">
      <text>
        <t>[Threaded comment]
Your version of Excel allows you to read this threaded comment; however, any edits to it will get removed if the file is opened in a newer version of Excel. Learn more: https://go.microsoft.com/fwlink/?linkid=870924
Comment:
    Only use 2nd line of each pair for AID, helps with filters</t>
      </text>
    </comment>
    <comment ref="C8" authorId="35" shapeId="0">
      <text>
        <t>[Threaded comment]
Your version of Excel allows you to read this threaded comment; however, any edits to it will get removed if the file is opened in a newer version of Excel. Learn more: https://go.microsoft.com/fwlink/?linkid=870924
Comment:
    Only use 2nd line of each pair for PN, helps with filters</t>
      </text>
    </comment>
    <comment ref="E8" authorId="36" shapeId="0">
      <text>
        <t xml:space="preserve">[Threaded comment]
Your version of Excel allows you to read this threaded comment; however, any edits to it will get removed if the file is opened in a newer version of Excel. Learn more: https://go.microsoft.com/fwlink/?linkid=870924
Comment:
    *Red: Run Out Date occurs prior to or within 3 months of First Production Lot (FPL) Ready date- Risk on delivery gap between Incumbent/New Source
*Yellow: Run Out Date occurs 4-6 months after FPL Ready date-  Risk on delivery gap between Incumbent/New Source
*Green: Run Out Date occurs 7-23 months after FPL Ready date – No Risk on delivery gap between Incumbent/New Source
*Covered: 24 months+ before demand needs supported. – No Risk on delivery gap between Incumbent/New Source
</t>
      </text>
    </comment>
    <comment ref="F8" authorId="37" shapeId="0">
      <text>
        <t>[Threaded comment]
Your version of Excel allows you to read this threaded comment; however, any edits to it will get removed if the file is opened in a newer version of Excel. Learn more: https://go.microsoft.com/fwlink/?linkid=870924
Comment:
    Select the Pair of lines to use based on what type of project you have, likely will know this up front but 100% after EPA/TDR</t>
      </text>
    </comment>
    <comment ref="H8" authorId="38" shapeId="0">
      <text>
        <t>[Threaded comment]
Your version of Excel allows you to read this threaded comment; however, any edits to it will get removed if the file is opened in a newer version of Excel. Learn more: https://go.microsoft.com/fwlink/?linkid=870924
Comment:
    The Baseline will change to Execution once there is an Actual Completion Date for the FAIR Order Acknowledged</t>
      </text>
    </comment>
    <comment ref="EK8" authorId="39"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 ref="EN8" authorId="40" shapeId="0">
      <text>
        <t>[Threaded comment]
Your version of Excel allows you to read this threaded comment; however, any edits to it will get removed if the file is opened in a newer version of Excel. Learn more: https://go.microsoft.com/fwlink/?linkid=870924
Comment:
    Eventually, it all goes into service. This is achieved through certification by a Civil (Airworthiness) Aviation Authority
FAA
EASA (Europe)
ANAC (Brazil)
CAAC (China)
Transport Canada
Reply:
    What does certification mean?
At some point all goods need to be certified and this is granted to the Applicant by the Airworthiness Authority’s Aircraft Cert Office (ACO)
A Technical Standard Order (TSO) Authorization or equivalent (FAA issues TSO, EASA issues an ETSO) 
These goods are represented to have a self standing function and can be installed in multiple aircraft
Very common in General Aviation and Business Jet Markets
Less common in the Air Transport Markets but every aircraft has Line Replaceable Units (LRUs) that hold a TSO
Air Transport goods are typically certified by the Airframer of the Aircraft as the Applicant to Airworthiness Authorities
All certification artifacts are generated by Honeywell and becomes part of the Airframer’s Aircraft Certification Package to Cert Authorities
When a good is first proposed to be installed on an aircraft that is already certified, a Supplemental Type Certificate (STC) is required</t>
      </text>
    </comment>
    <comment ref="EQ8" authorId="41" shapeId="0">
      <text>
        <t>[Threaded comment]
Your version of Excel allows you to read this threaded comment; however, any edits to it will get removed if the file is opened in a newer version of Excel. Learn more: https://go.microsoft.com/fwlink/?linkid=870924
Comment:
    For new PNs customer approval can come after SS1 elevation, however for same PN customer approval is needed prior to SS1 elevation.</t>
      </text>
    </comment>
    <comment ref="EZ8" authorId="42" shapeId="0">
      <text>
        <t>[Threaded comment]
Your version of Excel allows you to read this threaded comment; however, any edits to it will get removed if the file is opened in a newer version of Excel. Learn more: https://go.microsoft.com/fwlink/?linkid=870924
Comment:
    AG-5924 MRR/MRA is not applicable for suppliers per AG-5924 paragraph 3. Applicability -  The MRA is only applicable to products manufactured at Honeywell locations.</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Relationships xmlns="http://schemas.openxmlformats.org/package/2006/relationships"><Relationship Type="http://schemas.openxmlformats.org/officeDocument/2006/relationships/hyperlink" Target="../Simplified%20IMS%20%26%20Inchstones" TargetMode="External" Id="rId1"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commentsDrawing2.vml" Id="anysvml" /></Relationships>
</file>

<file path=xl/worksheets/sheet1.xml><?xml version="1.0" encoding="utf-8"?>
<worksheet xmlns="http://schemas.openxmlformats.org/spreadsheetml/2006/main">
  <sheetPr codeName="Sheet1">
    <tabColor rgb="FFFFFF00"/>
    <outlinePr summaryBelow="1" summaryRight="1"/>
    <pageSetUpPr/>
  </sheetPr>
  <dimension ref="A1:G147"/>
  <sheetViews>
    <sheetView showGridLines="0" workbookViewId="0">
      <selection activeCell="B5" sqref="B5"/>
    </sheetView>
  </sheetViews>
  <sheetFormatPr baseColWidth="8" defaultRowHeight="14.4" outlineLevelRow="1"/>
  <cols>
    <col width="26.44140625" customWidth="1" min="1" max="1"/>
    <col width="50.88671875" customWidth="1" min="2" max="2"/>
    <col width="10.33203125" customWidth="1" min="3" max="5"/>
    <col width="11.33203125" customWidth="1" min="6" max="6"/>
  </cols>
  <sheetData>
    <row r="1">
      <c r="A1" s="119" t="inlineStr">
        <is>
          <t>Mandatory Information</t>
        </is>
      </c>
    </row>
    <row r="2">
      <c r="D2" s="123" t="inlineStr">
        <is>
          <t>Cells B3 to B6 are mandatory, make sure these are filled out before saving this file.
Please do not add rows or columns before this section. Do not rename the titles on column A either.</t>
        </is>
      </c>
    </row>
    <row r="3" ht="14.4" customHeight="1">
      <c r="A3" s="81" t="inlineStr">
        <is>
          <t>Save SIMS by</t>
        </is>
      </c>
      <c r="B3" s="82" t="inlineStr">
        <is>
          <t>Project Name</t>
        </is>
      </c>
    </row>
    <row r="4">
      <c r="A4" s="83">
        <f t="array" ref="A4">_xlfn.IFS($B$3="","",$B$3="Supplier Name","Supplier Name",$B$3="Project Name","Project Name",$B$3="Project Manager","")</f>
        <v/>
      </c>
      <c r="B4" s="85" t="inlineStr">
        <is>
          <t>Advanced Manufacturing</t>
        </is>
      </c>
      <c r="C4" s="84" t="n"/>
    </row>
    <row r="5">
      <c r="A5" s="81" t="inlineStr">
        <is>
          <t>Project Manager</t>
        </is>
      </c>
      <c r="B5" s="82" t="inlineStr">
        <is>
          <t>Sayee Thakare</t>
        </is>
      </c>
      <c r="C5" s="49" t="n"/>
    </row>
    <row r="6" ht="28.8" customHeight="1">
      <c r="A6" s="81" t="inlineStr">
        <is>
          <t>Supplier Transitions &amp; Repositions Team</t>
        </is>
      </c>
      <c r="B6" s="82" t="inlineStr">
        <is>
          <t>ELE</t>
        </is>
      </c>
      <c r="C6" s="49" t="n"/>
    </row>
    <row r="8">
      <c r="A8" s="121" t="inlineStr">
        <is>
          <t>General Guidelines</t>
        </is>
      </c>
    </row>
    <row r="9" ht="75.59999999999999" customHeight="1">
      <c r="A9" s="122" t="inlineStr">
        <is>
          <t>To ensure your SIMS is successfully published:
-Make sure the above 3 fields in red are properly filled out
-Do not rename nor delete the SIMS sheet
-Do not insert any rows before row # 8
-Do not rename existing columns
-Only enter Numeric or Date value for those types of columns: If a task doesn’t apply, please enter 0 in the duration row
First Time Publishing your SIMS
-Utilize the PUBLISH IMS button on the SIMS sheet
-If there is no Actual FAIR Order Acknowledged Date (refer to the Baseline Type column (H)), the system will consider it as the initial “Pre-Execution” baseline and will lock it in the database and harcode your baseline dates up to the TRB Approval milestone on this file
-For projects with a FAIR Order Acknowledged Actual Completion Date, the system will add them both the “Pre-Execution” and “Execution” baselines, it will lock them in the database and will hardcode ALL your baseline dates on this file
Subsequent Publications
-The previous file will be overwritten, and the system will take your current schedule
-The system will check for part project that moved from “Pre-Execution” to “Execution” and will add and lock the Execution Baseline in the database. All baselines dates after the TRB approval milestone will be hardcoded in the file as well.</t>
        </is>
      </c>
    </row>
    <row r="10" ht="52.95" customHeight="1"/>
    <row r="11" ht="22.95" customHeight="1"/>
    <row r="12" ht="67.2" customHeight="1"/>
    <row r="13">
      <c r="A13" s="73" t="inlineStr">
        <is>
          <t>Baseline Changes</t>
        </is>
      </c>
      <c r="B13" s="122" t="n"/>
      <c r="C13" s="122" t="n"/>
      <c r="D13" s="122" t="n"/>
      <c r="E13" s="122" t="n"/>
      <c r="F13" s="122" t="n"/>
    </row>
    <row r="14">
      <c r="A14" s="74" t="inlineStr">
        <is>
          <t>-Please follow the baseline change management process</t>
        </is>
      </c>
      <c r="B14" s="122" t="n"/>
      <c r="C14" s="122" t="n"/>
      <c r="D14" s="122" t="n"/>
      <c r="E14" s="122" t="n"/>
      <c r="F14" s="122" t="n"/>
    </row>
    <row r="15">
      <c r="A15" s="72" t="inlineStr">
        <is>
          <t>Resources</t>
        </is>
      </c>
      <c r="B15" s="16" t="n"/>
      <c r="C15" s="16" t="n"/>
      <c r="D15" s="16" t="n"/>
      <c r="E15" s="16" t="n"/>
      <c r="F15" s="16" t="n"/>
    </row>
    <row r="16">
      <c r="A16" s="93" t="inlineStr">
        <is>
          <t>https://honeywellprod.sharepoint.com/teams/OpExSupplierReadiness/LearningAcademy/MOS%20and%20Standard%20Templates/PM_MOS_Tools/Simplified%20IMS%20%26%20Inchstones</t>
        </is>
      </c>
      <c r="B16" s="16" t="n"/>
      <c r="C16" s="16" t="n"/>
      <c r="D16" s="16" t="n"/>
      <c r="E16" s="16" t="n"/>
      <c r="F16" s="16" t="n"/>
    </row>
    <row r="18">
      <c r="A18" s="120" t="inlineStr">
        <is>
          <t>Key Metrics</t>
        </is>
      </c>
    </row>
    <row r="19">
      <c r="A19" s="97" t="inlineStr">
        <is>
          <t>Category</t>
        </is>
      </c>
      <c r="B19" s="97" t="inlineStr">
        <is>
          <t>Milestone/Task</t>
        </is>
      </c>
      <c r="C19" s="132" t="inlineStr">
        <is>
          <t>Responsible Person</t>
        </is>
      </c>
      <c r="D19" s="207" t="n"/>
      <c r="E19" s="207" t="n"/>
      <c r="F19" s="97" t="n"/>
    </row>
    <row r="20" outlineLevel="1" ht="42" customHeight="1">
      <c r="A20" s="66" t="inlineStr">
        <is>
          <t>General Metric Drivers</t>
        </is>
      </c>
      <c r="B20" s="67" t="inlineStr">
        <is>
          <t>Project Start IRB Approval Date
FAIR Order Placed
FAIR Order Acknowledged</t>
        </is>
      </c>
      <c r="C20" s="124" t="inlineStr">
        <is>
          <t>Project Initiator
Project Manager
Project Manager</t>
        </is>
      </c>
      <c r="D20" s="208" t="n"/>
      <c r="E20" s="209" t="n"/>
    </row>
    <row r="21" outlineLevel="1" ht="72" customHeight="1">
      <c r="A21" s="68" t="inlineStr">
        <is>
          <t>L1 Milestones</t>
        </is>
      </c>
      <c r="B21" s="67" t="inlineStr">
        <is>
          <t>EPA/TDR/ECE
Supplier &amp; HON STR/QTR Approved by HON Eng
Supplier Signed Contract 
Final FAIR
Target Complete Date (TCD)</t>
        </is>
      </c>
      <c r="C21" s="124" t="inlineStr">
        <is>
          <t>Project Engineer
Project Engineer
Commodity Manager
Project Manager
Project Manager</t>
        </is>
      </c>
      <c r="D21" s="208" t="n"/>
      <c r="E21" s="209" t="n"/>
    </row>
    <row r="22" outlineLevel="1" ht="100.8" customHeight="1">
      <c r="A22" s="69" t="inlineStr">
        <is>
          <t>L2 Milestones</t>
        </is>
      </c>
      <c r="B22" s="67" t="inlineStr">
        <is>
          <t>Quote Received
Capability &amp; Capacity Assessment Complete
TRB Approval Date
Material Received at Supplier
Supplier FAIR Lot Build Complete
IMS Part Complete Date (PCD)
Production Cutover Date</t>
        </is>
      </c>
      <c r="C22" s="124" t="inlineStr">
        <is>
          <t>Commodity Manager
Supplier Development Engineer*
Commodity Manager
Project Manager
Project Manager
Project Manager
Project Manager</t>
        </is>
      </c>
      <c r="D22" s="208" t="n"/>
      <c r="E22" s="209" t="n"/>
    </row>
    <row r="23" outlineLevel="1" ht="57.6" customHeight="1">
      <c r="A23" s="70" t="inlineStr">
        <is>
          <t>Cycles of Learning</t>
        </is>
      </c>
      <c r="B23" s="67" t="inlineStr">
        <is>
          <t>Dimensional Pre-Qualification
Supplier Qualification (post-Conditional FAIR)
Dimensional Qualification
HON Qualification</t>
        </is>
      </c>
      <c r="C23" s="124" t="inlineStr">
        <is>
          <t>Project Manager
Project Manager
Project Manager
Project Manager</t>
        </is>
      </c>
      <c r="D23" s="208" t="n"/>
      <c r="E23" s="209" t="n"/>
    </row>
    <row r="25">
      <c r="A25" s="120" t="inlineStr">
        <is>
          <t>Abbreviations</t>
        </is>
      </c>
    </row>
    <row r="26" hidden="1" outlineLevel="1">
      <c r="A26" s="14" t="inlineStr">
        <is>
          <t>Abbreviation</t>
        </is>
      </c>
      <c r="B26" s="14" t="inlineStr">
        <is>
          <t>Description</t>
        </is>
      </c>
    </row>
    <row r="27" hidden="1" outlineLevel="1">
      <c r="A27" s="63" t="inlineStr">
        <is>
          <t xml:space="preserve">ACD </t>
        </is>
      </c>
      <c r="B27" s="117" t="inlineStr">
        <is>
          <t>Actual Completion Date</t>
        </is>
      </c>
    </row>
    <row r="28" hidden="1" outlineLevel="1">
      <c r="A28" s="63" t="inlineStr">
        <is>
          <t>AID</t>
        </is>
      </c>
      <c r="B28" s="117" t="inlineStr">
        <is>
          <t>Accolade Part Project ID</t>
        </is>
      </c>
    </row>
    <row r="29" hidden="1" outlineLevel="1">
      <c r="A29" s="63" t="inlineStr">
        <is>
          <t xml:space="preserve">AMCON </t>
        </is>
      </c>
      <c r="B29" s="117" t="inlineStr">
        <is>
          <t>Andavnced Management Control</t>
        </is>
      </c>
    </row>
    <row r="30" hidden="1" outlineLevel="1">
      <c r="A30" s="63" t="inlineStr">
        <is>
          <t>ASL</t>
        </is>
      </c>
      <c r="B30" s="117" t="inlineStr">
        <is>
          <t>Approved Supplier List</t>
        </is>
      </c>
    </row>
    <row r="31" hidden="1" outlineLevel="1">
      <c r="A31" s="63" t="inlineStr">
        <is>
          <t xml:space="preserve">AVL </t>
        </is>
      </c>
      <c r="B31" s="117" t="inlineStr">
        <is>
          <t>Approved Vendor List</t>
        </is>
      </c>
    </row>
    <row r="32" hidden="1" outlineLevel="1">
      <c r="A32" s="63" t="inlineStr">
        <is>
          <t>BTS</t>
        </is>
      </c>
      <c r="B32" s="117" t="inlineStr">
        <is>
          <t>Build to Specification</t>
        </is>
      </c>
    </row>
    <row r="33" hidden="1" outlineLevel="1">
      <c r="A33" s="63" t="inlineStr">
        <is>
          <t xml:space="preserve">CDR </t>
        </is>
      </c>
      <c r="B33" s="117" t="inlineStr">
        <is>
          <t>Critical Design Review</t>
        </is>
      </c>
    </row>
    <row r="34" hidden="1" outlineLevel="1">
      <c r="A34" s="63" t="inlineStr">
        <is>
          <t xml:space="preserve">CECD </t>
        </is>
      </c>
      <c r="B34" s="117" t="inlineStr">
        <is>
          <t>Current Estimated Completion Date</t>
        </is>
      </c>
    </row>
    <row r="35" hidden="1" outlineLevel="1">
      <c r="A35" s="63" t="inlineStr">
        <is>
          <t xml:space="preserve">ConDR </t>
        </is>
      </c>
      <c r="B35" s="117" t="inlineStr">
        <is>
          <t>Configuration Design Review</t>
        </is>
      </c>
    </row>
    <row r="36" hidden="1" outlineLevel="1">
      <c r="A36" s="63" t="inlineStr">
        <is>
          <t>DCMA</t>
        </is>
      </c>
      <c r="B36" s="117" t="inlineStr">
        <is>
          <t>Defense Contract Management Agency</t>
        </is>
      </c>
    </row>
    <row r="37" hidden="1" outlineLevel="1">
      <c r="A37" s="63" t="inlineStr">
        <is>
          <t xml:space="preserve">DREA </t>
        </is>
      </c>
      <c r="B37" s="117" t="inlineStr">
        <is>
          <t>Design Review Engineering Approval</t>
        </is>
      </c>
    </row>
    <row r="38" hidden="1" outlineLevel="1">
      <c r="A38" s="63" t="inlineStr">
        <is>
          <t>ECD</t>
        </is>
      </c>
      <c r="B38" s="117" t="inlineStr">
        <is>
          <t>Estimated Completion Date</t>
        </is>
      </c>
    </row>
    <row r="39" hidden="1" outlineLevel="1">
      <c r="A39" s="63" t="inlineStr">
        <is>
          <t xml:space="preserve">ECD </t>
        </is>
      </c>
      <c r="B39" s="117" t="inlineStr">
        <is>
          <t>Estimated Completion Date</t>
        </is>
      </c>
    </row>
    <row r="40" hidden="1" outlineLevel="1">
      <c r="A40" s="63" t="inlineStr">
        <is>
          <t>ECE</t>
        </is>
      </c>
      <c r="B40" s="117" t="inlineStr">
        <is>
          <t>Engineering Cost Estimate</t>
        </is>
      </c>
    </row>
    <row r="41" hidden="1" outlineLevel="1">
      <c r="A41" s="63" t="inlineStr">
        <is>
          <t>EPA</t>
        </is>
      </c>
      <c r="B41" s="117" t="inlineStr">
        <is>
          <t>Engineering Part Assessment</t>
        </is>
      </c>
    </row>
    <row r="42" hidden="1" outlineLevel="1">
      <c r="A42" s="63" t="inlineStr">
        <is>
          <t xml:space="preserve">ETSO </t>
        </is>
      </c>
      <c r="B42" s="117" t="inlineStr">
        <is>
          <t>European Technical Standard Order</t>
        </is>
      </c>
    </row>
    <row r="43" hidden="1" outlineLevel="1">
      <c r="A43" s="63" t="inlineStr">
        <is>
          <t xml:space="preserve">FAA </t>
        </is>
      </c>
      <c r="B43" s="117" t="inlineStr">
        <is>
          <t>Federal Aviation Administration</t>
        </is>
      </c>
    </row>
    <row r="44" hidden="1" outlineLevel="1">
      <c r="A44" s="63" t="inlineStr">
        <is>
          <t xml:space="preserve">FAIR </t>
        </is>
      </c>
      <c r="B44" s="117" t="inlineStr">
        <is>
          <t>First Article Inspection Report</t>
        </is>
      </c>
    </row>
    <row r="45" hidden="1" outlineLevel="1">
      <c r="A45" s="63" t="inlineStr">
        <is>
          <t>FPL</t>
        </is>
      </c>
      <c r="B45" s="117" t="inlineStr">
        <is>
          <t>First Production Lot</t>
        </is>
      </c>
    </row>
    <row r="46" hidden="1" outlineLevel="1">
      <c r="A46" s="63" t="inlineStr">
        <is>
          <t xml:space="preserve">HON </t>
        </is>
      </c>
      <c r="B46" s="117" t="inlineStr">
        <is>
          <t>Honeywell</t>
        </is>
      </c>
    </row>
    <row r="47" hidden="1" outlineLevel="1">
      <c r="A47" s="63" t="inlineStr">
        <is>
          <t xml:space="preserve">IMS </t>
        </is>
      </c>
      <c r="B47" s="117" t="inlineStr">
        <is>
          <t>Integrated Master Schedule</t>
        </is>
      </c>
    </row>
    <row r="48" hidden="1" outlineLevel="1">
      <c r="A48" s="63" t="inlineStr">
        <is>
          <t xml:space="preserve">IRB </t>
        </is>
      </c>
      <c r="B48" s="117" t="inlineStr">
        <is>
          <t>Idea Review Board</t>
        </is>
      </c>
    </row>
    <row r="49" hidden="1" outlineLevel="1">
      <c r="A49" s="63" t="inlineStr">
        <is>
          <t xml:space="preserve">L1DR </t>
        </is>
      </c>
      <c r="B49" s="117" t="inlineStr">
        <is>
          <t>Level 1 Design Review</t>
        </is>
      </c>
    </row>
    <row r="50" hidden="1" outlineLevel="1">
      <c r="A50" s="63" t="inlineStr">
        <is>
          <t xml:space="preserve">LC&amp;E </t>
        </is>
      </c>
      <c r="B50" s="117" t="inlineStr">
        <is>
          <t>Law, Contracts &amp; Export</t>
        </is>
      </c>
    </row>
    <row r="51" hidden="1" outlineLevel="1">
      <c r="A51" s="63" t="inlineStr">
        <is>
          <t xml:space="preserve">PCD </t>
        </is>
      </c>
      <c r="B51" s="117" t="inlineStr">
        <is>
          <t>Part Complete Date</t>
        </is>
      </c>
    </row>
    <row r="52" hidden="1" outlineLevel="1">
      <c r="A52" s="63" t="inlineStr">
        <is>
          <t xml:space="preserve">PDR </t>
        </is>
      </c>
      <c r="B52" s="117" t="inlineStr">
        <is>
          <t>Preliminary Design Review</t>
        </is>
      </c>
    </row>
    <row r="53" hidden="1" outlineLevel="1">
      <c r="A53" s="63" t="inlineStr">
        <is>
          <t>PFEP</t>
        </is>
      </c>
      <c r="B53" s="117" t="inlineStr">
        <is>
          <t>Plan for Every Part</t>
        </is>
      </c>
    </row>
    <row r="54" hidden="1" outlineLevel="1">
      <c r="A54" s="63" t="inlineStr">
        <is>
          <t xml:space="preserve">PO </t>
        </is>
      </c>
      <c r="B54" s="117" t="inlineStr">
        <is>
          <t>Purchase Order</t>
        </is>
      </c>
    </row>
    <row r="55" hidden="1" outlineLevel="1">
      <c r="A55" s="64" t="inlineStr">
        <is>
          <t xml:space="preserve">PRR </t>
        </is>
      </c>
      <c r="B55" s="117" t="inlineStr">
        <is>
          <t>Production Readiness Review</t>
        </is>
      </c>
    </row>
    <row r="56" hidden="1" outlineLevel="1">
      <c r="A56" s="63" t="inlineStr">
        <is>
          <t xml:space="preserve">PSC </t>
        </is>
      </c>
      <c r="B56" s="117" t="inlineStr">
        <is>
          <t>Procurement Specification Control</t>
        </is>
      </c>
    </row>
    <row r="57" hidden="1" outlineLevel="1">
      <c r="A57" s="63" t="inlineStr">
        <is>
          <t xml:space="preserve">PTCD </t>
        </is>
      </c>
      <c r="B57" s="117" t="inlineStr">
        <is>
          <t>Project Technical Completion Date</t>
        </is>
      </c>
    </row>
    <row r="58" hidden="1" outlineLevel="1">
      <c r="A58" s="63" t="inlineStr">
        <is>
          <t xml:space="preserve">QTP </t>
        </is>
      </c>
      <c r="B58" s="117" t="inlineStr">
        <is>
          <t>Qualification Test Plan</t>
        </is>
      </c>
    </row>
    <row r="59" hidden="1" outlineLevel="1">
      <c r="A59" s="63" t="inlineStr">
        <is>
          <t xml:space="preserve">QTR </t>
        </is>
      </c>
      <c r="B59" s="117" t="inlineStr">
        <is>
          <t>Qualification Test Report</t>
        </is>
      </c>
    </row>
    <row r="60" hidden="1" outlineLevel="1">
      <c r="A60" s="63" t="inlineStr">
        <is>
          <t xml:space="preserve">RFQ </t>
        </is>
      </c>
      <c r="B60" s="117" t="inlineStr">
        <is>
          <t>Request for Quotation</t>
        </is>
      </c>
    </row>
    <row r="61" hidden="1" outlineLevel="1">
      <c r="A61" s="63" t="inlineStr">
        <is>
          <t xml:space="preserve">RM </t>
        </is>
      </c>
      <c r="B61" s="117" t="inlineStr">
        <is>
          <t>Raw Material</t>
        </is>
      </c>
    </row>
    <row r="62" hidden="1" outlineLevel="1">
      <c r="A62" s="63" t="inlineStr">
        <is>
          <t>SCS</t>
        </is>
      </c>
      <c r="B62" s="117" t="inlineStr">
        <is>
          <t>Supplier Control System</t>
        </is>
      </c>
    </row>
    <row r="63" hidden="1" outlineLevel="1">
      <c r="A63" s="63" t="inlineStr">
        <is>
          <t>SOW</t>
        </is>
      </c>
      <c r="B63" s="117" t="inlineStr">
        <is>
          <t>Statement of Work</t>
        </is>
      </c>
    </row>
    <row r="64" hidden="1" outlineLevel="1">
      <c r="A64" s="63" t="inlineStr">
        <is>
          <t>SS1</t>
        </is>
      </c>
      <c r="B64" s="117" t="inlineStr">
        <is>
          <t>Source Status 1</t>
        </is>
      </c>
    </row>
    <row r="65" hidden="1" outlineLevel="1">
      <c r="A65" s="63" t="inlineStr">
        <is>
          <t>STR</t>
        </is>
      </c>
      <c r="B65" s="117" t="inlineStr">
        <is>
          <t>Structural Test Report</t>
        </is>
      </c>
    </row>
    <row r="66" hidden="1" outlineLevel="1">
      <c r="A66" s="63" t="inlineStr">
        <is>
          <t xml:space="preserve">SubCon </t>
        </is>
      </c>
      <c r="B66" s="117" t="inlineStr">
        <is>
          <t>Subcontractor</t>
        </is>
      </c>
    </row>
    <row r="67" hidden="1" outlineLevel="1">
      <c r="A67" s="63" t="inlineStr">
        <is>
          <t xml:space="preserve">TCD </t>
        </is>
      </c>
      <c r="B67" s="117" t="inlineStr">
        <is>
          <t>Target Complete Date</t>
        </is>
      </c>
    </row>
    <row r="68" hidden="1" outlineLevel="1">
      <c r="A68" s="63" t="inlineStr">
        <is>
          <t xml:space="preserve">TDR </t>
        </is>
      </c>
      <c r="B68" s="117" t="inlineStr">
        <is>
          <t>Technical Design Review</t>
        </is>
      </c>
    </row>
    <row r="69" hidden="1" outlineLevel="1">
      <c r="A69" s="63" t="inlineStr">
        <is>
          <t xml:space="preserve">TRB </t>
        </is>
      </c>
      <c r="B69" s="117" t="inlineStr">
        <is>
          <t>Transition Review Board</t>
        </is>
      </c>
    </row>
    <row r="70" hidden="1" outlineLevel="1">
      <c r="A70" s="63" t="inlineStr">
        <is>
          <t xml:space="preserve">TRR </t>
        </is>
      </c>
      <c r="B70" s="117" t="inlineStr">
        <is>
          <t>Test Readiness Review</t>
        </is>
      </c>
    </row>
    <row r="71" hidden="1" outlineLevel="1">
      <c r="A71" s="63" t="inlineStr">
        <is>
          <t>TSO</t>
        </is>
      </c>
      <c r="B71" s="117" t="inlineStr">
        <is>
          <t>Technical Standard Order</t>
        </is>
      </c>
    </row>
    <row r="72" hidden="1" outlineLevel="1">
      <c r="A72" s="63" t="n"/>
      <c r="B72" s="63" t="n"/>
    </row>
    <row r="73" collapsed="1"/>
    <row r="75">
      <c r="A75" s="120" t="inlineStr">
        <is>
          <t>Suggested Tasks Durations</t>
        </is>
      </c>
    </row>
    <row r="76" hidden="1" outlineLevel="1" ht="43.2" customHeight="1">
      <c r="A76" s="14" t="inlineStr">
        <is>
          <t>Task Name</t>
        </is>
      </c>
      <c r="B76" s="14" t="n"/>
      <c r="C76" s="15" t="inlineStr">
        <is>
          <t>Casting &amp; Forging Task</t>
        </is>
      </c>
      <c r="D76" s="15" t="inlineStr">
        <is>
          <t>Machining Task</t>
        </is>
      </c>
      <c r="E76" s="15" t="inlineStr">
        <is>
          <t>BTS Task</t>
        </is>
      </c>
      <c r="F76" s="15" t="inlineStr">
        <is>
          <t>Sheet Metal</t>
        </is>
      </c>
      <c r="G76" s="15" t="inlineStr">
        <is>
          <t>Electronics Task</t>
        </is>
      </c>
    </row>
    <row r="77" hidden="1" outlineLevel="1">
      <c r="A77" s="117" t="inlineStr">
        <is>
          <t>Project Approved at Idea Review Board (IRB) (Authorization to Proceed)</t>
        </is>
      </c>
      <c r="C77" s="7" t="n">
        <v>1</v>
      </c>
      <c r="D77" s="7" t="n">
        <v>1</v>
      </c>
      <c r="E77" s="7" t="n">
        <v>1</v>
      </c>
      <c r="F77" s="7" t="n">
        <v>1</v>
      </c>
      <c r="G77" s="7" t="n">
        <v>1</v>
      </c>
    </row>
    <row r="78" hidden="1" outlineLevel="1">
      <c r="A78" s="117" t="inlineStr">
        <is>
          <t>Project Eng (PE), Project Manager (PM), Supplier Dev Eng (SDE) and Material Eng (Mat Eng) Assigned - (Respective Leaders to assign)</t>
        </is>
      </c>
      <c r="C78" s="7" t="n">
        <v>1</v>
      </c>
      <c r="D78" s="7" t="n">
        <v>1</v>
      </c>
      <c r="E78" s="7" t="n">
        <v>1</v>
      </c>
      <c r="F78" s="7" t="n">
        <v>1</v>
      </c>
      <c r="G78" s="7" t="n">
        <v>1</v>
      </c>
    </row>
    <row r="79" hidden="1" outlineLevel="1">
      <c r="A79" s="117" t="inlineStr">
        <is>
          <t>PE Completed Requirements Review with Design Authority (DA)</t>
        </is>
      </c>
      <c r="C79" s="7" t="n">
        <v>15</v>
      </c>
      <c r="D79" s="7" t="n">
        <v>15</v>
      </c>
      <c r="E79" s="7" t="n">
        <v>15</v>
      </c>
      <c r="F79" s="7" t="n">
        <v>15</v>
      </c>
      <c r="G79" s="7" t="n">
        <v>15</v>
      </c>
    </row>
    <row r="80" hidden="1" outlineLevel="1">
      <c r="A80" s="117" t="inlineStr">
        <is>
          <t>Engineering Part Assessment (EPA) Completed &amp; Approved</t>
        </is>
      </c>
      <c r="C80" s="7" t="n">
        <v>25</v>
      </c>
      <c r="D80" s="7" t="n">
        <v>25</v>
      </c>
      <c r="E80" s="7" t="n">
        <v>0</v>
      </c>
      <c r="F80" s="7" t="n">
        <v>25</v>
      </c>
      <c r="G80" s="7" t="n">
        <v>25</v>
      </c>
    </row>
    <row r="81" hidden="1" outlineLevel="1">
      <c r="A81" s="117" t="inlineStr">
        <is>
          <t>Transition Design Review (TDR) Completed &amp; Approved</t>
        </is>
      </c>
      <c r="C81" s="8" t="n">
        <v>0</v>
      </c>
      <c r="D81" s="8" t="n">
        <v>0</v>
      </c>
      <c r="E81" s="7" t="n">
        <v>30</v>
      </c>
      <c r="F81" s="8" t="n">
        <v>0</v>
      </c>
      <c r="G81" s="8" t="n">
        <v>0</v>
      </c>
    </row>
    <row r="82" hidden="1" outlineLevel="1">
      <c r="A82" s="117" t="inlineStr">
        <is>
          <t>Supplier Dev Eng (SDE) Update STT with APQP Level and Flow Down Date</t>
        </is>
      </c>
      <c r="C82" s="7" t="n">
        <v>3</v>
      </c>
      <c r="D82" s="7" t="n">
        <v>3</v>
      </c>
      <c r="E82" s="7" t="n">
        <v>3</v>
      </c>
      <c r="F82" s="7" t="n">
        <v>3</v>
      </c>
      <c r="G82" s="7" t="n">
        <v>3</v>
      </c>
    </row>
    <row r="83" hidden="1" outlineLevel="1">
      <c r="A83" s="117" t="inlineStr">
        <is>
          <t xml:space="preserve">3D Model Created and Released (if required from EPA/TDR) </t>
        </is>
      </c>
      <c r="C83" s="7" t="n">
        <v>120</v>
      </c>
      <c r="D83" s="7" t="n">
        <v>120</v>
      </c>
      <c r="E83" s="8" t="n">
        <v>0</v>
      </c>
      <c r="F83" s="7" t="n">
        <v>120</v>
      </c>
      <c r="G83" s="8" t="n">
        <v>0</v>
      </c>
    </row>
    <row r="84" hidden="1" outlineLevel="1">
      <c r="A84" s="117" t="inlineStr">
        <is>
          <t>Drawings &amp; Specs (PSCs) Updated if Required</t>
        </is>
      </c>
      <c r="C84" s="7" t="n">
        <v>60</v>
      </c>
      <c r="D84" s="7" t="n">
        <v>60</v>
      </c>
      <c r="E84" s="7" t="n">
        <v>60</v>
      </c>
      <c r="F84" s="7" t="n">
        <v>60</v>
      </c>
      <c r="G84" s="7" t="n">
        <v>60</v>
      </c>
    </row>
    <row r="85" hidden="1" outlineLevel="1">
      <c r="A85" s="117" t="inlineStr">
        <is>
          <t>PM Completed Initial Package Creation (Identify Potential Suppliers)</t>
        </is>
      </c>
      <c r="C85" s="7" t="n">
        <v>10</v>
      </c>
      <c r="D85" s="7" t="n">
        <v>10</v>
      </c>
      <c r="E85" s="7" t="n">
        <v>10</v>
      </c>
      <c r="F85" s="7" t="n">
        <v>10</v>
      </c>
      <c r="G85" s="7" t="n">
        <v>10</v>
      </c>
    </row>
    <row r="86" hidden="1" outlineLevel="1">
      <c r="A86" s="117" t="inlineStr">
        <is>
          <t>PM Initiate DATT for Pre RFI &amp; Pre Award (Pre Auction)</t>
        </is>
      </c>
      <c r="C86" s="7" t="n">
        <v>5</v>
      </c>
      <c r="D86" s="7" t="n">
        <v>5</v>
      </c>
      <c r="E86" s="7" t="n">
        <v>5</v>
      </c>
      <c r="F86" s="7" t="n">
        <v>5</v>
      </c>
      <c r="G86" s="7" t="n">
        <v>5</v>
      </c>
    </row>
    <row r="87" hidden="1" outlineLevel="1">
      <c r="A87" s="117" t="inlineStr">
        <is>
          <t xml:space="preserve"> BTP (BTS Optional) - Analyze Drawing and Identify Raw Material (RM) Include Testing Units (Tempe) and Raw Material Sources</t>
        </is>
      </c>
      <c r="C87" s="7" t="n">
        <v>10</v>
      </c>
      <c r="D87" s="7" t="n">
        <v>10</v>
      </c>
      <c r="E87" s="8" t="n">
        <v>0</v>
      </c>
      <c r="F87" s="7" t="n">
        <v>10</v>
      </c>
      <c r="G87" s="7" t="n">
        <v>10</v>
      </c>
    </row>
    <row r="88" hidden="1" outlineLevel="1">
      <c r="A88" s="117" t="inlineStr">
        <is>
          <t xml:space="preserve"> BTP (BTS Optional) - Place Raw Material (RM) PO and Receive at Main Receiving Site</t>
        </is>
      </c>
      <c r="C88" s="7" t="n">
        <v>5</v>
      </c>
      <c r="D88" s="7" t="n">
        <v>5</v>
      </c>
      <c r="E88" s="8" t="n">
        <v>0</v>
      </c>
      <c r="F88" s="7" t="n">
        <v>5</v>
      </c>
      <c r="G88" s="7" t="n">
        <v>5</v>
      </c>
    </row>
    <row r="89" hidden="1" outlineLevel="1">
      <c r="A89" s="117" t="inlineStr">
        <is>
          <t>Supplier Dev Eng (SDE) Validated Potential Suppliers Scouting Assessment</t>
        </is>
      </c>
      <c r="C89" s="7" t="n">
        <v>5</v>
      </c>
      <c r="D89" s="7" t="n">
        <v>5</v>
      </c>
      <c r="E89" s="7" t="n">
        <v>5</v>
      </c>
      <c r="F89" s="7" t="n">
        <v>5</v>
      </c>
      <c r="G89" s="7" t="n">
        <v>5</v>
      </c>
    </row>
    <row r="90" hidden="1" outlineLevel="1">
      <c r="A90" s="117" t="inlineStr">
        <is>
          <t xml:space="preserve"> Received DATT Pre RFI Approval</t>
        </is>
      </c>
      <c r="C90" s="7" t="n">
        <v>10</v>
      </c>
      <c r="D90" s="7" t="n">
        <v>10</v>
      </c>
      <c r="E90" s="7" t="n">
        <v>10</v>
      </c>
      <c r="F90" s="7" t="n">
        <v>10</v>
      </c>
      <c r="G90" s="7" t="n">
        <v>10</v>
      </c>
    </row>
    <row r="91" hidden="1" outlineLevel="1">
      <c r="A91" s="117" t="inlineStr">
        <is>
          <t xml:space="preserve"> PM Received Drawing Package from Drawing Pull Team (OPEX)</t>
        </is>
      </c>
      <c r="C91" s="7" t="n">
        <v>10</v>
      </c>
      <c r="D91" s="7" t="n">
        <v>10</v>
      </c>
      <c r="E91" s="7" t="n">
        <v>10</v>
      </c>
      <c r="F91" s="7" t="n">
        <v>10</v>
      </c>
      <c r="G91" s="7" t="n">
        <v>10</v>
      </c>
    </row>
    <row r="92" hidden="1" outlineLevel="1">
      <c r="A92" s="117" t="inlineStr">
        <is>
          <t xml:space="preserve"> BTS - Statement of Work (SOW) Approved and Released by Project Engineer</t>
        </is>
      </c>
      <c r="C92" s="7" t="n">
        <v>0</v>
      </c>
      <c r="D92" s="7" t="n">
        <v>0</v>
      </c>
      <c r="E92" s="7" t="n">
        <v>30</v>
      </c>
      <c r="F92" s="7" t="n">
        <v>0</v>
      </c>
      <c r="G92" s="7" t="n">
        <v>0</v>
      </c>
    </row>
    <row r="93" hidden="1" outlineLevel="1">
      <c r="A93" s="117" t="inlineStr">
        <is>
          <t xml:space="preserve"> Auction Team Sent Formal Request for Quotes (RFQ) to Suppliers</t>
        </is>
      </c>
      <c r="C93" s="7" t="n">
        <v>5</v>
      </c>
      <c r="D93" s="7" t="n">
        <v>5</v>
      </c>
      <c r="E93" s="7" t="n">
        <v>5</v>
      </c>
      <c r="F93" s="7" t="n">
        <v>5</v>
      </c>
      <c r="G93" s="7" t="n">
        <v>5</v>
      </c>
    </row>
    <row r="94" hidden="1" outlineLevel="1">
      <c r="A94" s="117" t="inlineStr">
        <is>
          <t xml:space="preserve"> Received DATT Pre Award (Pre Auction) Approval</t>
        </is>
      </c>
      <c r="C94" s="7" t="n">
        <v>20</v>
      </c>
      <c r="D94" s="7" t="n">
        <v>20</v>
      </c>
      <c r="E94" s="7" t="n">
        <v>20</v>
      </c>
      <c r="F94" s="7" t="n">
        <v>20</v>
      </c>
      <c r="G94" s="7" t="n">
        <v>20</v>
      </c>
    </row>
    <row r="95" hidden="1" outlineLevel="1">
      <c r="A95" s="117" t="inlineStr">
        <is>
          <t xml:space="preserve"> Auction Scheduled and Completed</t>
        </is>
      </c>
      <c r="C95" s="7" t="n">
        <v>0</v>
      </c>
      <c r="D95" s="7" t="n">
        <v>0</v>
      </c>
      <c r="E95" s="7" t="n">
        <v>0</v>
      </c>
      <c r="F95" s="7" t="n">
        <v>0</v>
      </c>
      <c r="G95" s="7" t="n">
        <v>0</v>
      </c>
    </row>
    <row r="96" hidden="1" outlineLevel="1">
      <c r="A96" s="117" t="inlineStr">
        <is>
          <t xml:space="preserve"> Down Select Top 2 or 3 Suppliers for Award Evaluation</t>
        </is>
      </c>
      <c r="C96" s="7" t="n">
        <v>5</v>
      </c>
      <c r="D96" s="7" t="n">
        <v>5</v>
      </c>
      <c r="E96" s="7" t="n">
        <v>5</v>
      </c>
      <c r="F96" s="7" t="n">
        <v>5</v>
      </c>
      <c r="G96" s="7" t="n">
        <v>5</v>
      </c>
    </row>
    <row r="97" hidden="1" outlineLevel="1">
      <c r="A97" s="118" t="inlineStr">
        <is>
          <t xml:space="preserve"> SDE to conduct Preliminary Technical Review (Compliance Matrix for BTS) including Capacity Assessment With Down Selected Suppliers</t>
        </is>
      </c>
      <c r="C97" s="7" t="n">
        <v>10</v>
      </c>
      <c r="D97" s="7" t="n">
        <v>10</v>
      </c>
      <c r="E97" s="7" t="n">
        <v>20</v>
      </c>
      <c r="F97" s="7" t="n">
        <v>10</v>
      </c>
      <c r="G97" s="7" t="n">
        <v>10</v>
      </c>
    </row>
    <row r="98" hidden="1" outlineLevel="1">
      <c r="A98" s="117" t="inlineStr">
        <is>
          <t xml:space="preserve"> Part-Wise Down Select Go-To Supplier for Award</t>
        </is>
      </c>
      <c r="C98" s="7" t="n">
        <v>5</v>
      </c>
      <c r="D98" s="7" t="n">
        <v>5</v>
      </c>
      <c r="E98" s="7" t="n">
        <v>5</v>
      </c>
      <c r="F98" s="7" t="n">
        <v>5</v>
      </c>
      <c r="G98" s="7" t="n">
        <v>5</v>
      </c>
    </row>
    <row r="99" hidden="1" outlineLevel="1">
      <c r="A99" s="117" t="inlineStr">
        <is>
          <t xml:space="preserve"> Identify the Go To Supplier for Award</t>
        </is>
      </c>
      <c r="C99" s="7" t="n">
        <v>5</v>
      </c>
      <c r="D99" s="7" t="n">
        <v>5</v>
      </c>
      <c r="E99" s="7" t="n">
        <v>5</v>
      </c>
      <c r="F99" s="7" t="n">
        <v>5</v>
      </c>
      <c r="G99" s="7" t="n">
        <v>5</v>
      </c>
    </row>
    <row r="100" hidden="1" outlineLevel="1">
      <c r="A100" s="117" t="inlineStr">
        <is>
          <t xml:space="preserve"> Commodity Manager (CM) Presented and Received Transition Review Board (TRB) Approval to Award</t>
        </is>
      </c>
      <c r="C100" s="7" t="n">
        <v>10</v>
      </c>
      <c r="D100" s="7" t="n">
        <v>10</v>
      </c>
      <c r="E100" s="7" t="n">
        <v>10</v>
      </c>
      <c r="F100" s="7" t="n">
        <v>10</v>
      </c>
      <c r="G100" s="7" t="n">
        <v>10</v>
      </c>
    </row>
    <row r="101" hidden="1" outlineLevel="1">
      <c r="A101" s="117" t="inlineStr">
        <is>
          <t>Project Award Letter Sent to Supplier by CM</t>
        </is>
      </c>
      <c r="C101" s="7" t="n">
        <v>5</v>
      </c>
      <c r="D101" s="7" t="n">
        <v>5</v>
      </c>
      <c r="E101" s="7" t="n">
        <v>5</v>
      </c>
      <c r="F101" s="7" t="n">
        <v>5</v>
      </c>
      <c r="G101" s="7" t="n">
        <v>5</v>
      </c>
    </row>
    <row r="102" hidden="1" outlineLevel="1">
      <c r="A102" s="117" t="inlineStr">
        <is>
          <t>Receive LTC/VMI Amendment Signature</t>
        </is>
      </c>
      <c r="C102" s="7" t="n">
        <v>90</v>
      </c>
      <c r="D102" s="7" t="n">
        <v>90</v>
      </c>
      <c r="E102" s="7" t="n">
        <v>90</v>
      </c>
      <c r="F102" s="7" t="n">
        <v>90</v>
      </c>
      <c r="G102" s="7" t="n">
        <v>90</v>
      </c>
    </row>
    <row r="103" hidden="1" outlineLevel="1">
      <c r="A103" s="117" t="inlineStr">
        <is>
          <t xml:space="preserve"> Initiate DATT Post Award Approval</t>
        </is>
      </c>
      <c r="C103" s="7" t="n">
        <v>3</v>
      </c>
      <c r="D103" s="7" t="n">
        <v>3</v>
      </c>
      <c r="E103" s="7" t="n">
        <v>3</v>
      </c>
      <c r="F103" s="7" t="n">
        <v>3</v>
      </c>
      <c r="G103" s="7" t="n">
        <v>3</v>
      </c>
    </row>
    <row r="104" hidden="1" outlineLevel="1">
      <c r="A104" s="117" t="inlineStr">
        <is>
          <t xml:space="preserve"> Create QIR / POB Record for Supplier for all Sites</t>
        </is>
      </c>
      <c r="C104" s="7" t="n">
        <v>5</v>
      </c>
      <c r="D104" s="7" t="n">
        <v>5</v>
      </c>
      <c r="E104" s="7" t="n">
        <v>5</v>
      </c>
      <c r="F104" s="7" t="n">
        <v>5</v>
      </c>
      <c r="G104" s="7" t="n">
        <v>5</v>
      </c>
    </row>
    <row r="105" hidden="1" outlineLevel="1">
      <c r="A105" s="117" t="inlineStr">
        <is>
          <t xml:space="preserve"> BTP - Create FAIR PO for PNs and release to Supplier</t>
        </is>
      </c>
      <c r="C105" s="7" t="n">
        <v>5</v>
      </c>
      <c r="D105" s="7" t="n">
        <v>5</v>
      </c>
      <c r="E105" s="7" t="n">
        <v>0</v>
      </c>
      <c r="F105" s="7" t="n">
        <v>5</v>
      </c>
      <c r="G105" s="7" t="n">
        <v>5</v>
      </c>
    </row>
    <row r="106" hidden="1" outlineLevel="1">
      <c r="A106" s="117" t="inlineStr">
        <is>
          <t xml:space="preserve"> BTP - Create CIR and release 3 Production POs to Supplier</t>
        </is>
      </c>
      <c r="C106" s="7" t="n">
        <v>5</v>
      </c>
      <c r="D106" s="7" t="n">
        <v>5</v>
      </c>
      <c r="E106" s="7" t="n">
        <v>0</v>
      </c>
      <c r="F106" s="7" t="n">
        <v>5</v>
      </c>
      <c r="G106" s="7" t="n">
        <v>5</v>
      </c>
    </row>
    <row r="107" hidden="1" outlineLevel="1">
      <c r="A107" s="117" t="inlineStr">
        <is>
          <t xml:space="preserve"> Create NRE POs and Release to Supplier (If Applicable)</t>
        </is>
      </c>
      <c r="C107" s="7" t="n">
        <v>3</v>
      </c>
      <c r="D107" s="7" t="n">
        <v>3</v>
      </c>
      <c r="E107" s="7" t="n">
        <v>3</v>
      </c>
      <c r="F107" s="7" t="n">
        <v>3</v>
      </c>
      <c r="G107" s="7" t="n">
        <v>3</v>
      </c>
    </row>
    <row r="108" hidden="1" outlineLevel="1">
      <c r="A108" s="118" t="inlineStr">
        <is>
          <t xml:space="preserve"> CM Complete LTC Amendment</t>
        </is>
      </c>
      <c r="C108" s="7" t="n">
        <v>40</v>
      </c>
      <c r="D108" s="7" t="n">
        <v>40</v>
      </c>
      <c r="E108" s="7" t="n">
        <v>40</v>
      </c>
      <c r="F108" s="7" t="n">
        <v>40</v>
      </c>
      <c r="G108" s="7" t="n">
        <v>40</v>
      </c>
    </row>
    <row r="109" hidden="1" outlineLevel="1">
      <c r="A109" s="117" t="inlineStr">
        <is>
          <t xml:space="preserve"> IMS Baselined by PM</t>
        </is>
      </c>
      <c r="C109" s="7" t="n">
        <v>3</v>
      </c>
      <c r="D109" s="7" t="n">
        <v>3</v>
      </c>
      <c r="E109" s="7" t="n">
        <v>3</v>
      </c>
      <c r="F109" s="7" t="n">
        <v>3</v>
      </c>
      <c r="G109" s="7" t="n">
        <v>3</v>
      </c>
    </row>
    <row r="110" hidden="1" outlineLevel="1">
      <c r="A110" s="117" t="inlineStr">
        <is>
          <t xml:space="preserve"> Update Mutually Agreed Completion Date (MACD)</t>
        </is>
      </c>
      <c r="C110" s="7" t="n">
        <v>3</v>
      </c>
      <c r="D110" s="7" t="n">
        <v>3</v>
      </c>
      <c r="E110" s="7" t="n">
        <v>3</v>
      </c>
      <c r="F110" s="7" t="n">
        <v>3</v>
      </c>
      <c r="G110" s="7" t="n">
        <v>3</v>
      </c>
    </row>
    <row r="111" hidden="1" outlineLevel="1">
      <c r="A111" s="117" t="inlineStr">
        <is>
          <t xml:space="preserve"> BTS - Design Review Expectations Agreement (DREA) Completed</t>
        </is>
      </c>
      <c r="C111" s="7" t="n">
        <v>0</v>
      </c>
      <c r="D111" s="7" t="n">
        <v>0</v>
      </c>
      <c r="E111" s="7" t="n">
        <v>20</v>
      </c>
      <c r="F111" s="7" t="n">
        <v>0</v>
      </c>
      <c r="G111" s="7" t="n">
        <v>0</v>
      </c>
    </row>
    <row r="112" hidden="1" outlineLevel="1">
      <c r="A112" s="117" t="inlineStr">
        <is>
          <t xml:space="preserve"> BTS - Concept Design Review (ConDR) Completed</t>
        </is>
      </c>
      <c r="C112" s="7" t="n">
        <v>0</v>
      </c>
      <c r="D112" s="7" t="n">
        <v>0</v>
      </c>
      <c r="E112" s="7" t="n">
        <v>30</v>
      </c>
      <c r="F112" s="7" t="n">
        <v>0</v>
      </c>
      <c r="G112" s="7" t="n">
        <v>0</v>
      </c>
    </row>
    <row r="113" hidden="1" outlineLevel="1">
      <c r="A113" s="117" t="inlineStr">
        <is>
          <t xml:space="preserve"> BTS - Preliminary Design Review (PDR) Completed</t>
        </is>
      </c>
      <c r="C113" s="7" t="n">
        <v>0</v>
      </c>
      <c r="D113" s="7" t="n">
        <v>0</v>
      </c>
      <c r="E113" s="7" t="n">
        <v>60</v>
      </c>
      <c r="F113" s="7" t="n">
        <v>0</v>
      </c>
      <c r="G113" s="7" t="n">
        <v>0</v>
      </c>
    </row>
    <row r="114" hidden="1" outlineLevel="1">
      <c r="A114" s="117" t="inlineStr">
        <is>
          <t xml:space="preserve"> BTS - Critical Design Review (CDR) Completed</t>
        </is>
      </c>
      <c r="C114" s="7" t="n">
        <v>0</v>
      </c>
      <c r="D114" s="7" t="n">
        <v>0</v>
      </c>
      <c r="E114" s="7" t="n">
        <v>60</v>
      </c>
      <c r="F114" s="7" t="n">
        <v>0</v>
      </c>
      <c r="G114" s="7" t="n">
        <v>0</v>
      </c>
    </row>
    <row r="115" hidden="1" outlineLevel="1">
      <c r="A115" s="118" t="inlineStr">
        <is>
          <t xml:space="preserve"> BTS - Add Supplier to SCS/ASL/AVL</t>
        </is>
      </c>
      <c r="C115" s="7" t="n">
        <v>15</v>
      </c>
      <c r="D115" s="7" t="n">
        <v>0</v>
      </c>
      <c r="E115" s="7" t="n">
        <v>0</v>
      </c>
      <c r="F115" s="7" t="n">
        <v>0</v>
      </c>
      <c r="G115" s="7" t="n">
        <v>0</v>
      </c>
    </row>
    <row r="116" hidden="1" outlineLevel="1">
      <c r="A116" s="117" t="inlineStr">
        <is>
          <t xml:space="preserve"> BTS - First Article Inspection (FAI) Purchase Orders (POs) Placed as (SS2/Prove of Build (POB))</t>
        </is>
      </c>
      <c r="C116" s="7" t="n">
        <v>0</v>
      </c>
      <c r="D116" s="7" t="n">
        <v>0</v>
      </c>
      <c r="E116" s="7" t="n">
        <v>30</v>
      </c>
      <c r="F116" s="7" t="n">
        <v>0</v>
      </c>
      <c r="G116" s="7" t="n">
        <v>0</v>
      </c>
    </row>
    <row r="117" hidden="1" outlineLevel="1">
      <c r="A117" s="117" t="inlineStr">
        <is>
          <t xml:space="preserve"> Capital Tooling Approval &amp; Tooling PO Issued</t>
        </is>
      </c>
      <c r="C117" s="7" t="n">
        <v>30</v>
      </c>
      <c r="D117" s="7" t="n">
        <v>30</v>
      </c>
      <c r="E117" s="8" t="n">
        <v>0</v>
      </c>
      <c r="F117" s="7" t="n">
        <v>30</v>
      </c>
      <c r="G117" s="7" t="n">
        <v>30</v>
      </c>
    </row>
    <row r="118" hidden="1" outlineLevel="1">
      <c r="A118" s="117" t="inlineStr">
        <is>
          <t xml:space="preserve"> Received Final DATT Post Award Approval</t>
        </is>
      </c>
      <c r="C118" s="7" t="n">
        <v>30</v>
      </c>
      <c r="D118" s="7" t="n">
        <v>30</v>
      </c>
      <c r="E118" s="7" t="n">
        <v>30</v>
      </c>
      <c r="F118" s="7" t="n">
        <v>30</v>
      </c>
      <c r="G118" s="7" t="n">
        <v>30</v>
      </c>
    </row>
    <row r="119" hidden="1" outlineLevel="1">
      <c r="A119" s="117" t="inlineStr">
        <is>
          <t xml:space="preserve"> Initial Production Cutover Plan (Adjust Prod POs for BTP) (Create Prod POs for BTS)</t>
        </is>
      </c>
      <c r="C119" s="7" t="n">
        <v>5</v>
      </c>
      <c r="D119" s="7" t="n">
        <v>5</v>
      </c>
      <c r="E119" s="7" t="n">
        <v>5</v>
      </c>
      <c r="F119" s="7" t="n">
        <v>5</v>
      </c>
      <c r="G119" s="7" t="n">
        <v>5</v>
      </c>
    </row>
    <row r="120" hidden="1" outlineLevel="1">
      <c r="A120" s="117" t="inlineStr">
        <is>
          <t xml:space="preserve"> Tooling Fabrication/Tool Build Completed (If Applicable)</t>
        </is>
      </c>
      <c r="C120" s="7" t="n">
        <v>30</v>
      </c>
      <c r="D120" s="7" t="n">
        <v>30</v>
      </c>
      <c r="E120" s="8" t="n">
        <v>0</v>
      </c>
      <c r="F120" s="7" t="n">
        <v>30</v>
      </c>
      <c r="G120" s="7" t="n">
        <v>30</v>
      </c>
    </row>
    <row r="121" hidden="1" outlineLevel="1">
      <c r="A121" s="117" t="inlineStr">
        <is>
          <t xml:space="preserve"> All Material Received at Supplier (Material Leadtime)</t>
        </is>
      </c>
      <c r="C121" s="7" t="n">
        <v>80</v>
      </c>
      <c r="D121" s="7" t="n">
        <v>60</v>
      </c>
      <c r="E121" s="7" t="n">
        <v>120</v>
      </c>
      <c r="F121" s="7" t="n">
        <v>60</v>
      </c>
      <c r="G121" s="7" t="n">
        <v>60</v>
      </c>
    </row>
    <row r="122" hidden="1" outlineLevel="1">
      <c r="A122" s="117" t="inlineStr">
        <is>
          <t xml:space="preserve"> Supplier Trials (Discovery, Metallurgy, Dimensional)</t>
        </is>
      </c>
      <c r="C122" s="7" t="n">
        <v>90</v>
      </c>
      <c r="D122" s="8" t="n">
        <v>0</v>
      </c>
      <c r="E122" s="7" t="n">
        <v>0</v>
      </c>
      <c r="F122" s="8" t="n">
        <v>0</v>
      </c>
      <c r="G122" s="7" t="n">
        <v>0</v>
      </c>
    </row>
    <row r="123" hidden="1" outlineLevel="1">
      <c r="A123" s="117" t="inlineStr">
        <is>
          <t xml:space="preserve"> Supplier Approved Processing Source List (APSL) Certification</t>
        </is>
      </c>
      <c r="C123" s="7" t="n">
        <v>20</v>
      </c>
      <c r="D123" s="7" t="n">
        <v>20</v>
      </c>
      <c r="E123" s="7" t="n">
        <v>0</v>
      </c>
      <c r="F123" s="7" t="n">
        <v>20</v>
      </c>
      <c r="G123" s="7" t="n">
        <v>20</v>
      </c>
    </row>
    <row r="124" hidden="1" outlineLevel="1">
      <c r="A124" s="117" t="inlineStr">
        <is>
          <t xml:space="preserve"> Preliminary Fixed Process Approval</t>
        </is>
      </c>
      <c r="C124" s="7" t="n">
        <v>30</v>
      </c>
      <c r="D124" s="7" t="n">
        <v>30</v>
      </c>
      <c r="E124" s="7" t="n">
        <v>0</v>
      </c>
      <c r="F124" s="7" t="n">
        <v>30</v>
      </c>
      <c r="G124" s="7" t="n">
        <v>30</v>
      </c>
    </row>
    <row r="125" hidden="1" outlineLevel="1">
      <c r="A125" s="117" t="inlineStr">
        <is>
          <t xml:space="preserve"> Build Complete (Production of FAIR or STICS lot) and Acceptance Test Procedure (ATP) Completed by Supplier</t>
        </is>
      </c>
      <c r="C125" s="7" t="n">
        <v>30</v>
      </c>
      <c r="D125" s="7" t="n">
        <v>30</v>
      </c>
      <c r="E125" s="7" t="n">
        <v>30</v>
      </c>
      <c r="F125" s="7" t="n">
        <v>30</v>
      </c>
      <c r="G125" s="7" t="n">
        <v>30</v>
      </c>
    </row>
    <row r="126" hidden="1" outlineLevel="1">
      <c r="A126" s="117" t="inlineStr">
        <is>
          <t xml:space="preserve"> Conditional First Article Inspection Report (FAIR) Completed - FQE</t>
        </is>
      </c>
      <c r="C126" s="7" t="n">
        <v>5</v>
      </c>
      <c r="D126" s="7" t="n">
        <v>5</v>
      </c>
      <c r="E126" s="7" t="n">
        <v>5</v>
      </c>
      <c r="F126" s="7" t="n">
        <v>5</v>
      </c>
      <c r="G126" s="7" t="n">
        <v>5</v>
      </c>
    </row>
    <row r="127" hidden="1" outlineLevel="1">
      <c r="A127" s="117" t="inlineStr">
        <is>
          <t xml:space="preserve"> Test Readiness Review (TRR) Completed</t>
        </is>
      </c>
      <c r="C127" s="8" t="n">
        <v>0</v>
      </c>
      <c r="D127" s="8" t="n">
        <v>0</v>
      </c>
      <c r="E127" s="7" t="n">
        <v>5</v>
      </c>
      <c r="F127" s="8" t="n">
        <v>0</v>
      </c>
      <c r="G127" s="8" t="n">
        <v>0</v>
      </c>
    </row>
    <row r="128" hidden="1" outlineLevel="1">
      <c r="A128" s="117" t="inlineStr">
        <is>
          <t xml:space="preserve"> Substantiation (Machining/Testing if required)</t>
        </is>
      </c>
      <c r="C128" s="7" t="n">
        <v>120</v>
      </c>
      <c r="D128" s="8" t="n">
        <v>0</v>
      </c>
      <c r="E128" s="7" t="n">
        <v>0</v>
      </c>
      <c r="F128" s="8" t="n">
        <v>0</v>
      </c>
      <c r="G128" s="8" t="n">
        <v>0</v>
      </c>
    </row>
    <row r="129" hidden="1" outlineLevel="1">
      <c r="A129" s="117" t="inlineStr">
        <is>
          <t xml:space="preserve"> Material Evaluation Completed</t>
        </is>
      </c>
      <c r="C129" s="7" t="n">
        <v>20</v>
      </c>
      <c r="D129" s="8" t="n">
        <v>0</v>
      </c>
      <c r="E129" s="7" t="n">
        <v>0</v>
      </c>
      <c r="F129" s="8" t="n">
        <v>0</v>
      </c>
      <c r="G129" s="7" t="n">
        <v>0</v>
      </c>
    </row>
    <row r="130" hidden="1" outlineLevel="1">
      <c r="A130" s="117" t="inlineStr">
        <is>
          <t xml:space="preserve"> Functional Test Completed</t>
        </is>
      </c>
      <c r="C130" s="7" t="n">
        <v>20</v>
      </c>
      <c r="D130" s="7" t="n">
        <v>20</v>
      </c>
      <c r="E130" s="7" t="n">
        <v>0</v>
      </c>
      <c r="F130" s="7" t="n">
        <v>60</v>
      </c>
      <c r="G130" s="7" t="n">
        <v>20</v>
      </c>
    </row>
    <row r="131" hidden="1" outlineLevel="1">
      <c r="A131" s="117" t="inlineStr">
        <is>
          <t xml:space="preserve"> BTS - Supplier Qual Complete &amp; Qualification Test Report (QTR) Submitted</t>
        </is>
      </c>
      <c r="C131" s="7" t="n">
        <v>0</v>
      </c>
      <c r="D131" s="7" t="n">
        <v>0</v>
      </c>
      <c r="E131" s="7" t="n">
        <v>60</v>
      </c>
      <c r="F131" s="7" t="n">
        <v>0</v>
      </c>
      <c r="G131" s="7" t="n">
        <v>0</v>
      </c>
    </row>
    <row r="132" hidden="1" outlineLevel="1">
      <c r="A132" s="117" t="inlineStr">
        <is>
          <t xml:space="preserve"> BTS - HON Qual Completed &amp; Qualification Test Report (QTR) Submitted</t>
        </is>
      </c>
      <c r="C132" s="7" t="n">
        <v>0</v>
      </c>
      <c r="D132" s="7" t="n">
        <v>0</v>
      </c>
      <c r="E132" s="7" t="n">
        <v>30</v>
      </c>
      <c r="F132" s="7" t="n">
        <v>0</v>
      </c>
      <c r="G132" s="7" t="n">
        <v>0</v>
      </c>
    </row>
    <row r="133" hidden="1" outlineLevel="1">
      <c r="A133" s="117" t="inlineStr">
        <is>
          <t xml:space="preserve"> Qualification Tests Reports (QTR) Approved by Eng and Send to FAA/DCMA/Customer (If Applicable)</t>
        </is>
      </c>
      <c r="C133" s="7" t="n">
        <v>30</v>
      </c>
      <c r="D133" s="7" t="n">
        <v>30</v>
      </c>
      <c r="E133" s="7" t="n">
        <v>30</v>
      </c>
      <c r="F133" s="7" t="n">
        <v>30</v>
      </c>
      <c r="G133" s="7" t="n">
        <v>30</v>
      </c>
    </row>
    <row r="134" hidden="1" outlineLevel="1">
      <c r="A134" s="117" t="inlineStr">
        <is>
          <t xml:space="preserve"> Initiate Contract Review, Quota Arrangement and Pflag Setup with incumbent and go to CMs</t>
        </is>
      </c>
      <c r="C134" s="7" t="n">
        <v>10</v>
      </c>
      <c r="D134" s="7" t="n">
        <v>10</v>
      </c>
      <c r="E134" s="7" t="n">
        <v>10</v>
      </c>
      <c r="F134" s="7" t="n">
        <v>10</v>
      </c>
      <c r="G134" s="7" t="n">
        <v>10</v>
      </c>
    </row>
    <row r="135" hidden="1" outlineLevel="1">
      <c r="A135" s="117" t="inlineStr">
        <is>
          <t xml:space="preserve"> Production Readiness Review (PRR) Completed</t>
        </is>
      </c>
      <c r="C135" s="7" t="n">
        <v>5</v>
      </c>
      <c r="D135" s="7" t="n">
        <v>5</v>
      </c>
      <c r="E135" s="7" t="n">
        <v>5</v>
      </c>
      <c r="F135" s="7" t="n">
        <v>5</v>
      </c>
      <c r="G135" s="7" t="n">
        <v>5</v>
      </c>
    </row>
    <row r="136" hidden="1" outlineLevel="1">
      <c r="A136" s="117" t="inlineStr">
        <is>
          <t xml:space="preserve"> Federal Aviation Agency (FAA) Technical Standard Order (TSO/ETSO) or Defense Contract Management Agency (DCMA) Approval Complete</t>
        </is>
      </c>
      <c r="C136" s="7" t="n">
        <v>60</v>
      </c>
      <c r="D136" s="7" t="n">
        <v>60</v>
      </c>
      <c r="E136" s="7" t="n">
        <v>60</v>
      </c>
      <c r="F136" s="7" t="n">
        <v>60</v>
      </c>
      <c r="G136" s="7" t="n">
        <v>60</v>
      </c>
    </row>
    <row r="137" hidden="1" outlineLevel="1">
      <c r="A137" s="117" t="inlineStr">
        <is>
          <t xml:space="preserve"> Customer QTR Approval Received</t>
        </is>
      </c>
      <c r="C137" s="7" t="n">
        <v>45</v>
      </c>
      <c r="D137" s="7" t="n">
        <v>45</v>
      </c>
      <c r="E137" s="7" t="n">
        <v>45</v>
      </c>
      <c r="F137" s="7" t="n">
        <v>45</v>
      </c>
      <c r="G137" s="7" t="n">
        <v>45</v>
      </c>
    </row>
    <row r="138" hidden="1" outlineLevel="1">
      <c r="A138" s="117" t="inlineStr">
        <is>
          <t xml:space="preserve"> Final Cutover Plan Established</t>
        </is>
      </c>
      <c r="C138" s="7" t="n">
        <v>3</v>
      </c>
      <c r="D138" s="7" t="n">
        <v>3</v>
      </c>
      <c r="E138" s="7" t="n">
        <v>3</v>
      </c>
      <c r="F138" s="7" t="n">
        <v>3</v>
      </c>
      <c r="G138" s="7" t="n">
        <v>3</v>
      </c>
    </row>
    <row r="139" hidden="1" outlineLevel="1">
      <c r="A139" s="117" t="inlineStr">
        <is>
          <t xml:space="preserve"> Elevate Supplier to Production Status (SS1) (If Applicable)</t>
        </is>
      </c>
      <c r="C139" s="7" t="n">
        <v>10</v>
      </c>
      <c r="D139" s="7" t="n">
        <v>10</v>
      </c>
      <c r="E139" s="7" t="n">
        <v>10</v>
      </c>
      <c r="F139" s="7" t="n">
        <v>10</v>
      </c>
      <c r="G139" s="7" t="n">
        <v>10</v>
      </c>
    </row>
    <row r="140" hidden="1" outlineLevel="1">
      <c r="A140" s="117" t="inlineStr">
        <is>
          <t xml:space="preserve"> Final Fixed Process Approval Complete</t>
        </is>
      </c>
      <c r="C140" s="7" t="n">
        <v>5</v>
      </c>
      <c r="D140" s="7" t="n">
        <v>5</v>
      </c>
      <c r="E140" s="7" t="n">
        <v>0</v>
      </c>
      <c r="F140" s="7" t="n">
        <v>5</v>
      </c>
      <c r="G140" s="7" t="n">
        <v>5</v>
      </c>
    </row>
    <row r="141" hidden="1" outlineLevel="1">
      <c r="A141" s="117" t="inlineStr">
        <is>
          <t xml:space="preserve"> Delta First Article Inspection Report (FAIR) Complete</t>
        </is>
      </c>
      <c r="C141" s="7" t="n">
        <v>5</v>
      </c>
      <c r="D141" s="7" t="n">
        <v>5</v>
      </c>
      <c r="E141" s="7" t="n">
        <v>5</v>
      </c>
      <c r="F141" s="7" t="n">
        <v>5</v>
      </c>
      <c r="G141" s="7" t="n">
        <v>5</v>
      </c>
    </row>
    <row r="142" hidden="1" outlineLevel="1">
      <c r="A142" s="117" t="inlineStr">
        <is>
          <t xml:space="preserve"> Update Next Higher Assembly Drawings Complete</t>
        </is>
      </c>
      <c r="C142" s="8" t="n">
        <v>0</v>
      </c>
      <c r="D142" s="8" t="n">
        <v>0</v>
      </c>
      <c r="E142" s="7" t="n">
        <v>30</v>
      </c>
      <c r="F142" s="8" t="n">
        <v>0</v>
      </c>
      <c r="G142" s="8" t="n">
        <v>0</v>
      </c>
    </row>
    <row r="143" hidden="1" outlineLevel="1">
      <c r="A143" s="117" t="inlineStr">
        <is>
          <t xml:space="preserve"> Update Service Bulletin, Aftermarket Documents Complete (If Applicable)</t>
        </is>
      </c>
      <c r="C143" s="8" t="n">
        <v>0</v>
      </c>
      <c r="D143" s="8" t="n">
        <v>0</v>
      </c>
      <c r="E143" s="7" t="n">
        <v>30</v>
      </c>
      <c r="F143" s="8" t="n">
        <v>0</v>
      </c>
      <c r="G143" s="8" t="n">
        <v>0</v>
      </c>
    </row>
    <row r="144" hidden="1" outlineLevel="1">
      <c r="A144" s="117" t="inlineStr">
        <is>
          <t xml:space="preserve"> FAIR Parts Received at Main Receiving Site</t>
        </is>
      </c>
      <c r="C144" s="7" t="n">
        <v>5</v>
      </c>
      <c r="D144" s="7" t="n">
        <v>5</v>
      </c>
      <c r="E144" s="7" t="n">
        <v>5</v>
      </c>
      <c r="F144" s="7" t="n">
        <v>5</v>
      </c>
      <c r="G144" s="7" t="n">
        <v>5</v>
      </c>
    </row>
    <row r="145" hidden="1" outlineLevel="1">
      <c r="A145" s="117" t="inlineStr">
        <is>
          <t xml:space="preserve"> Quota Arrangement and Preferred Flag Setup Complete</t>
        </is>
      </c>
      <c r="C145" s="7" t="n">
        <v>5</v>
      </c>
      <c r="D145" s="7" t="n">
        <v>5</v>
      </c>
      <c r="E145" s="7" t="n">
        <v>5</v>
      </c>
      <c r="F145" s="7" t="n">
        <v>5</v>
      </c>
      <c r="G145" s="7" t="n">
        <v>5</v>
      </c>
    </row>
    <row r="146" hidden="1" outlineLevel="1">
      <c r="A146" s="117" t="inlineStr">
        <is>
          <t xml:space="preserve"> Part Complete Audit Completed</t>
        </is>
      </c>
      <c r="C146" s="7" t="n">
        <v>3</v>
      </c>
      <c r="D146" s="7" t="n">
        <v>3</v>
      </c>
      <c r="E146" s="7" t="n">
        <v>3</v>
      </c>
      <c r="F146" s="7" t="n">
        <v>3</v>
      </c>
      <c r="G146" s="7" t="n">
        <v>3</v>
      </c>
    </row>
    <row r="147" hidden="1" outlineLevel="1">
      <c r="A147" s="117" t="inlineStr">
        <is>
          <t xml:space="preserve"> Integrated Master Schedule (IMS) Part Complete</t>
        </is>
      </c>
      <c r="C147" s="7" t="n">
        <v>0</v>
      </c>
      <c r="D147" s="7" t="n">
        <v>0</v>
      </c>
      <c r="E147" s="7" t="n">
        <v>0</v>
      </c>
      <c r="F147" s="7" t="n">
        <v>0</v>
      </c>
      <c r="G147" s="7" t="n">
        <v>0</v>
      </c>
    </row>
    <row r="148" collapsed="1"/>
  </sheetData>
  <autoFilter ref="A26:B26">
    <sortState ref="A27:B71">
      <sortCondition ref="A26"/>
    </sortState>
  </autoFilter>
  <mergeCells count="83">
    <mergeCell ref="A98:B98"/>
    <mergeCell ref="D2:F6"/>
    <mergeCell ref="A107:B107"/>
    <mergeCell ref="A75:F75"/>
    <mergeCell ref="A88:B88"/>
    <mergeCell ref="C21:E21"/>
    <mergeCell ref="A90:B90"/>
    <mergeCell ref="C23:E23"/>
    <mergeCell ref="A99:B99"/>
    <mergeCell ref="A101:B101"/>
    <mergeCell ref="A85:B85"/>
    <mergeCell ref="A126:B126"/>
    <mergeCell ref="A140:B140"/>
    <mergeCell ref="A109:B109"/>
    <mergeCell ref="A117:B117"/>
    <mergeCell ref="A111:B111"/>
    <mergeCell ref="C20:E20"/>
    <mergeCell ref="A142:B142"/>
    <mergeCell ref="C22:E22"/>
    <mergeCell ref="A103:B103"/>
    <mergeCell ref="A18:F18"/>
    <mergeCell ref="A79:B79"/>
    <mergeCell ref="A87:B87"/>
    <mergeCell ref="A128:B128"/>
    <mergeCell ref="A137:B137"/>
    <mergeCell ref="A89:B89"/>
    <mergeCell ref="A136:B136"/>
    <mergeCell ref="A105:B105"/>
    <mergeCell ref="A145:B145"/>
    <mergeCell ref="A139:B139"/>
    <mergeCell ref="A129:B129"/>
    <mergeCell ref="A116:B116"/>
    <mergeCell ref="A91:B91"/>
    <mergeCell ref="A131:B131"/>
    <mergeCell ref="A100:B100"/>
    <mergeCell ref="A115:B115"/>
    <mergeCell ref="A93:B93"/>
    <mergeCell ref="A102:B102"/>
    <mergeCell ref="A77:B77"/>
    <mergeCell ref="A83:B83"/>
    <mergeCell ref="A143:B143"/>
    <mergeCell ref="A92:B92"/>
    <mergeCell ref="A119:B119"/>
    <mergeCell ref="A94:B94"/>
    <mergeCell ref="A78:B78"/>
    <mergeCell ref="A8:F8"/>
    <mergeCell ref="A133:B133"/>
    <mergeCell ref="A80:B80"/>
    <mergeCell ref="A120:B120"/>
    <mergeCell ref="A104:B104"/>
    <mergeCell ref="A113:B113"/>
    <mergeCell ref="A106:B106"/>
    <mergeCell ref="A96:B96"/>
    <mergeCell ref="A147:B147"/>
    <mergeCell ref="A1:F1"/>
    <mergeCell ref="A130:B130"/>
    <mergeCell ref="A82:B82"/>
    <mergeCell ref="A123:B123"/>
    <mergeCell ref="A138:B138"/>
    <mergeCell ref="A9:F12"/>
    <mergeCell ref="A132:B132"/>
    <mergeCell ref="A110:B110"/>
    <mergeCell ref="A146:B146"/>
    <mergeCell ref="A124:B124"/>
    <mergeCell ref="A108:B108"/>
    <mergeCell ref="A84:B84"/>
    <mergeCell ref="A118:B118"/>
    <mergeCell ref="A86:B86"/>
    <mergeCell ref="C19:E19"/>
    <mergeCell ref="A95:B95"/>
    <mergeCell ref="A141:B141"/>
    <mergeCell ref="A135:B135"/>
    <mergeCell ref="A144:B144"/>
    <mergeCell ref="A122:B122"/>
    <mergeCell ref="A97:B97"/>
    <mergeCell ref="A125:B125"/>
    <mergeCell ref="A134:B134"/>
    <mergeCell ref="A81:B81"/>
    <mergeCell ref="A112:B112"/>
    <mergeCell ref="A121:B121"/>
    <mergeCell ref="A127:B127"/>
    <mergeCell ref="A114:B114"/>
    <mergeCell ref="A25:F25"/>
  </mergeCells>
  <conditionalFormatting sqref="A3:A6">
    <cfRule type="expression" priority="6" dxfId="182">
      <formula>$B3=""</formula>
    </cfRule>
  </conditionalFormatting>
  <conditionalFormatting sqref="B5:B6">
    <cfRule type="containsBlanks" priority="3" dxfId="180">
      <formula>LEN(TRIM(B5))=0</formula>
    </cfRule>
  </conditionalFormatting>
  <conditionalFormatting sqref="B3">
    <cfRule type="containsBlanks" priority="7" dxfId="180">
      <formula>LEN(TRIM(B3))=0</formula>
    </cfRule>
  </conditionalFormatting>
  <conditionalFormatting sqref="B4">
    <cfRule type="notContainsBlanks" priority="1" dxfId="179">
      <formula>LEN(TRIM(B4))&gt;0</formula>
    </cfRule>
    <cfRule type="expression" priority="2" dxfId="178">
      <formula>AND($A$4&lt;&gt;"",$B$4="")</formula>
    </cfRule>
  </conditionalFormatting>
  <dataValidations count="3">
    <dataValidation sqref="B6" showDropDown="0" showInputMessage="1" showErrorMessage="1" allowBlank="1" type="list">
      <formula1>"CF,DMC,ELE,MSM"</formula1>
    </dataValidation>
    <dataValidation sqref="B3" showDropDown="0" showInputMessage="0" showErrorMessage="0" allowBlank="1" errorTitle="Character Limit Exceeded" error="The project name cannot exceed 10 characters " promptTitle="Character Limitation" prompt="The project name cannot exceed 10 characters " type="list">
      <formula1>"Supplier Name,Project Name,Project Manager"</formula1>
    </dataValidation>
    <dataValidation sqref="B4" showDropDown="0" showInputMessage="0" showErrorMessage="0" allowBlank="1" errorTitle="Character Limitat Exceeded" error="The subproject name cannot exceed 8 characters " promptTitle="Character Limitation" prompt="The subproject name cannot exceed 8 characters "/>
  </dataValidations>
  <hyperlinks>
    <hyperlink xmlns:r="http://schemas.openxmlformats.org/officeDocument/2006/relationships" ref="A16" r:id="rId1"/>
  </hyperlinks>
  <pageMargins left="0.7" right="0.7" top="0.75" bottom="0.75" header="0.3" footer="0.3"/>
  <pageSetup orientation="portrait"/>
</worksheet>
</file>

<file path=xl/worksheets/sheet2.xml><?xml version="1.0" encoding="utf-8"?>
<worksheet xmlns="http://schemas.openxmlformats.org/spreadsheetml/2006/main">
  <sheetPr codeName="Sheet2">
    <outlinePr summaryBelow="1" summaryRight="1"/>
    <pageSetUpPr/>
  </sheetPr>
  <dimension ref="A1:KY126"/>
  <sheetViews>
    <sheetView showGridLines="0" zoomScale="70" zoomScaleNormal="70" workbookViewId="0">
      <pane xSplit="7" ySplit="8" topLeftCell="I9" activePane="bottomRight" state="frozen"/>
      <selection pane="topRight" activeCell="H1" sqref="H1"/>
      <selection pane="bottomLeft" activeCell="A9" sqref="A9"/>
      <selection pane="bottomRight" activeCell="A9" sqref="A9:XFD10"/>
    </sheetView>
  </sheetViews>
  <sheetFormatPr baseColWidth="8" defaultRowHeight="14.4" outlineLevelRow="1"/>
  <cols>
    <col width="20.88671875" customWidth="1" min="1" max="1"/>
    <col width="9.88671875" customWidth="1" min="2" max="2"/>
    <col width="16.88671875" bestFit="1" customWidth="1" min="3" max="3"/>
    <col width="12.109375" customWidth="1" style="104" min="4" max="4"/>
    <col width="11.6640625" customWidth="1" min="5" max="5"/>
    <col width="23" customWidth="1" min="6" max="6"/>
    <col width="21" bestFit="1" customWidth="1" min="7" max="7"/>
    <col width="14.33203125" customWidth="1" min="8" max="8"/>
    <col width="11.6640625" customWidth="1" min="9" max="9"/>
    <col outlineLevel="1" width="11.6640625" customWidth="1" min="10" max="10"/>
    <col outlineLevel="1" width="13.6640625" customWidth="1" min="11" max="11"/>
    <col width="13.6640625" customWidth="1" min="12" max="12"/>
    <col outlineLevel="1" width="13.6640625" customWidth="1" min="13" max="13"/>
    <col outlineLevel="1" width="13.33203125" customWidth="1" min="14" max="14"/>
    <col width="13.33203125" customWidth="1" min="15" max="15"/>
    <col outlineLevel="1" width="13" customWidth="1" min="16" max="16"/>
    <col outlineLevel="1" width="12.33203125" customWidth="1" min="17" max="17"/>
    <col width="12.33203125" customWidth="1" min="18" max="18"/>
    <col outlineLevel="1" width="10.6640625" customWidth="1" min="19" max="20"/>
    <col width="10.6640625" customWidth="1" min="21" max="21"/>
    <col outlineLevel="1" width="13" customWidth="1" min="22" max="22"/>
    <col outlineLevel="1" width="14.88671875" customWidth="1" min="23" max="23"/>
    <col width="14.88671875" customWidth="1" min="24" max="24"/>
    <col outlineLevel="1" width="13.109375" customWidth="1" min="25" max="25"/>
    <col outlineLevel="1" width="13.44140625" customWidth="1" min="26" max="26"/>
    <col width="13.44140625" customWidth="1" min="27" max="27"/>
    <col outlineLevel="1" width="13.44140625" customWidth="1" min="28" max="29"/>
    <col width="13.44140625" customWidth="1" min="30" max="30"/>
    <col outlineLevel="1" width="13.44140625" customWidth="1" min="31" max="32"/>
    <col width="13.44140625" customWidth="1" min="33" max="33"/>
    <col outlineLevel="1" width="10.6640625" customWidth="1" min="34" max="35"/>
    <col width="10.6640625" customWidth="1" min="36" max="36"/>
    <col outlineLevel="1" width="10.6640625" customWidth="1" min="37" max="38"/>
    <col width="10.6640625" customWidth="1" min="39" max="39"/>
    <col outlineLevel="1" width="10.6640625" customWidth="1" min="40" max="41"/>
    <col width="10.6640625" customWidth="1" min="42" max="42"/>
    <col outlineLevel="1" width="10.6640625" customWidth="1" min="43" max="44"/>
    <col width="10.6640625" customWidth="1" min="45" max="45"/>
    <col outlineLevel="1" width="10.6640625" customWidth="1" min="46" max="47"/>
    <col width="10.6640625" customWidth="1" min="48" max="48"/>
    <col outlineLevel="1" width="10.6640625" customWidth="1" min="49" max="50"/>
    <col width="10.6640625" customWidth="1" min="51" max="51"/>
    <col outlineLevel="1" width="10.6640625" customWidth="1" min="52" max="53"/>
    <col width="10.6640625" customWidth="1" min="54" max="54"/>
    <col outlineLevel="1" width="12.5546875" customWidth="1" min="55" max="55"/>
    <col outlineLevel="1" width="13.44140625" customWidth="1" min="56" max="56"/>
    <col width="10.88671875" customWidth="1" min="57" max="57"/>
    <col outlineLevel="1" width="10.6640625" customWidth="1" min="58" max="59"/>
    <col width="11.33203125" customWidth="1" min="60" max="60"/>
    <col outlineLevel="1" width="10.6640625" customWidth="1" min="61" max="62"/>
    <col width="10.6640625" customWidth="1" min="63" max="63"/>
    <col outlineLevel="1" width="10.6640625" customWidth="1" min="64" max="65"/>
    <col width="10.6640625" customWidth="1" min="66" max="66"/>
    <col outlineLevel="1" width="10.6640625" customWidth="1" min="67" max="68"/>
    <col width="10.6640625" customWidth="1" min="69" max="69"/>
    <col outlineLevel="1" width="10.6640625" customWidth="1" min="70" max="71"/>
    <col width="10.6640625" customWidth="1" min="72" max="72"/>
    <col outlineLevel="1" width="10.6640625" customWidth="1" min="73" max="74"/>
    <col width="10.6640625" customWidth="1" min="75" max="75"/>
    <col outlineLevel="1" width="13.33203125" customWidth="1" min="76" max="76"/>
    <col outlineLevel="1" width="13.5546875" customWidth="1" min="77" max="77"/>
    <col width="13.5546875" customWidth="1" min="78" max="78"/>
    <col outlineLevel="1" width="10.6640625" customWidth="1" min="79" max="80"/>
    <col width="10.6640625" customWidth="1" min="81" max="81"/>
    <col outlineLevel="1" width="12.6640625" customWidth="1" min="82" max="82"/>
    <col outlineLevel="1" width="13.33203125" customWidth="1" min="83" max="83"/>
    <col width="13.33203125" customWidth="1" min="84" max="84"/>
    <col outlineLevel="1" width="10.6640625" customWidth="1" min="85" max="86"/>
    <col width="10.6640625" customWidth="1" min="87" max="87"/>
    <col outlineLevel="1" width="13.33203125" customWidth="1" min="88" max="88"/>
    <col outlineLevel="1" width="14" customWidth="1" min="89" max="89"/>
    <col width="14" customWidth="1" min="90" max="90"/>
    <col outlineLevel="1" width="10.6640625" customWidth="1" min="91" max="92"/>
    <col width="10.6640625" customWidth="1" min="93" max="93"/>
    <col outlineLevel="1" width="13" customWidth="1" min="94" max="94"/>
    <col outlineLevel="1" width="12.33203125" customWidth="1" min="95" max="95"/>
    <col width="12.33203125" customWidth="1" min="96" max="96"/>
    <col width="84" customWidth="1" min="97" max="97"/>
    <col outlineLevel="1" width="10.6640625" customWidth="1" min="98" max="99"/>
    <col width="10.6640625" customWidth="1" min="100" max="100"/>
    <col outlineLevel="1" width="12.109375" customWidth="1" min="101" max="101"/>
    <col outlineLevel="1" width="10.6640625" customWidth="1" min="102" max="102"/>
    <col width="10.6640625" customWidth="1" min="103" max="103"/>
    <col outlineLevel="1" width="10.6640625" customWidth="1" min="104" max="105"/>
    <col width="10.6640625" customWidth="1" min="106" max="106"/>
    <col outlineLevel="1" width="13.44140625" customWidth="1" min="107" max="107"/>
    <col outlineLevel="1" width="12.5546875" customWidth="1" min="108" max="108"/>
    <col width="12.5546875" customWidth="1" min="109" max="109"/>
    <col outlineLevel="1" width="10.6640625" customWidth="1" min="110" max="111"/>
    <col width="10.6640625" customWidth="1" min="112" max="112"/>
    <col outlineLevel="1" width="11.6640625" customWidth="1" min="113" max="115"/>
    <col width="12.33203125" customWidth="1" min="116" max="116"/>
    <col outlineLevel="1" width="12.6640625" customWidth="1" min="117" max="117"/>
    <col outlineLevel="1" width="12.33203125" customWidth="1" min="118" max="118"/>
    <col width="12.33203125" customWidth="1" min="119" max="119"/>
    <col outlineLevel="1" width="12.33203125" customWidth="1" min="120" max="120"/>
    <col outlineLevel="1" width="10.88671875" customWidth="1" min="121" max="121"/>
    <col width="10.88671875" customWidth="1" min="122" max="122"/>
    <col outlineLevel="1" width="13" customWidth="1" min="123" max="123"/>
    <col outlineLevel="1" width="12.109375" customWidth="1" min="124" max="124"/>
    <col outlineLevel="1" width="12.5546875" customWidth="1" min="125" max="125"/>
    <col width="13.6640625" customWidth="1" min="126" max="126"/>
    <col outlineLevel="1" width="13.6640625" customWidth="1" min="127" max="127"/>
    <col outlineLevel="1" width="12.6640625" customWidth="1" min="128" max="129"/>
    <col width="13.88671875" customWidth="1" min="130" max="130"/>
    <col outlineLevel="1" width="13.88671875" customWidth="1" min="131" max="131"/>
    <col outlineLevel="1" width="13.44140625" customWidth="1" min="132" max="132"/>
    <col outlineLevel="1" width="14" customWidth="1" min="133" max="133"/>
    <col width="14" customWidth="1" min="134" max="134"/>
    <col outlineLevel="1" width="10.6640625" customWidth="1" min="135" max="136"/>
    <col width="10.6640625" customWidth="1" min="137" max="137"/>
    <col outlineLevel="1" width="10.6640625" customWidth="1" min="138" max="139"/>
    <col width="10.6640625" customWidth="1" min="140" max="140"/>
    <col outlineLevel="1" width="10.6640625" customWidth="1" min="141" max="142"/>
    <col width="10.6640625" customWidth="1" min="143" max="143"/>
    <col outlineLevel="1" width="10.6640625" customWidth="1" min="144" max="145"/>
    <col width="10.6640625" customWidth="1" min="146" max="146"/>
    <col outlineLevel="1" width="10.6640625" customWidth="1" min="147" max="148"/>
    <col width="10.6640625" customWidth="1" min="149" max="149"/>
    <col outlineLevel="1" width="10.6640625" customWidth="1" min="150" max="151"/>
    <col width="10.6640625" customWidth="1" min="152" max="152"/>
    <col outlineLevel="1" width="10.6640625" customWidth="1" min="153" max="154"/>
    <col width="10.6640625" customWidth="1" min="155" max="155"/>
    <col outlineLevel="1" width="10.6640625" customWidth="1" min="156" max="157"/>
    <col width="10.6640625" customWidth="1" min="158" max="158"/>
    <col outlineLevel="1" width="13.33203125" customWidth="1" min="159" max="159"/>
    <col outlineLevel="1" width="12.88671875" customWidth="1" min="160" max="160"/>
    <col width="12.88671875" customWidth="1" min="161" max="161"/>
    <col outlineLevel="1" width="12.88671875" customWidth="1" min="162" max="163"/>
    <col width="12.88671875" customWidth="1" min="164" max="164"/>
    <col outlineLevel="1" width="13.33203125" customWidth="1" min="165" max="165"/>
    <col outlineLevel="1" width="11.44140625" customWidth="1" min="166" max="166"/>
    <col width="11.44140625" customWidth="1" min="167" max="167"/>
    <col outlineLevel="1" width="13.6640625" customWidth="1" min="168" max="168"/>
    <col outlineLevel="1" width="13.88671875" customWidth="1" min="169" max="169"/>
    <col width="13.88671875" customWidth="1" min="170" max="170"/>
    <col outlineLevel="1" width="12.33203125" customWidth="1" min="171" max="171"/>
    <col outlineLevel="1" width="13.6640625" customWidth="1" min="172" max="172"/>
    <col width="13.44140625" customWidth="1" min="173" max="173"/>
    <col width="17.88671875" customWidth="1" min="174" max="174"/>
    <col width="17.88671875" customWidth="1" style="112" min="175" max="175"/>
    <col width="13.88671875" customWidth="1" min="176" max="178"/>
    <col width="14.33203125" customWidth="1" min="179" max="179"/>
  </cols>
  <sheetData>
    <row r="1" ht="15.75" customHeight="1">
      <c r="A1" s="182" t="inlineStr">
        <is>
          <t>Default color coding</t>
        </is>
      </c>
      <c r="B1" s="13" t="n"/>
      <c r="C1" s="17" t="inlineStr">
        <is>
          <t>Date (Manual input)</t>
        </is>
      </c>
      <c r="D1" s="94" t="n"/>
      <c r="E1" s="17" t="n"/>
      <c r="F1" s="18" t="n"/>
      <c r="G1" s="182" t="n"/>
      <c r="H1" s="182" t="inlineStr">
        <is>
          <t>Assumptions:</t>
        </is>
      </c>
      <c r="I1" s="183" t="inlineStr">
        <is>
          <t>1. Dates are calculated based on work weeks (Monday - Friday)
2. Holidays are not accounted</t>
        </is>
      </c>
      <c r="CV1" s="184" t="n"/>
      <c r="CW1" s="39" t="n"/>
      <c r="CX1" s="39" t="n"/>
      <c r="CY1" s="39" t="n"/>
      <c r="CZ1" s="39" t="n"/>
      <c r="DA1" s="39" t="n"/>
      <c r="DB1" s="39" t="n"/>
      <c r="DC1" s="39" t="n"/>
      <c r="DD1" s="39" t="n"/>
      <c r="DE1" s="39" t="n"/>
      <c r="DF1" s="1" t="n"/>
      <c r="DG1" s="86" t="n"/>
      <c r="DH1" s="86" t="n"/>
      <c r="DI1" s="87" t="n"/>
      <c r="DJ1" s="87" t="n"/>
      <c r="DK1" s="87" t="n"/>
      <c r="DM1" s="1" t="n"/>
      <c r="DN1" s="1" t="n"/>
      <c r="DO1" s="1" t="n"/>
      <c r="DP1" s="1" t="n"/>
      <c r="DQ1" s="86" t="n"/>
      <c r="DR1" s="86" t="n"/>
      <c r="DS1" s="91" t="n"/>
      <c r="DT1" s="87" t="n"/>
      <c r="DU1" s="87" t="n"/>
      <c r="DV1" s="1" t="n"/>
      <c r="DW1" s="1" t="n"/>
      <c r="DX1" s="87" t="n"/>
      <c r="DY1" s="87" t="n"/>
      <c r="DZ1" s="1" t="n"/>
      <c r="EA1" s="1" t="n"/>
      <c r="EB1" s="87" t="n"/>
      <c r="EC1" s="87" t="n"/>
      <c r="ED1" s="1" t="n"/>
      <c r="EE1" s="1" t="n"/>
      <c r="EF1" s="1" t="n"/>
      <c r="EG1" s="1" t="n"/>
      <c r="EH1" s="1" t="n"/>
      <c r="EI1" s="1" t="n"/>
      <c r="EJ1" s="1" t="n"/>
      <c r="EK1" s="1" t="n"/>
      <c r="EL1" s="1" t="n"/>
      <c r="EM1" s="1" t="n"/>
      <c r="EN1" s="1" t="n"/>
      <c r="EO1" s="1" t="n"/>
      <c r="EP1" s="1" t="n"/>
      <c r="EQ1" s="1" t="n"/>
      <c r="ER1" s="1" t="n"/>
      <c r="ES1" s="1" t="n"/>
      <c r="ET1" s="1" t="n"/>
      <c r="EU1" s="1" t="n"/>
      <c r="EV1" s="1" t="n"/>
      <c r="EW1" s="1" t="n"/>
      <c r="EX1" s="1" t="n"/>
      <c r="EY1" s="1" t="n"/>
      <c r="EZ1" s="1" t="n"/>
      <c r="FA1" s="1" t="n"/>
      <c r="FB1" s="1" t="n"/>
      <c r="FC1" s="1" t="n"/>
      <c r="FD1" s="1" t="n"/>
      <c r="FE1" s="1" t="n"/>
      <c r="FF1" s="1" t="n"/>
      <c r="FG1" s="1" t="n"/>
      <c r="FH1" s="1" t="n"/>
      <c r="FI1" s="1" t="n"/>
      <c r="FJ1" s="1" t="n"/>
      <c r="FK1" s="1" t="n"/>
      <c r="FL1" s="1" t="n"/>
      <c r="FM1" s="1" t="n"/>
      <c r="FN1" s="1" t="n"/>
      <c r="FO1" s="1" t="n"/>
      <c r="FP1" s="1" t="n"/>
      <c r="FQ1" s="1" t="n"/>
      <c r="FR1" s="1" t="n"/>
      <c r="FS1" s="21" t="n"/>
      <c r="FT1" s="1" t="n"/>
      <c r="FU1" s="1" t="n"/>
      <c r="FV1" s="1" t="n"/>
      <c r="FW1" s="40" t="n"/>
    </row>
    <row r="2" ht="15.75" customHeight="1">
      <c r="A2" s="18" t="n"/>
      <c r="B2" s="4" t="n"/>
      <c r="C2" s="17" t="inlineStr">
        <is>
          <t>Duration in days (manual input)</t>
        </is>
      </c>
      <c r="D2" s="94" t="n"/>
      <c r="E2" s="17" t="n"/>
      <c r="F2" s="18" t="n"/>
      <c r="CV2" s="184" t="n"/>
      <c r="CW2" s="39" t="n"/>
      <c r="CX2" s="39" t="n"/>
      <c r="CY2" s="39" t="n"/>
      <c r="CZ2" s="39" t="n"/>
      <c r="DA2" s="39" t="n"/>
      <c r="DB2" s="39" t="n"/>
      <c r="DC2" s="39" t="n"/>
      <c r="DD2" s="39" t="n"/>
      <c r="DE2" s="39" t="n"/>
      <c r="DF2" s="1" t="n"/>
      <c r="DG2" s="86" t="n"/>
      <c r="DH2" s="86" t="n"/>
      <c r="DI2" s="88" t="n"/>
      <c r="DJ2" s="88" t="n"/>
      <c r="DK2" s="88" t="n"/>
      <c r="DM2" s="1" t="n"/>
      <c r="DN2" s="1" t="n"/>
      <c r="DO2" s="1" t="n"/>
      <c r="DP2" s="1" t="n"/>
      <c r="DQ2" s="86" t="n"/>
      <c r="DR2" s="86" t="n"/>
      <c r="DS2" s="91" t="n"/>
      <c r="DT2" s="88" t="n"/>
      <c r="DU2" s="88" t="n"/>
      <c r="DV2" s="1" t="n"/>
      <c r="DW2" s="1" t="n"/>
      <c r="DX2" s="88" t="n"/>
      <c r="DY2" s="88" t="n"/>
      <c r="DZ2" s="1" t="n"/>
      <c r="EA2" s="1" t="n"/>
      <c r="EB2" s="88" t="n"/>
      <c r="EC2" s="88" t="n"/>
      <c r="ED2" s="1" t="n"/>
      <c r="EE2" s="1" t="n"/>
      <c r="EF2" s="1" t="n"/>
      <c r="EG2" s="1" t="n"/>
      <c r="EH2" s="1" t="n"/>
      <c r="EI2" s="1" t="n"/>
      <c r="EJ2" s="1" t="n"/>
      <c r="EK2" s="1" t="n"/>
      <c r="EL2" s="1" t="n"/>
      <c r="EM2" s="1" t="n"/>
      <c r="EN2" s="1" t="n"/>
      <c r="EO2" s="1" t="n"/>
      <c r="EP2" s="1" t="n"/>
      <c r="EQ2" s="1" t="n"/>
      <c r="ER2" s="1" t="n"/>
      <c r="ES2" s="1" t="n"/>
      <c r="ET2" s="1" t="n"/>
      <c r="EU2" s="1" t="n"/>
      <c r="EV2" s="1" t="n"/>
      <c r="EW2" s="1" t="n"/>
      <c r="EX2" s="1" t="n"/>
      <c r="EY2" s="1" t="n"/>
      <c r="EZ2" s="1" t="n"/>
      <c r="FA2" s="1" t="n"/>
      <c r="FB2" s="1" t="n"/>
      <c r="FC2" s="1" t="n"/>
      <c r="FD2" s="1" t="n"/>
      <c r="FE2" s="1" t="n"/>
      <c r="FF2" s="1" t="n"/>
      <c r="FG2" s="1" t="n"/>
      <c r="FH2" s="1" t="n"/>
      <c r="FI2" s="1" t="n"/>
      <c r="FJ2" s="1" t="n"/>
      <c r="FK2" s="1" t="n"/>
      <c r="FL2" s="1" t="n"/>
      <c r="FM2" s="1" t="n"/>
      <c r="FN2" s="1" t="n"/>
      <c r="FO2" s="1" t="n"/>
      <c r="FP2" s="1" t="n"/>
      <c r="FQ2" s="1" t="n"/>
      <c r="FR2" s="1" t="n"/>
      <c r="FS2" s="21" t="n"/>
      <c r="FT2" s="2" t="n"/>
      <c r="FU2" s="2" t="n"/>
      <c r="FV2" s="2" t="n"/>
      <c r="FW2" s="41" t="n"/>
      <c r="FX2" s="36" t="n"/>
      <c r="FY2" s="36" t="n"/>
      <c r="FZ2" s="36" t="n"/>
      <c r="GA2" s="36" t="n"/>
      <c r="GB2" s="36" t="n"/>
      <c r="GC2" s="36" t="n"/>
      <c r="GD2" s="36" t="n"/>
    </row>
    <row r="3" ht="15.6" customHeight="1">
      <c r="A3" s="18" t="n"/>
      <c r="B3" s="10" t="n"/>
      <c r="C3" s="17" t="inlineStr">
        <is>
          <t>Date Calculation</t>
        </is>
      </c>
      <c r="D3" s="94" t="n"/>
      <c r="E3" s="17" t="n"/>
      <c r="F3" s="19" t="n"/>
      <c r="G3" s="20" t="n"/>
      <c r="H3" s="20" t="inlineStr">
        <is>
          <t>ST 2.0 Phase</t>
        </is>
      </c>
      <c r="I3" s="38" t="inlineStr">
        <is>
          <t>Phase I</t>
        </is>
      </c>
      <c r="J3" s="185" t="inlineStr">
        <is>
          <t>Phase IIA</t>
        </is>
      </c>
      <c r="AB3" s="185" t="n"/>
      <c r="AC3" s="185" t="n"/>
      <c r="AD3" s="185" t="n"/>
      <c r="AE3" s="186" t="inlineStr">
        <is>
          <t>Phase IIB</t>
        </is>
      </c>
      <c r="AH3" s="187" t="inlineStr">
        <is>
          <t>Phase IIC</t>
        </is>
      </c>
      <c r="AQ3" s="188" t="inlineStr">
        <is>
          <t>Phase IIIA</t>
        </is>
      </c>
      <c r="BB3" s="188" t="n"/>
      <c r="BC3" s="189" t="inlineStr">
        <is>
          <t>Phase IIIB</t>
        </is>
      </c>
      <c r="BI3" s="98" t="inlineStr">
        <is>
          <t>Phase IV</t>
        </is>
      </c>
      <c r="BJ3" s="98" t="n"/>
      <c r="BK3" s="98" t="n"/>
      <c r="BL3" s="98" t="n"/>
      <c r="BM3" s="98" t="n"/>
      <c r="BN3" s="98" t="n"/>
      <c r="BO3" s="98" t="n"/>
      <c r="BP3" s="98" t="n"/>
      <c r="BQ3" s="98" t="n"/>
      <c r="BR3" s="98" t="n"/>
      <c r="BS3" s="98" t="n"/>
      <c r="BT3" s="98" t="n"/>
      <c r="BU3" s="98" t="n"/>
      <c r="BV3" s="98" t="n"/>
      <c r="BW3" s="98" t="n"/>
      <c r="BX3" s="98" t="n"/>
      <c r="BY3" s="98" t="n"/>
      <c r="BZ3" s="98" t="n"/>
      <c r="CA3" s="98" t="n"/>
      <c r="CB3" s="98" t="n"/>
      <c r="CC3" s="98" t="n"/>
      <c r="CD3" s="98" t="n"/>
      <c r="CE3" s="98" t="n"/>
      <c r="CF3" s="98" t="n"/>
      <c r="CG3" s="98" t="n"/>
      <c r="CH3" s="98" t="n"/>
      <c r="CI3" s="98" t="n"/>
      <c r="CJ3" s="98" t="n"/>
      <c r="CK3" s="98" t="n"/>
      <c r="CL3" s="98" t="n"/>
      <c r="CM3" s="98" t="n"/>
      <c r="CN3" s="98" t="n"/>
      <c r="CO3" s="98" t="n"/>
      <c r="CP3" s="98" t="n"/>
      <c r="CQ3" s="98" t="n"/>
      <c r="CR3" s="98" t="n"/>
      <c r="CS3" s="98" t="n"/>
      <c r="CT3" s="98" t="n"/>
      <c r="CU3" s="98" t="n"/>
      <c r="CV3" s="98" t="n"/>
      <c r="CW3" s="98" t="n"/>
      <c r="CX3" s="98" t="n"/>
      <c r="CY3" s="98" t="n"/>
      <c r="CZ3" s="98" t="n"/>
      <c r="DA3" s="98" t="n"/>
      <c r="DB3" s="98" t="n"/>
      <c r="DC3" s="98" t="n"/>
      <c r="DD3" s="98" t="n"/>
      <c r="DE3" s="98" t="n"/>
      <c r="DF3" s="98" t="n"/>
      <c r="DG3" s="98" t="n"/>
      <c r="DH3" s="98" t="n"/>
      <c r="DI3" s="98" t="n"/>
      <c r="DJ3" s="98" t="n"/>
      <c r="DK3" s="98" t="n"/>
      <c r="DL3" s="98" t="n"/>
      <c r="DM3" s="98" t="n"/>
      <c r="DN3" s="98" t="n"/>
      <c r="DO3" s="98" t="n"/>
      <c r="DP3" s="98" t="n"/>
      <c r="DQ3" s="98" t="n"/>
      <c r="DR3" s="98" t="n"/>
      <c r="DS3" s="98" t="n"/>
      <c r="DT3" s="98" t="n"/>
      <c r="DU3" s="98" t="n"/>
      <c r="DV3" s="98" t="n"/>
      <c r="DW3" s="98" t="n"/>
      <c r="DX3" s="98" t="n"/>
      <c r="DY3" s="98" t="n"/>
      <c r="DZ3" s="98" t="n"/>
      <c r="EA3" s="98" t="n"/>
      <c r="EB3" s="98" t="n"/>
      <c r="EC3" s="98" t="n"/>
      <c r="ED3" s="98" t="n"/>
      <c r="EE3" s="98" t="n"/>
      <c r="EF3" s="98" t="n"/>
      <c r="EG3" s="98" t="n"/>
      <c r="EH3" s="98" t="n"/>
      <c r="EI3" s="98" t="n"/>
      <c r="EJ3" s="98" t="n"/>
      <c r="EK3" s="98" t="n"/>
      <c r="EL3" s="98" t="n"/>
      <c r="EM3" s="98" t="n"/>
      <c r="EN3" s="98" t="n"/>
      <c r="EO3" s="98" t="n"/>
      <c r="EP3" s="98" t="n"/>
      <c r="EQ3" s="98" t="n"/>
      <c r="ER3" s="98" t="n"/>
      <c r="ES3" s="98" t="n"/>
      <c r="ET3" s="98" t="n"/>
      <c r="EU3" s="98" t="n"/>
      <c r="EV3" s="98" t="n"/>
      <c r="EW3" s="98" t="n"/>
      <c r="EX3" s="98" t="n"/>
      <c r="EY3" s="98" t="n"/>
      <c r="EZ3" s="98" t="n"/>
      <c r="FA3" s="98" t="n"/>
      <c r="FB3" s="98" t="n"/>
      <c r="FC3" s="98" t="n"/>
      <c r="FD3" s="98" t="n"/>
      <c r="FE3" s="98" t="n"/>
      <c r="FF3" s="98" t="n"/>
      <c r="FG3" s="98" t="n"/>
      <c r="FH3" s="98" t="n"/>
      <c r="FI3" s="98" t="n"/>
      <c r="FJ3" s="98" t="n"/>
      <c r="FK3" s="98" t="n"/>
      <c r="FL3" s="98" t="n"/>
      <c r="FM3" s="98" t="n"/>
      <c r="FN3" s="98" t="n"/>
      <c r="FO3" s="98" t="n"/>
      <c r="FP3" s="98" t="n"/>
      <c r="FQ3" s="98" t="n"/>
      <c r="FR3" s="98" t="n"/>
      <c r="FS3" s="105" t="n"/>
      <c r="FT3" s="2" t="n"/>
      <c r="FU3" s="2" t="n"/>
      <c r="FV3" s="2" t="n"/>
      <c r="FW3" s="41" t="n"/>
      <c r="FX3" s="36" t="n"/>
      <c r="FY3" s="36" t="n"/>
      <c r="FZ3" s="36" t="n"/>
      <c r="GA3" s="36" t="n"/>
      <c r="GB3" s="36" t="n"/>
      <c r="GC3" s="36" t="n"/>
      <c r="GD3" s="36" t="n"/>
    </row>
    <row r="4">
      <c r="A4" s="21" t="n"/>
      <c r="B4" s="27" t="n"/>
      <c r="C4" s="17" t="inlineStr">
        <is>
          <t>Not Applicable</t>
        </is>
      </c>
      <c r="D4" s="94" t="n"/>
      <c r="E4" s="17" t="n"/>
      <c r="F4" s="19" t="n"/>
      <c r="G4" s="20" t="n"/>
      <c r="H4" s="20" t="inlineStr">
        <is>
          <t>APU CB Gate</t>
        </is>
      </c>
      <c r="I4" s="32" t="inlineStr">
        <is>
          <t>CB Gate 0</t>
        </is>
      </c>
      <c r="J4" s="192" t="inlineStr">
        <is>
          <t>CB Gate 1</t>
        </is>
      </c>
      <c r="BF4" s="191" t="inlineStr">
        <is>
          <t xml:space="preserve">CB Gate 2 </t>
        </is>
      </c>
      <c r="BG4" s="207" t="n"/>
      <c r="BH4" s="207" t="n"/>
      <c r="BI4" s="207" t="n"/>
      <c r="BJ4" s="207" t="n"/>
      <c r="BK4" s="207" t="n"/>
      <c r="BL4" s="207" t="n"/>
      <c r="BM4" s="207" t="n"/>
      <c r="BN4" s="207" t="n"/>
      <c r="BO4" s="207" t="n"/>
      <c r="BP4" s="207" t="n"/>
      <c r="BQ4" s="207" t="n"/>
      <c r="BR4" s="207" t="n"/>
      <c r="BS4" s="207" t="n"/>
      <c r="BT4" s="207" t="n"/>
      <c r="BU4" s="207" t="n"/>
      <c r="BV4" s="207" t="n"/>
      <c r="BW4" s="207" t="n"/>
      <c r="BX4" s="207" t="n"/>
      <c r="BY4" s="207" t="n"/>
      <c r="BZ4" s="207" t="n"/>
      <c r="CA4" s="207" t="n"/>
      <c r="CB4" s="207" t="n"/>
      <c r="CC4" s="207" t="n"/>
      <c r="CD4" s="207" t="n"/>
      <c r="CE4" s="207" t="n"/>
      <c r="CF4" s="207" t="n"/>
      <c r="CG4" s="207" t="n"/>
      <c r="CH4" s="207" t="n"/>
      <c r="CI4" s="207" t="n"/>
      <c r="CJ4" s="207" t="n"/>
      <c r="CK4" s="207" t="n"/>
      <c r="CL4" s="207" t="n"/>
      <c r="CM4" s="205" t="inlineStr">
        <is>
          <t>CB Gate 3</t>
        </is>
      </c>
      <c r="CN4" s="207" t="n"/>
      <c r="CO4" s="207" t="n"/>
      <c r="CP4" s="207" t="n"/>
      <c r="CQ4" s="207" t="n"/>
      <c r="CR4" s="207" t="n"/>
      <c r="CS4" s="207" t="n"/>
      <c r="CT4" s="207" t="n"/>
      <c r="CU4" s="207" t="n"/>
      <c r="CV4" s="207" t="n"/>
      <c r="CW4" s="207" t="n"/>
      <c r="CX4" s="207" t="n"/>
      <c r="CY4" s="207" t="n"/>
      <c r="CZ4" s="207" t="n"/>
      <c r="DA4" s="207" t="n"/>
      <c r="DB4" s="207" t="n"/>
      <c r="DC4" s="207" t="n"/>
      <c r="DD4" s="207" t="n"/>
      <c r="DE4" s="207" t="n"/>
      <c r="DF4" s="207" t="n"/>
      <c r="DG4" s="207" t="n"/>
      <c r="DH4" s="207" t="n"/>
      <c r="DI4" s="207" t="n"/>
      <c r="DJ4" s="207" t="n"/>
      <c r="DK4" s="207" t="n"/>
      <c r="DL4" s="207" t="n"/>
      <c r="DM4" s="207" t="n"/>
      <c r="DN4" s="207" t="n"/>
      <c r="DO4" s="207" t="n"/>
      <c r="DP4" s="207" t="n"/>
      <c r="DQ4" s="207" t="n"/>
      <c r="DR4" s="207" t="n"/>
      <c r="DS4" s="207" t="n"/>
      <c r="DT4" s="207" t="n"/>
      <c r="DU4" s="207" t="n"/>
      <c r="DV4" s="207" t="n"/>
      <c r="DW4" s="207" t="n"/>
      <c r="DX4" s="207" t="n"/>
      <c r="DY4" s="207" t="n"/>
      <c r="DZ4" s="207" t="n"/>
      <c r="EA4" s="207" t="n"/>
      <c r="EB4" s="207" t="n"/>
      <c r="EC4" s="207" t="n"/>
      <c r="ED4" s="207" t="n"/>
      <c r="EE4" s="207" t="n"/>
      <c r="EF4" s="207" t="n"/>
      <c r="EG4" s="207" t="n"/>
      <c r="EH4" s="207" t="n"/>
      <c r="EI4" s="207" t="n"/>
      <c r="EJ4" s="207" t="n"/>
      <c r="EK4" s="207" t="n"/>
      <c r="EL4" s="207" t="n"/>
      <c r="EM4" s="207" t="n"/>
      <c r="EN4" s="207" t="n"/>
      <c r="EO4" s="207" t="n"/>
      <c r="EP4" s="207" t="n"/>
      <c r="EQ4" s="207" t="n"/>
      <c r="ER4" s="207" t="n"/>
      <c r="ES4" s="207" t="n"/>
      <c r="ET4" s="207" t="n"/>
      <c r="EU4" s="207" t="n"/>
      <c r="EV4" s="207" t="n"/>
      <c r="EW4" s="207" t="n"/>
      <c r="EX4" s="207" t="n"/>
      <c r="EY4" s="207" t="n"/>
      <c r="EZ4" s="204" t="inlineStr">
        <is>
          <t>CB Gate 4</t>
        </is>
      </c>
      <c r="FA4" s="207" t="n"/>
      <c r="FB4" s="207" t="n"/>
      <c r="FC4" s="207" t="n"/>
      <c r="FD4" s="207" t="n"/>
      <c r="FE4" s="207" t="n"/>
      <c r="FF4" s="207" t="n"/>
      <c r="FG4" s="207" t="n"/>
      <c r="FH4" s="207" t="n"/>
      <c r="FI4" s="207" t="n"/>
      <c r="FJ4" s="207" t="n"/>
      <c r="FK4" s="207" t="n"/>
      <c r="FL4" s="207" t="n"/>
      <c r="FM4" s="207" t="n"/>
      <c r="FN4" s="207" t="n"/>
      <c r="FO4" s="207" t="n"/>
      <c r="FP4" s="207" t="n"/>
      <c r="FQ4" s="207" t="n"/>
      <c r="FR4" s="207" t="n"/>
      <c r="FS4" s="106" t="n"/>
      <c r="FT4" s="2" t="n"/>
      <c r="FU4" s="2" t="n"/>
      <c r="FV4" s="2" t="n"/>
      <c r="FW4" s="41" t="n"/>
      <c r="FX4" s="36" t="n"/>
      <c r="FY4" s="36" t="n"/>
      <c r="FZ4" s="36" t="n"/>
      <c r="GA4" s="36" t="n"/>
      <c r="GB4" s="36" t="n"/>
      <c r="GC4" s="36" t="n"/>
      <c r="GD4" s="36" t="n"/>
    </row>
    <row r="5">
      <c r="A5" s="21" t="n"/>
      <c r="B5" s="51" t="n"/>
      <c r="C5" s="17" t="inlineStr">
        <is>
          <t>Completed Task</t>
        </is>
      </c>
      <c r="D5" s="94" t="n"/>
      <c r="E5" s="17" t="n"/>
      <c r="F5" s="20" t="n"/>
      <c r="G5" s="20" t="n"/>
      <c r="H5" s="20" t="inlineStr">
        <is>
          <t>Accolade</t>
        </is>
      </c>
      <c r="I5" s="210" t="inlineStr">
        <is>
          <t>PRE-EXECUTION (Phase 2 &amp; 3)</t>
        </is>
      </c>
      <c r="J5" s="211" t="n"/>
      <c r="K5" s="211" t="n"/>
      <c r="L5" s="211" t="n"/>
      <c r="M5" s="211" t="n"/>
      <c r="N5" s="211" t="n"/>
      <c r="O5" s="211" t="n"/>
      <c r="P5" s="211" t="n"/>
      <c r="Q5" s="211" t="n"/>
      <c r="R5" s="211" t="n"/>
      <c r="S5" s="211" t="n"/>
      <c r="T5" s="211" t="n"/>
      <c r="U5" s="211" t="n"/>
      <c r="V5" s="211" t="n"/>
      <c r="W5" s="211" t="n"/>
      <c r="X5" s="211" t="n"/>
      <c r="Y5" s="211" t="n"/>
      <c r="Z5" s="211" t="n"/>
      <c r="AA5" s="211" t="n"/>
      <c r="AB5" s="211" t="n"/>
      <c r="AC5" s="211" t="n"/>
      <c r="AD5" s="211" t="n"/>
      <c r="AE5" s="211" t="n"/>
      <c r="AF5" s="211" t="n"/>
      <c r="AG5" s="211" t="n"/>
      <c r="AH5" s="211" t="n"/>
      <c r="AI5" s="211" t="n"/>
      <c r="AJ5" s="211" t="n"/>
      <c r="AK5" s="211" t="n"/>
      <c r="AL5" s="211" t="n"/>
      <c r="AM5" s="211" t="n"/>
      <c r="AN5" s="211" t="n"/>
      <c r="AO5" s="211" t="n"/>
      <c r="AP5" s="211" t="n"/>
      <c r="AQ5" s="211" t="n"/>
      <c r="AR5" s="211" t="n"/>
      <c r="AS5" s="211" t="n"/>
      <c r="AT5" s="211" t="n"/>
      <c r="AU5" s="211" t="n"/>
      <c r="AV5" s="211" t="n"/>
      <c r="AW5" s="211" t="n"/>
      <c r="AX5" s="211" t="n"/>
      <c r="AY5" s="211" t="n"/>
      <c r="AZ5" s="211" t="n"/>
      <c r="BA5" s="211" t="n"/>
      <c r="BB5" s="211" t="n"/>
      <c r="BC5" s="211" t="n"/>
      <c r="BD5" s="211" t="n"/>
      <c r="BE5" s="211" t="n"/>
      <c r="BF5" s="211" t="n"/>
      <c r="BG5" s="211" t="n"/>
      <c r="BH5" s="211" t="n"/>
      <c r="BI5" s="212" t="inlineStr">
        <is>
          <t>EXECUTION (Phase 4)</t>
        </is>
      </c>
      <c r="BJ5" s="211" t="n"/>
      <c r="BK5" s="211" t="n"/>
      <c r="BL5" s="211" t="n"/>
      <c r="BM5" s="211" t="n"/>
      <c r="BN5" s="211" t="n"/>
      <c r="BO5" s="211" t="n"/>
      <c r="BP5" s="211" t="n"/>
      <c r="BQ5" s="211" t="n"/>
      <c r="BR5" s="211" t="n"/>
      <c r="BS5" s="211" t="n"/>
      <c r="BT5" s="211" t="n"/>
      <c r="BU5" s="211" t="n"/>
      <c r="BV5" s="211" t="n"/>
      <c r="BW5" s="211" t="n"/>
      <c r="BX5" s="211" t="n"/>
      <c r="BY5" s="211" t="n"/>
      <c r="BZ5" s="211" t="n"/>
      <c r="CA5" s="211" t="n"/>
      <c r="CB5" s="211" t="n"/>
      <c r="CC5" s="211" t="n"/>
      <c r="CD5" s="211" t="n"/>
      <c r="CE5" s="211" t="n"/>
      <c r="CF5" s="211" t="n"/>
      <c r="CG5" s="211" t="n"/>
      <c r="CH5" s="211" t="n"/>
      <c r="CI5" s="211" t="n"/>
      <c r="CJ5" s="211" t="n"/>
      <c r="CK5" s="211" t="n"/>
      <c r="CL5" s="211" t="n"/>
      <c r="CM5" s="211" t="n"/>
      <c r="CN5" s="211" t="n"/>
      <c r="CO5" s="211" t="n"/>
      <c r="CP5" s="211" t="n"/>
      <c r="CQ5" s="211" t="n"/>
      <c r="CR5" s="211" t="n"/>
      <c r="CS5" s="211" t="n"/>
      <c r="CT5" s="211" t="n"/>
      <c r="CU5" s="211" t="n"/>
      <c r="CV5" s="211" t="n"/>
      <c r="CW5" s="211" t="n"/>
      <c r="CX5" s="211" t="n"/>
      <c r="CY5" s="211" t="n"/>
      <c r="CZ5" s="211" t="n"/>
      <c r="DA5" s="211" t="n"/>
      <c r="DB5" s="211" t="n"/>
      <c r="DC5" s="211" t="n"/>
      <c r="DD5" s="211" t="n"/>
      <c r="DE5" s="211" t="n"/>
      <c r="DF5" s="211" t="n"/>
      <c r="DG5" s="211" t="n"/>
      <c r="DH5" s="211" t="n"/>
      <c r="DI5" s="211" t="n"/>
      <c r="DJ5" s="211" t="n"/>
      <c r="DK5" s="211" t="n"/>
      <c r="DL5" s="211" t="n"/>
      <c r="DM5" s="211" t="n"/>
      <c r="DN5" s="211" t="n"/>
      <c r="DO5" s="211" t="n"/>
      <c r="DP5" s="211" t="n"/>
      <c r="DQ5" s="211" t="n"/>
      <c r="DR5" s="211" t="n"/>
      <c r="DS5" s="211" t="n"/>
      <c r="DT5" s="211" t="n"/>
      <c r="DU5" s="211" t="n"/>
      <c r="DV5" s="211" t="n"/>
      <c r="DW5" s="211" t="n"/>
      <c r="DX5" s="211" t="n"/>
      <c r="DY5" s="211" t="n"/>
      <c r="DZ5" s="211" t="n"/>
      <c r="EA5" s="211" t="n"/>
      <c r="EB5" s="211" t="n"/>
      <c r="EC5" s="211" t="n"/>
      <c r="ED5" s="211" t="n"/>
      <c r="EE5" s="211" t="n"/>
      <c r="EF5" s="211" t="n"/>
      <c r="EG5" s="211" t="n"/>
      <c r="EH5" s="211" t="n"/>
      <c r="EI5" s="211" t="n"/>
      <c r="EJ5" s="211" t="n"/>
      <c r="EK5" s="211" t="n"/>
      <c r="EL5" s="211" t="n"/>
      <c r="EM5" s="211" t="n"/>
      <c r="EN5" s="211" t="n"/>
      <c r="EO5" s="211" t="n"/>
      <c r="EP5" s="211" t="n"/>
      <c r="EQ5" s="211" t="n"/>
      <c r="ER5" s="211" t="n"/>
      <c r="ES5" s="211" t="n"/>
      <c r="ET5" s="211" t="n"/>
      <c r="EU5" s="211" t="n"/>
      <c r="EV5" s="211" t="n"/>
      <c r="EW5" s="211" t="n"/>
      <c r="EX5" s="211" t="n"/>
      <c r="EY5" s="211" t="n"/>
      <c r="EZ5" s="211" t="n"/>
      <c r="FA5" s="211" t="n"/>
      <c r="FB5" s="211" t="n"/>
      <c r="FC5" s="211" t="n"/>
      <c r="FD5" s="211" t="n"/>
      <c r="FE5" s="211" t="n"/>
      <c r="FF5" s="211" t="n"/>
      <c r="FG5" s="211" t="n"/>
      <c r="FH5" s="211" t="n"/>
      <c r="FI5" s="211" t="n"/>
      <c r="FJ5" s="211" t="n"/>
      <c r="FK5" s="213" t="n"/>
      <c r="FL5" s="214" t="inlineStr">
        <is>
          <t>Productivity Report Out Items</t>
        </is>
      </c>
      <c r="FM5" s="211" t="n"/>
      <c r="FN5" s="211" t="n"/>
      <c r="FO5" s="211" t="n"/>
      <c r="FP5" s="211" t="n"/>
      <c r="FQ5" s="211" t="n"/>
      <c r="FR5" s="213" t="n"/>
      <c r="FS5" s="107" t="n"/>
      <c r="FT5" s="161" t="inlineStr">
        <is>
          <t>Project Length Data Points (Work Days)</t>
        </is>
      </c>
      <c r="FU5" s="211" t="n"/>
      <c r="FV5" s="211" t="n"/>
      <c r="FW5" s="213" t="n"/>
      <c r="FX5" s="36" t="n"/>
      <c r="FY5" s="36" t="n"/>
      <c r="FZ5" s="36" t="n"/>
      <c r="GA5" s="36" t="n"/>
      <c r="GB5" s="36" t="n"/>
      <c r="GC5" s="36" t="n"/>
      <c r="GD5" s="36" t="n"/>
    </row>
    <row r="6">
      <c r="A6" s="22" t="n"/>
      <c r="B6" s="92" t="n"/>
      <c r="C6" s="17" t="inlineStr">
        <is>
          <t>Number of Cycles of Learning (manual input)</t>
        </is>
      </c>
      <c r="D6" s="94" t="n"/>
      <c r="E6" s="17" t="n"/>
      <c r="F6" s="20" t="n"/>
      <c r="G6" s="20" t="n"/>
      <c r="H6" s="20" t="n"/>
      <c r="I6" s="215" t="n"/>
      <c r="J6" s="207" t="n"/>
      <c r="K6" s="207" t="n"/>
      <c r="L6" s="207" t="n"/>
      <c r="M6" s="207" t="n"/>
      <c r="N6" s="207" t="n"/>
      <c r="O6" s="207" t="n"/>
      <c r="P6" s="207" t="n"/>
      <c r="Q6" s="207" t="n"/>
      <c r="R6" s="207" t="n"/>
      <c r="S6" s="207" t="n"/>
      <c r="T6" s="207" t="n"/>
      <c r="U6" s="207" t="n"/>
      <c r="V6" s="207" t="n"/>
      <c r="W6" s="207" t="n"/>
      <c r="X6" s="207" t="n"/>
      <c r="Y6" s="207" t="n"/>
      <c r="Z6" s="207" t="n"/>
      <c r="AA6" s="207" t="n"/>
      <c r="AB6" s="207" t="n"/>
      <c r="AC6" s="207" t="n"/>
      <c r="AD6" s="207" t="n"/>
      <c r="AE6" s="207" t="n"/>
      <c r="AF6" s="207" t="n"/>
      <c r="AG6" s="207" t="n"/>
      <c r="AH6" s="207" t="n"/>
      <c r="AI6" s="207" t="n"/>
      <c r="AJ6" s="207" t="n"/>
      <c r="AK6" s="207" t="n"/>
      <c r="AL6" s="207" t="n"/>
      <c r="AM6" s="207" t="n"/>
      <c r="AN6" s="207" t="n"/>
      <c r="AO6" s="207" t="n"/>
      <c r="AP6" s="207" t="n"/>
      <c r="AQ6" s="207" t="n"/>
      <c r="AR6" s="207" t="n"/>
      <c r="AS6" s="207" t="n"/>
      <c r="AT6" s="207" t="n"/>
      <c r="AU6" s="207" t="n"/>
      <c r="AV6" s="207" t="n"/>
      <c r="AW6" s="207" t="n"/>
      <c r="AX6" s="207" t="n"/>
      <c r="AY6" s="207" t="n"/>
      <c r="AZ6" s="207" t="n"/>
      <c r="BA6" s="207" t="n"/>
      <c r="BB6" s="207" t="n"/>
      <c r="BC6" s="207" t="n"/>
      <c r="BD6" s="207" t="n"/>
      <c r="BE6" s="207" t="n"/>
      <c r="BF6" s="207" t="n"/>
      <c r="BG6" s="207" t="n"/>
      <c r="BH6" s="207" t="n"/>
      <c r="BI6" s="215" t="n"/>
      <c r="BJ6" s="207" t="n"/>
      <c r="BK6" s="207" t="n"/>
      <c r="BL6" s="207" t="n"/>
      <c r="BM6" s="207" t="n"/>
      <c r="BN6" s="207" t="n"/>
      <c r="BO6" s="207" t="n"/>
      <c r="BP6" s="207" t="n"/>
      <c r="BQ6" s="207" t="n"/>
      <c r="BR6" s="207" t="n"/>
      <c r="BS6" s="207" t="n"/>
      <c r="BT6" s="207" t="n"/>
      <c r="BU6" s="207" t="n"/>
      <c r="BV6" s="207" t="n"/>
      <c r="BW6" s="207" t="n"/>
      <c r="BX6" s="207" t="n"/>
      <c r="BY6" s="207" t="n"/>
      <c r="BZ6" s="207" t="n"/>
      <c r="CA6" s="207" t="n"/>
      <c r="CB6" s="207" t="n"/>
      <c r="CC6" s="207" t="n"/>
      <c r="CD6" s="207" t="n"/>
      <c r="CE6" s="207" t="n"/>
      <c r="CF6" s="207" t="n"/>
      <c r="CG6" s="207" t="n"/>
      <c r="CH6" s="207" t="n"/>
      <c r="CI6" s="207" t="n"/>
      <c r="CJ6" s="207" t="n"/>
      <c r="CK6" s="207" t="n"/>
      <c r="CL6" s="207" t="n"/>
      <c r="CM6" s="207" t="n"/>
      <c r="CN6" s="207" t="n"/>
      <c r="CO6" s="207" t="n"/>
      <c r="CP6" s="207" t="n"/>
      <c r="CQ6" s="207" t="n"/>
      <c r="CR6" s="207" t="n"/>
      <c r="CS6" s="207" t="n"/>
      <c r="CT6" s="207" t="n"/>
      <c r="CU6" s="207" t="n"/>
      <c r="CV6" s="207" t="n"/>
      <c r="CW6" s="207" t="n"/>
      <c r="CX6" s="207" t="n"/>
      <c r="CY6" s="207" t="n"/>
      <c r="CZ6" s="207" t="n"/>
      <c r="DA6" s="207" t="n"/>
      <c r="DB6" s="207" t="n"/>
      <c r="DC6" s="207" t="n"/>
      <c r="DD6" s="207" t="n"/>
      <c r="DE6" s="207" t="n"/>
      <c r="DF6" s="207" t="n"/>
      <c r="DG6" s="207" t="n"/>
      <c r="DH6" s="207" t="n"/>
      <c r="DI6" s="207" t="n"/>
      <c r="DJ6" s="207" t="n"/>
      <c r="DK6" s="207" t="n"/>
      <c r="DL6" s="207" t="n"/>
      <c r="DM6" s="207" t="n"/>
      <c r="DN6" s="207" t="n"/>
      <c r="DO6" s="207" t="n"/>
      <c r="DP6" s="207" t="n"/>
      <c r="DQ6" s="207" t="n"/>
      <c r="DR6" s="207" t="n"/>
      <c r="DS6" s="207" t="n"/>
      <c r="DT6" s="207" t="n"/>
      <c r="DU6" s="207" t="n"/>
      <c r="DV6" s="207" t="n"/>
      <c r="DW6" s="207" t="n"/>
      <c r="DX6" s="207" t="n"/>
      <c r="DY6" s="207" t="n"/>
      <c r="DZ6" s="207" t="n"/>
      <c r="EA6" s="207" t="n"/>
      <c r="EB6" s="207" t="n"/>
      <c r="EC6" s="207" t="n"/>
      <c r="ED6" s="207" t="n"/>
      <c r="EE6" s="207" t="n"/>
      <c r="EF6" s="207" t="n"/>
      <c r="EG6" s="207" t="n"/>
      <c r="EH6" s="207" t="n"/>
      <c r="EI6" s="207" t="n"/>
      <c r="EJ6" s="207" t="n"/>
      <c r="EK6" s="207" t="n"/>
      <c r="EL6" s="207" t="n"/>
      <c r="EM6" s="207" t="n"/>
      <c r="EN6" s="207" t="n"/>
      <c r="EO6" s="207" t="n"/>
      <c r="EP6" s="207" t="n"/>
      <c r="EQ6" s="207" t="n"/>
      <c r="ER6" s="207" t="n"/>
      <c r="ES6" s="207" t="n"/>
      <c r="ET6" s="207" t="n"/>
      <c r="EU6" s="207" t="n"/>
      <c r="EV6" s="207" t="n"/>
      <c r="EW6" s="207" t="n"/>
      <c r="EX6" s="207" t="n"/>
      <c r="EY6" s="207" t="n"/>
      <c r="EZ6" s="207" t="n"/>
      <c r="FA6" s="207" t="n"/>
      <c r="FB6" s="207" t="n"/>
      <c r="FC6" s="207" t="n"/>
      <c r="FD6" s="207" t="n"/>
      <c r="FE6" s="207" t="n"/>
      <c r="FF6" s="207" t="n"/>
      <c r="FG6" s="207" t="n"/>
      <c r="FH6" s="207" t="n"/>
      <c r="FI6" s="207" t="n"/>
      <c r="FJ6" s="207" t="n"/>
      <c r="FK6" s="216" t="n"/>
      <c r="FL6" s="215" t="n"/>
      <c r="FM6" s="207" t="n"/>
      <c r="FN6" s="207" t="n"/>
      <c r="FO6" s="207" t="n"/>
      <c r="FP6" s="207" t="n"/>
      <c r="FQ6" s="207" t="n"/>
      <c r="FR6" s="216" t="n"/>
      <c r="FS6" s="108" t="n"/>
      <c r="FT6" s="217" t="n"/>
      <c r="FW6" s="218" t="n"/>
      <c r="FX6" s="36" t="n"/>
      <c r="FY6" s="36" t="n"/>
      <c r="FZ6" s="36" t="n"/>
      <c r="GA6" s="36" t="n"/>
      <c r="GB6" s="36" t="n"/>
      <c r="GC6" s="36" t="n"/>
      <c r="GD6" s="36" t="n"/>
    </row>
    <row r="7" ht="38.25" customFormat="1" customHeight="1" s="23">
      <c r="A7" s="179" t="inlineStr">
        <is>
          <t>Simplified IMS Required</t>
        </is>
      </c>
      <c r="H7" s="179" t="n"/>
      <c r="I7" s="37" t="inlineStr">
        <is>
          <t> Project Start</t>
        </is>
      </c>
      <c r="J7" s="156" t="inlineStr">
        <is>
          <t>Customer Rqmnts Analysis 
(PSC, etc)</t>
        </is>
      </c>
      <c r="K7" s="208" t="n"/>
      <c r="L7" s="209" t="n"/>
      <c r="M7" s="180" t="inlineStr">
        <is>
          <t>EPA/ECE Complete</t>
        </is>
      </c>
      <c r="N7" s="208" t="n"/>
      <c r="O7" s="209" t="n"/>
      <c r="P7" s="180" t="inlineStr">
        <is>
          <t>TDR/ECE Complete</t>
        </is>
      </c>
      <c r="Q7" s="208" t="n"/>
      <c r="R7" s="209" t="n"/>
      <c r="S7" s="156" t="inlineStr">
        <is>
          <t>BTS SOW Developed &amp; Approved</t>
        </is>
      </c>
      <c r="T7" s="208" t="n"/>
      <c r="U7" s="209" t="n"/>
      <c r="V7" s="156" t="inlineStr">
        <is>
          <t>RM Coverage Confirmed &amp; SubCon Complete</t>
        </is>
      </c>
      <c r="W7" s="208" t="n"/>
      <c r="X7" s="209" t="n"/>
      <c r="Y7" s="156" t="inlineStr">
        <is>
          <t>Revised/ Release
PSC/ Drawings</t>
        </is>
      </c>
      <c r="Z7" s="208" t="n"/>
      <c r="AA7" s="209" t="n"/>
      <c r="AB7" s="156" t="inlineStr">
        <is>
          <t>New Supplier Set Up</t>
        </is>
      </c>
      <c r="AC7" s="208" t="n"/>
      <c r="AD7" s="209" t="n"/>
      <c r="AE7" s="156" t="inlineStr">
        <is>
          <t>Pre RFQ DATT
Approved</t>
        </is>
      </c>
      <c r="AF7" s="208" t="n"/>
      <c r="AG7" s="209" t="n"/>
      <c r="AH7" s="154" t="inlineStr">
        <is>
          <t>Quote Received</t>
        </is>
      </c>
      <c r="AI7" s="208" t="n"/>
      <c r="AJ7" s="209" t="n"/>
      <c r="AK7" s="156" t="inlineStr">
        <is>
          <t xml:space="preserve">Down Select Suppliers &amp; PreAward DATT Approval </t>
        </is>
      </c>
      <c r="AL7" s="208" t="n"/>
      <c r="AM7" s="209" t="n"/>
      <c r="AN7" s="156" t="inlineStr">
        <is>
          <t>eAuction</t>
        </is>
      </c>
      <c r="AO7" s="208" t="n"/>
      <c r="AP7" s="209" t="n"/>
      <c r="AQ7" s="154" t="inlineStr">
        <is>
          <t>Capability &amp; Capacity Assessment Complete</t>
        </is>
      </c>
      <c r="AR7" s="208" t="n"/>
      <c r="AS7" s="209" t="n"/>
      <c r="AT7" s="156" t="inlineStr">
        <is>
          <t>ECE Update Complete</t>
        </is>
      </c>
      <c r="AU7" s="208" t="n"/>
      <c r="AV7" s="209" t="n"/>
      <c r="AW7" s="156" t="inlineStr">
        <is>
          <t>Award Eval Complete</t>
        </is>
      </c>
      <c r="AX7" s="208" t="n"/>
      <c r="AY7" s="209" t="n"/>
      <c r="AZ7" s="197" t="inlineStr">
        <is>
          <t>Capital Approved</t>
        </is>
      </c>
      <c r="BA7" s="208" t="n"/>
      <c r="BB7" s="209" t="n"/>
      <c r="BC7" s="154" t="inlineStr">
        <is>
          <t>TRB Approval Date</t>
        </is>
      </c>
      <c r="BD7" s="208" t="n"/>
      <c r="BE7" s="209" t="n"/>
      <c r="BF7" s="156" t="inlineStr">
        <is>
          <t>Go to Supplier Signed Award</t>
        </is>
      </c>
      <c r="BG7" s="208" t="n"/>
      <c r="BH7" s="209" t="n"/>
      <c r="BI7" s="156" t="inlineStr">
        <is>
          <t>Project Kickoff</t>
        </is>
      </c>
      <c r="BJ7" s="208" t="n"/>
      <c r="BK7" s="209" t="n"/>
      <c r="BL7" s="156" t="inlineStr">
        <is>
          <t>DREA  Complete</t>
        </is>
      </c>
      <c r="BM7" s="208" t="n"/>
      <c r="BN7" s="209" t="n"/>
      <c r="BO7" s="156" t="inlineStr">
        <is>
          <t>L1DR Complete</t>
        </is>
      </c>
      <c r="BP7" s="208" t="n"/>
      <c r="BQ7" s="209" t="n"/>
      <c r="BR7" s="156" t="inlineStr">
        <is>
          <t>ConDR Complete</t>
        </is>
      </c>
      <c r="BS7" s="208" t="n"/>
      <c r="BT7" s="209" t="n"/>
      <c r="BU7" s="156" t="inlineStr">
        <is>
          <t>PDR Complete</t>
        </is>
      </c>
      <c r="BV7" s="208" t="n"/>
      <c r="BW7" s="209" t="n"/>
      <c r="BX7" s="156" t="inlineStr">
        <is>
          <t>CDR Complete</t>
        </is>
      </c>
      <c r="BY7" s="208" t="n"/>
      <c r="BZ7" s="209" t="n"/>
      <c r="CA7" s="156" t="inlineStr">
        <is>
          <t>Internal HON Review (PTCD) Complete</t>
        </is>
      </c>
      <c r="CB7" s="208" t="n"/>
      <c r="CC7" s="209" t="n"/>
      <c r="CD7" s="156" t="inlineStr">
        <is>
          <t>HON Approval of Supplier Drawings</t>
        </is>
      </c>
      <c r="CE7" s="208" t="n"/>
      <c r="CF7" s="209" t="n"/>
      <c r="CG7" s="156" t="inlineStr">
        <is>
          <t>Approval of Qualification Test Plan (QTP)</t>
        </is>
      </c>
      <c r="CH7" s="208" t="n"/>
      <c r="CI7" s="209" t="n"/>
      <c r="CJ7" s="156" t="inlineStr">
        <is>
          <t>Add Supplier to SCS/ASL/AVL</t>
        </is>
      </c>
      <c r="CK7" s="208" t="n"/>
      <c r="CL7" s="209" t="n"/>
      <c r="CM7" s="152" t="inlineStr">
        <is>
          <t>FAIR Order Placed</t>
        </is>
      </c>
      <c r="CN7" s="208" t="n"/>
      <c r="CO7" s="209" t="n"/>
      <c r="CP7" s="152" t="inlineStr">
        <is>
          <t>FAIR Order Acknowledged</t>
        </is>
      </c>
      <c r="CQ7" s="208" t="n"/>
      <c r="CR7" s="208" t="n"/>
      <c r="CS7" s="209" t="n"/>
      <c r="CT7" s="154" t="inlineStr">
        <is>
          <t>Material Received at Supplier</t>
        </is>
      </c>
      <c r="CU7" s="208" t="n"/>
      <c r="CV7" s="209" t="n"/>
      <c r="CW7" s="148" t="inlineStr">
        <is>
          <t>Capital Tooling PO Placed</t>
        </is>
      </c>
      <c r="CX7" s="208" t="n"/>
      <c r="CY7" s="209" t="n"/>
      <c r="CZ7" s="156" t="inlineStr">
        <is>
          <t>Tooling Completed</t>
        </is>
      </c>
      <c r="DA7" s="208" t="n"/>
      <c r="DB7" s="209" t="n"/>
      <c r="DC7" s="157" t="inlineStr">
        <is>
          <t>Supplier Trials &amp; Substantiation
(Pre-Conditional FAIR)</t>
        </is>
      </c>
      <c r="DF7" s="206" t="inlineStr">
        <is>
          <t>Supplier FAIR Lot Build Complete</t>
        </is>
      </c>
      <c r="DI7" s="219" t="inlineStr">
        <is>
          <t>Dimensional Pre-Qualification</t>
        </is>
      </c>
      <c r="DJ7" s="208" t="n"/>
      <c r="DK7" s="208" t="n"/>
      <c r="DL7" s="209" t="n"/>
      <c r="DM7" s="148" t="inlineStr">
        <is>
          <t>Conditional FAIR Complete</t>
        </is>
      </c>
      <c r="DN7" s="208" t="n"/>
      <c r="DO7" s="209" t="n"/>
      <c r="DP7" s="156" t="inlineStr">
        <is>
          <t>TRR</t>
        </is>
      </c>
      <c r="DQ7" s="208" t="n"/>
      <c r="DR7" s="209" t="n"/>
      <c r="DS7" s="220" t="inlineStr">
        <is>
          <t>Supplier Qualification (post-Conditional FAIR)</t>
        </is>
      </c>
      <c r="DT7" s="208" t="n"/>
      <c r="DU7" s="208" t="n"/>
      <c r="DV7" s="209" t="n"/>
      <c r="DW7" s="220" t="inlineStr">
        <is>
          <t>Dimensional Qualification</t>
        </is>
      </c>
      <c r="DX7" s="208" t="n"/>
      <c r="DY7" s="208" t="n"/>
      <c r="DZ7" s="209" t="n"/>
      <c r="EA7" s="220" t="inlineStr">
        <is>
          <t xml:space="preserve">HON Qualification </t>
        </is>
      </c>
      <c r="EB7" s="208" t="n"/>
      <c r="EC7" s="208" t="n"/>
      <c r="ED7" s="209" t="n"/>
      <c r="EE7" s="180" t="inlineStr">
        <is>
          <t>Supplier &amp; HON STR/QTR Approved by HON Eng</t>
        </is>
      </c>
      <c r="EF7" s="208" t="n"/>
      <c r="EG7" s="209" t="n"/>
      <c r="EH7" s="180" t="inlineStr">
        <is>
          <t xml:space="preserve">Supplier Signed Contract </t>
        </is>
      </c>
      <c r="EI7" s="208" t="n"/>
      <c r="EJ7" s="209" t="n"/>
      <c r="EK7" s="148" t="inlineStr">
        <is>
          <t>Production Readiness Review (PRR)</t>
        </is>
      </c>
      <c r="EL7" s="208" t="n"/>
      <c r="EM7" s="209" t="n"/>
      <c r="EN7" s="156" t="inlineStr">
        <is>
          <t>External Approvals: FAA Approval (TSO/ETSO) Complete</t>
        </is>
      </c>
      <c r="EO7" s="208" t="n"/>
      <c r="EP7" s="209" t="n"/>
      <c r="EQ7" s="156" t="inlineStr">
        <is>
          <t>External Approvals: Customer Approval Complete</t>
        </is>
      </c>
      <c r="ER7" s="208" t="n"/>
      <c r="ES7" s="209" t="n"/>
      <c r="ET7" s="156" t="inlineStr">
        <is>
          <t>External Approvals: DCMA/ AMCON Approval</t>
        </is>
      </c>
      <c r="EU7" s="208" t="n"/>
      <c r="EV7" s="209" t="n"/>
      <c r="EW7" s="156" t="inlineStr">
        <is>
          <t>SS1 Elevation</t>
        </is>
      </c>
      <c r="EX7" s="208" t="n"/>
      <c r="EY7" s="209" t="n"/>
      <c r="EZ7" s="168" t="inlineStr">
        <is>
          <t>Final FAIR</t>
        </is>
      </c>
      <c r="FC7" s="156" t="inlineStr">
        <is>
          <t>Update Next Higher Assembly Drawings</t>
        </is>
      </c>
      <c r="FD7" s="208" t="n"/>
      <c r="FE7" s="209" t="n"/>
      <c r="FF7" s="175" t="inlineStr">
        <is>
          <t>Update Service Bulletin, Aftermarket Documents</t>
        </is>
      </c>
      <c r="FG7" s="208" t="n"/>
      <c r="FH7" s="208" t="n"/>
      <c r="FI7" s="177" t="inlineStr">
        <is>
          <t>IMS Part Complete Date (PCD)</t>
        </is>
      </c>
      <c r="FJ7" s="208" t="n"/>
      <c r="FK7" s="208" t="n"/>
      <c r="FL7" s="154" t="inlineStr">
        <is>
          <t>Production Cutover Date</t>
        </is>
      </c>
      <c r="FM7" s="208" t="n"/>
      <c r="FN7" s="209" t="n"/>
      <c r="FO7" s="178" t="inlineStr">
        <is>
          <t>Target Complete Date (TCD)</t>
        </is>
      </c>
      <c r="FP7" s="208" t="n"/>
      <c r="FQ7" s="209" t="n"/>
      <c r="FR7" s="178" t="inlineStr">
        <is>
          <t>TCD Status</t>
        </is>
      </c>
      <c r="FS7" s="178" t="inlineStr">
        <is>
          <t>Baseline Status</t>
        </is>
      </c>
      <c r="FT7" s="215" t="n"/>
      <c r="FU7" s="207" t="n"/>
      <c r="FV7" s="207" t="n"/>
      <c r="FW7" s="216" t="n"/>
    </row>
    <row r="8" ht="115.95" customFormat="1" customHeight="1" s="3">
      <c r="A8" s="33" t="inlineStr">
        <is>
          <t>Project Name</t>
        </is>
      </c>
      <c r="B8" s="33" t="inlineStr">
        <is>
          <t>AID</t>
        </is>
      </c>
      <c r="C8" s="33" t="inlineStr">
        <is>
          <t>Part Number</t>
        </is>
      </c>
      <c r="D8" s="35" t="inlineStr">
        <is>
          <t>Run Out Date</t>
        </is>
      </c>
      <c r="E8" s="33" t="inlineStr">
        <is>
          <t>Critical Part?</t>
        </is>
      </c>
      <c r="F8" s="34" t="inlineStr">
        <is>
          <t>Simplified IMS</t>
        </is>
      </c>
      <c r="G8" s="34" t="inlineStr">
        <is>
          <t>Notes</t>
        </is>
      </c>
      <c r="H8" s="53" t="inlineStr">
        <is>
          <t>Baseline Type</t>
        </is>
      </c>
      <c r="I8" s="33" t="inlineStr">
        <is>
          <t>Project Start IRB Approval Date</t>
        </is>
      </c>
      <c r="J8" s="34" t="inlineStr">
        <is>
          <t>Customer Rqmnts Analysis (PSC, etc) Baseline ECD</t>
        </is>
      </c>
      <c r="K8" s="34" t="inlineStr">
        <is>
          <t>Customer Rqmnts Analysis (PSC, etc) Current ECD (CECD)</t>
        </is>
      </c>
      <c r="L8" s="34" t="inlineStr">
        <is>
          <t>Customer Rqmnts Analysis 
(PSC, etc) Actual Completion Date (ACD)</t>
        </is>
      </c>
      <c r="M8" s="33" t="inlineStr">
        <is>
          <t>EPA/ECE Complete Baseline ECD</t>
        </is>
      </c>
      <c r="N8" s="33" t="inlineStr">
        <is>
          <t>EPA/ECE Complete Current ECD (CECD)</t>
        </is>
      </c>
      <c r="O8" s="33" t="inlineStr">
        <is>
          <t>EPA/ECE Complete Actual Completion Date (ACD)</t>
        </is>
      </c>
      <c r="P8" s="33" t="inlineStr">
        <is>
          <t>TDR/ECE Complete Baseline ECD</t>
        </is>
      </c>
      <c r="Q8" s="33" t="inlineStr">
        <is>
          <t>TDR/ECE Complete Current ECD (CECD)</t>
        </is>
      </c>
      <c r="R8" s="33" t="inlineStr">
        <is>
          <t>TDR/ECE Complete Actual Completion Date (ACD)</t>
        </is>
      </c>
      <c r="S8" s="34" t="inlineStr">
        <is>
          <t>BTS SOW Developed &amp; Approved Baseline ECD</t>
        </is>
      </c>
      <c r="T8" s="34" t="inlineStr">
        <is>
          <t>BTS SOW Developed &amp; Approved Current ECD (CECD)</t>
        </is>
      </c>
      <c r="U8" s="34" t="inlineStr">
        <is>
          <t>BTS SOW Developed &amp; Approved Actual Completion Date (ACD)</t>
        </is>
      </c>
      <c r="V8" s="34" t="inlineStr">
        <is>
          <t>RM Coverage Confirmed &amp; SubCon Complete Baseline ECD</t>
        </is>
      </c>
      <c r="W8" s="34" t="inlineStr">
        <is>
          <t>RM Coverage Confirmed &amp; SubCon Complete Current ECD (CECD)</t>
        </is>
      </c>
      <c r="X8" s="34" t="inlineStr">
        <is>
          <t>RM Coverage Confirmed &amp; SubCon Complete Actual Completion Date (ACD)</t>
        </is>
      </c>
      <c r="Y8" s="34" t="inlineStr">
        <is>
          <t>Revised/ Release PSC/ Drawings Baseline ECD</t>
        </is>
      </c>
      <c r="Z8" s="34" t="inlineStr">
        <is>
          <t>Revised/ Release PSC/ Drawings Current ECD (CECD)</t>
        </is>
      </c>
      <c r="AA8" s="34" t="inlineStr">
        <is>
          <t>Revised/ Release
PSC/ Drawings Actual Completion Date (ACD)</t>
        </is>
      </c>
      <c r="AB8" s="34" t="inlineStr">
        <is>
          <t>New Supplier Set Up Baseline ECD</t>
        </is>
      </c>
      <c r="AC8" s="34" t="inlineStr">
        <is>
          <t>New Supplier Set Up Current ECD (CECD)</t>
        </is>
      </c>
      <c r="AD8" s="34" t="inlineStr">
        <is>
          <t>New Supplier Set Up Actual Completion Date (ACD)</t>
        </is>
      </c>
      <c r="AE8" s="34" t="inlineStr">
        <is>
          <t>Pre RFQ DATT Approved Baseline ECD</t>
        </is>
      </c>
      <c r="AF8" s="34" t="inlineStr">
        <is>
          <t>Pre RFQ DATT Approved Current ECD (CECD)</t>
        </is>
      </c>
      <c r="AG8" s="34" t="inlineStr">
        <is>
          <t>Pre RFQ DATT
Approved Actual Completion Date (ACD)</t>
        </is>
      </c>
      <c r="AH8" s="33" t="inlineStr">
        <is>
          <t>Quote Received Baseline ECD</t>
        </is>
      </c>
      <c r="AI8" s="33" t="inlineStr">
        <is>
          <t>Quote Received Current ECD (CECD)</t>
        </is>
      </c>
      <c r="AJ8" s="33" t="inlineStr">
        <is>
          <t>Quote Received Actual Completion Date (ACD)</t>
        </is>
      </c>
      <c r="AK8" s="34" t="inlineStr">
        <is>
          <t>Down Select Suppliers &amp; PreAward DATT Approval Baseline ECD</t>
        </is>
      </c>
      <c r="AL8" s="34" t="inlineStr">
        <is>
          <t>Down Select Suppliers &amp; PreAward DATT Approval Current ECD (CECD)</t>
        </is>
      </c>
      <c r="AM8" s="34" t="inlineStr">
        <is>
          <t>Down Select Suppliers &amp; PreAward DATT Approval Actual Completion Date (ACD)</t>
        </is>
      </c>
      <c r="AN8" s="34" t="inlineStr">
        <is>
          <t>eAuction Baseline ECD</t>
        </is>
      </c>
      <c r="AO8" s="34" t="inlineStr">
        <is>
          <t>eAuction Current ECD (CECD)</t>
        </is>
      </c>
      <c r="AP8" s="34" t="inlineStr">
        <is>
          <t>eAuction Actual Completion Date (ACD)</t>
        </is>
      </c>
      <c r="AQ8" s="33" t="inlineStr">
        <is>
          <t>Capability &amp; Capacity Assessment Complete Baseline ECD</t>
        </is>
      </c>
      <c r="AR8" s="33" t="inlineStr">
        <is>
          <t>Capability &amp; Capacity Assessment Complete Current ECD (CECD)</t>
        </is>
      </c>
      <c r="AS8" s="33" t="inlineStr">
        <is>
          <t>Capability &amp; Capacity Assessment Complete Actual Completion Date (ACD)</t>
        </is>
      </c>
      <c r="AT8" s="34" t="inlineStr">
        <is>
          <t>ECE Update Complete Baseline ECD</t>
        </is>
      </c>
      <c r="AU8" s="34" t="inlineStr">
        <is>
          <t>ECE Update Complete Current ECD (CECD)</t>
        </is>
      </c>
      <c r="AV8" s="34" t="inlineStr">
        <is>
          <t>ECE Update Complete Actual Completion Date (ACD)</t>
        </is>
      </c>
      <c r="AW8" s="34" t="inlineStr">
        <is>
          <t>Award Eval Complete Baseline ECD</t>
        </is>
      </c>
      <c r="AX8" s="34" t="inlineStr">
        <is>
          <t>Award Eval Complete Current ECD (CECD)</t>
        </is>
      </c>
      <c r="AY8" s="34" t="inlineStr">
        <is>
          <t>Award Eval Complete Actual Completion Date (ACD)</t>
        </is>
      </c>
      <c r="AZ8" s="34" t="inlineStr">
        <is>
          <t>Capital Approved Baseline ECD</t>
        </is>
      </c>
      <c r="BA8" s="34" t="inlineStr">
        <is>
          <t>Capital Approved Current ECD (CECD)</t>
        </is>
      </c>
      <c r="BB8" s="34" t="inlineStr">
        <is>
          <t>Capital Approved Actual Completion Date (ACD)</t>
        </is>
      </c>
      <c r="BC8" s="33" t="inlineStr">
        <is>
          <t>TRB Approval Date Baseline ECD</t>
        </is>
      </c>
      <c r="BD8" s="33" t="inlineStr">
        <is>
          <t>TRB Approval Date Current ECD (CECD)</t>
        </is>
      </c>
      <c r="BE8" s="33" t="inlineStr">
        <is>
          <t>TRB Approval Date Actual Completion Date (ACD)</t>
        </is>
      </c>
      <c r="BF8" s="34" t="inlineStr">
        <is>
          <t>Go to Supplier Signed Award Baseline ECD</t>
        </is>
      </c>
      <c r="BG8" s="34" t="inlineStr">
        <is>
          <t>Go to Supplier Signed Award Current ECD (CECD)</t>
        </is>
      </c>
      <c r="BH8" s="34" t="inlineStr">
        <is>
          <t>Go to Supplier Signed Award Actual Completion Date (ACD)</t>
        </is>
      </c>
      <c r="BI8" s="34" t="inlineStr">
        <is>
          <t>Project Kickoff Baseline ECD</t>
        </is>
      </c>
      <c r="BJ8" s="34" t="inlineStr">
        <is>
          <t>Project Kickoff Current ECD (CECD)</t>
        </is>
      </c>
      <c r="BK8" s="34" t="inlineStr">
        <is>
          <t>Project Kickoff Actual Completion Date (ACD)</t>
        </is>
      </c>
      <c r="BL8" s="34" t="inlineStr">
        <is>
          <t>DREA Complete Baseline ECD</t>
        </is>
      </c>
      <c r="BM8" s="34" t="inlineStr">
        <is>
          <t>DREA Complete Current ECD (CECD)</t>
        </is>
      </c>
      <c r="BN8" s="34" t="inlineStr">
        <is>
          <t>DREA Complete Actual Completion Date (ACD)</t>
        </is>
      </c>
      <c r="BO8" s="34" t="inlineStr">
        <is>
          <t>L1DR Complete Baseline ECD</t>
        </is>
      </c>
      <c r="BP8" s="34" t="inlineStr">
        <is>
          <t>L1DR Complete Current ECD (CECD)</t>
        </is>
      </c>
      <c r="BQ8" s="34" t="inlineStr">
        <is>
          <t>L1DR Complete Actual Completion Date (ACD)</t>
        </is>
      </c>
      <c r="BR8" s="34" t="inlineStr">
        <is>
          <t>ConDR Complete Baseline ECD</t>
        </is>
      </c>
      <c r="BS8" s="34" t="inlineStr">
        <is>
          <t>ConDR Complete Current ECD (CECD)</t>
        </is>
      </c>
      <c r="BT8" s="34" t="inlineStr">
        <is>
          <t>ConDR Complete Actual Completion Date (ACD)</t>
        </is>
      </c>
      <c r="BU8" s="34" t="inlineStr">
        <is>
          <t>PDR Complete Baseline ECD</t>
        </is>
      </c>
      <c r="BV8" s="34" t="inlineStr">
        <is>
          <t>PDR Complete Current ECD (CECD)</t>
        </is>
      </c>
      <c r="BW8" s="34" t="inlineStr">
        <is>
          <t>PDR Complete Actual Completion Date (ACD)</t>
        </is>
      </c>
      <c r="BX8" s="34" t="inlineStr">
        <is>
          <t>CDR Complete Baseline ECD</t>
        </is>
      </c>
      <c r="BY8" s="34" t="inlineStr">
        <is>
          <t>CDR Complete Baseline ECD</t>
        </is>
      </c>
      <c r="BZ8" s="34" t="inlineStr">
        <is>
          <t>CDR Complete Actual Completion Date (ACD)</t>
        </is>
      </c>
      <c r="CA8" s="34" t="inlineStr">
        <is>
          <t>Internal HON Review (PTCD) Complete Baseline ECD</t>
        </is>
      </c>
      <c r="CB8" s="34" t="inlineStr">
        <is>
          <t>Internal HON Review (PTCD) Complete Baseline ECD</t>
        </is>
      </c>
      <c r="CC8" s="34" t="inlineStr">
        <is>
          <t>Internal HON Review (PTCD) Complete Actual Completion Date (ACD)</t>
        </is>
      </c>
      <c r="CD8" s="34" t="inlineStr">
        <is>
          <t>HON Approval of Supplier Drawings Baseline ECD</t>
        </is>
      </c>
      <c r="CE8" s="34" t="inlineStr">
        <is>
          <t>HON Approval of Supplier Drawings Current ECD (CECD)</t>
        </is>
      </c>
      <c r="CF8" s="34" t="inlineStr">
        <is>
          <t>HON Approval of Supplier Drawings Actual Completion Date (ACD)</t>
        </is>
      </c>
      <c r="CG8" s="34" t="inlineStr">
        <is>
          <t>Approval of Qualification Test Plan (QTP) Baseline ECD</t>
        </is>
      </c>
      <c r="CH8" s="34" t="inlineStr">
        <is>
          <t>Approval of Qualification Test Plan (QTP) Current ECD (CECD)</t>
        </is>
      </c>
      <c r="CI8" s="34" t="inlineStr">
        <is>
          <t>Approval of Qualification Test Plan (QTP) Actual Completion Date (ACD)</t>
        </is>
      </c>
      <c r="CJ8" s="34" t="inlineStr">
        <is>
          <t>Add Supplier to SCS/ASL/AVL Baseline ECD</t>
        </is>
      </c>
      <c r="CK8" s="34" t="inlineStr">
        <is>
          <t>Add Supplier to SCS/ASL/AVL Current ECD (CECD)</t>
        </is>
      </c>
      <c r="CL8" s="34" t="inlineStr">
        <is>
          <t>Add Supplier to SCS/ASL/AVL Actual Completion Date (ACD)</t>
        </is>
      </c>
      <c r="CM8" s="33" t="inlineStr">
        <is>
          <t>FAIR Order Placed Baseline ECD</t>
        </is>
      </c>
      <c r="CN8" s="33" t="inlineStr">
        <is>
          <t>FAIR Order Placed Current ECD (CECD)</t>
        </is>
      </c>
      <c r="CO8" s="33" t="inlineStr">
        <is>
          <t>FAIR Order Placed Actual Completion Date (ACD)</t>
        </is>
      </c>
      <c r="CP8" s="33" t="inlineStr">
        <is>
          <t>FAIR Order Acknowledged Baseline ECD</t>
        </is>
      </c>
      <c r="CQ8" s="33" t="inlineStr">
        <is>
          <t>FAIR Order Acknowledged Current ECD (CECD)</t>
        </is>
      </c>
      <c r="CR8" s="33" t="inlineStr">
        <is>
          <t>FAIR Order Acknowledged Actual Completion Date (ACD)</t>
        </is>
      </c>
      <c r="CS8" s="78" t="inlineStr">
        <is>
          <t>Execution Baseline Status</t>
        </is>
      </c>
      <c r="CT8" s="33" t="inlineStr">
        <is>
          <t>Material Received at Supplier Baseline ECD</t>
        </is>
      </c>
      <c r="CU8" s="33" t="inlineStr">
        <is>
          <t>Material Received at Supplier Current ECD (CECD)</t>
        </is>
      </c>
      <c r="CV8" s="33" t="inlineStr">
        <is>
          <t>Material Received at Supplier Actual Completion Date (ACD)</t>
        </is>
      </c>
      <c r="CW8" s="34" t="inlineStr">
        <is>
          <t>Capital Tooling PO Placed Baseline ECD</t>
        </is>
      </c>
      <c r="CX8" s="34" t="inlineStr">
        <is>
          <t>Capital Tooling PO Placed Current ECD (CECD)</t>
        </is>
      </c>
      <c r="CY8" s="34" t="inlineStr">
        <is>
          <t>Capital Tooling PO Placed Actual Completion Date (ACD)</t>
        </is>
      </c>
      <c r="CZ8" s="34" t="inlineStr">
        <is>
          <t>Tooling Completed Baseline ECD</t>
        </is>
      </c>
      <c r="DA8" s="34" t="inlineStr">
        <is>
          <t>Tooling Completed Current ECD (CECD)</t>
        </is>
      </c>
      <c r="DB8" s="34" t="inlineStr">
        <is>
          <t>Tooling Completed Actual Completion Date (ACD)</t>
        </is>
      </c>
      <c r="DC8" s="34" t="inlineStr">
        <is>
          <t>Supplier Trials &amp; Substantiation (Pre-Conditional FAIR) Baseline ECD</t>
        </is>
      </c>
      <c r="DD8" s="34" t="inlineStr">
        <is>
          <t>Supplier Trials &amp; Substantiation (Pre-Conditional FAIR) Current ECD (CECD)</t>
        </is>
      </c>
      <c r="DE8" s="34" t="inlineStr">
        <is>
          <t>Supplier Trials &amp; Substantiation
(Pre-Conditional FAIR) Actual Completion Date (ACD)</t>
        </is>
      </c>
      <c r="DF8" s="33" t="inlineStr">
        <is>
          <t>Supplier FAIR Lot Build Complete Baseline ECD</t>
        </is>
      </c>
      <c r="DG8" s="33" t="inlineStr">
        <is>
          <t>Supplier FAIR Lot Build Complete Current ECD (CECD)</t>
        </is>
      </c>
      <c r="DH8" s="33" t="inlineStr">
        <is>
          <t>Supplier FAIR Lot Build Complete Actual Completion Date (ACD)</t>
        </is>
      </c>
      <c r="DI8" s="34" t="inlineStr">
        <is>
          <t>Number of Cycles of Learning for Dimensional Pre-Qualification</t>
        </is>
      </c>
      <c r="DJ8" s="34" t="inlineStr">
        <is>
          <t>Dimensional Pre-Qualification Baseline ECD</t>
        </is>
      </c>
      <c r="DK8" s="34" t="inlineStr">
        <is>
          <t>Dimensional Pre-Qualification Current ECD (CECD)</t>
        </is>
      </c>
      <c r="DL8" s="34" t="inlineStr">
        <is>
          <t>Dimensional Pre-Qualification Actual Completion Date (ACD)</t>
        </is>
      </c>
      <c r="DM8" s="34" t="inlineStr">
        <is>
          <t>Conditional FAIR Complete Baseline ECD</t>
        </is>
      </c>
      <c r="DN8" s="34" t="inlineStr">
        <is>
          <t>Conditional FAIR Complete Current ECD (CECD)</t>
        </is>
      </c>
      <c r="DO8" s="34" t="inlineStr">
        <is>
          <t>Conditional FAIR Complete Actual Completion Date (ACD)</t>
        </is>
      </c>
      <c r="DP8" s="34" t="inlineStr">
        <is>
          <t>TRR Baseline ECD</t>
        </is>
      </c>
      <c r="DQ8" s="34" t="inlineStr">
        <is>
          <t>TRR Current ECD (CECD)</t>
        </is>
      </c>
      <c r="DR8" s="34" t="inlineStr">
        <is>
          <t>TRR Actual Completion Date (ACD)</t>
        </is>
      </c>
      <c r="DS8" s="34" t="inlineStr">
        <is>
          <t>Number of Cycles of Learning for Supplier Qualification (post-Conditional FAIR)</t>
        </is>
      </c>
      <c r="DT8" s="34" t="inlineStr">
        <is>
          <t>Supplier Qualification (post-Conditional FAIR) Baseline ECD</t>
        </is>
      </c>
      <c r="DU8" s="34" t="inlineStr">
        <is>
          <t>Supplier Qualification (post-Conditional FAIR) Current ECD (CECD)</t>
        </is>
      </c>
      <c r="DV8" s="34" t="inlineStr">
        <is>
          <t>Supplier Qualification (post-Conditional FAIR) Actual Completion Date (ACD)</t>
        </is>
      </c>
      <c r="DW8" s="34" t="inlineStr">
        <is>
          <t>Number of Cycles of Learning for Dimensional Qualification</t>
        </is>
      </c>
      <c r="DX8" s="34" t="inlineStr">
        <is>
          <t>Dimensional Qualification Baseline ECD</t>
        </is>
      </c>
      <c r="DY8" s="34" t="inlineStr">
        <is>
          <t>Dimensional Qualification Current ECD (CECD)</t>
        </is>
      </c>
      <c r="DZ8" s="34" t="inlineStr">
        <is>
          <t>Dimensional Qualification Actual Completion Date (ACD)</t>
        </is>
      </c>
      <c r="EA8" s="34" t="inlineStr">
        <is>
          <t>Number of Cycles of Learning for HON Qualification</t>
        </is>
      </c>
      <c r="EB8" s="34" t="inlineStr">
        <is>
          <t>HON Qualification Baseline ECD</t>
        </is>
      </c>
      <c r="EC8" s="34" t="inlineStr">
        <is>
          <t>HON Qualification Current ECD (CECD)</t>
        </is>
      </c>
      <c r="ED8" s="34" t="inlineStr">
        <is>
          <t>HON Qualification Actual Completion Date (ACD)</t>
        </is>
      </c>
      <c r="EE8" s="33" t="inlineStr">
        <is>
          <t>Supplier &amp; HON STR/QTR Approved by HON Eng Baseline ECD</t>
        </is>
      </c>
      <c r="EF8" s="33" t="inlineStr">
        <is>
          <t>Supplier &amp; HON STR/QTR Approved by HON Eng Current ECD (CECD)</t>
        </is>
      </c>
      <c r="EG8" s="33" t="inlineStr">
        <is>
          <t>Supplier &amp; HON STR/QTR Approved by HON Eng Actual Completion Date (ACD)</t>
        </is>
      </c>
      <c r="EH8" s="33" t="inlineStr">
        <is>
          <t>Supplier Signed Contract Baseline ECD</t>
        </is>
      </c>
      <c r="EI8" s="33" t="inlineStr">
        <is>
          <t>Supplier Signed Contract Current ECD (CECD)</t>
        </is>
      </c>
      <c r="EJ8" s="33" t="inlineStr">
        <is>
          <t>Supplier Signed Contract Actual Completion Date (ACD)</t>
        </is>
      </c>
      <c r="EK8" s="34" t="inlineStr">
        <is>
          <t>Production Readiness Review (PRR) Baseline ECD</t>
        </is>
      </c>
      <c r="EL8" s="34" t="inlineStr">
        <is>
          <t>Production Readiness Review (PRR) Current ECD (CECD)</t>
        </is>
      </c>
      <c r="EM8" s="34" t="inlineStr">
        <is>
          <t>Production Readiness Review (PRR) Actual Completion Date (ACD)</t>
        </is>
      </c>
      <c r="EN8" s="34" t="inlineStr">
        <is>
          <t>External Approvals: FAA Approval (TSO/ETSO) Complete Baseline ECD</t>
        </is>
      </c>
      <c r="EO8" s="34" t="inlineStr">
        <is>
          <t>External Approvals: FAA Approval (TSO/ETSO) Complete Current ECD (CECD)</t>
        </is>
      </c>
      <c r="EP8" s="34" t="inlineStr">
        <is>
          <t>External Approvals: FAA Approval (TSO/ETSO) Complete Actual Completion Date (ACD)</t>
        </is>
      </c>
      <c r="EQ8" s="34" t="inlineStr">
        <is>
          <t>External Approvals: Customer Approval Complete Baseline ECD</t>
        </is>
      </c>
      <c r="ER8" s="34" t="inlineStr">
        <is>
          <t>External Approvals: Customer Approval Complete Current ECD (CECD)</t>
        </is>
      </c>
      <c r="ES8" s="34" t="inlineStr">
        <is>
          <t>External Approvals: Customer Approval Complete Actual Completion Date (ACD)</t>
        </is>
      </c>
      <c r="ET8" s="34" t="inlineStr">
        <is>
          <t>External Approvals: DCMA/ AMCON Approval Baseline ECD</t>
        </is>
      </c>
      <c r="EU8" s="34" t="inlineStr">
        <is>
          <t>External Approvals: DCMA/ AMCON Approval Current ECD (CECD)</t>
        </is>
      </c>
      <c r="EV8" s="34" t="inlineStr">
        <is>
          <t>External Approvals: DCMA/ AMCON Approval Actual Completion Date (ACD)</t>
        </is>
      </c>
      <c r="EW8" s="34" t="inlineStr">
        <is>
          <t>SS1 Elevation Baseline ECD</t>
        </is>
      </c>
      <c r="EX8" s="34" t="inlineStr">
        <is>
          <t>SS1 Elevation Current ECD (CECD)</t>
        </is>
      </c>
      <c r="EY8" s="34" t="inlineStr">
        <is>
          <t>SS1 Elevation Actual Completion Date (ACD)</t>
        </is>
      </c>
      <c r="EZ8" s="33" t="inlineStr">
        <is>
          <t>Final FAIR Baseline ECD</t>
        </is>
      </c>
      <c r="FA8" s="33" t="inlineStr">
        <is>
          <t>Final FAIR Current ECD (CECD)</t>
        </is>
      </c>
      <c r="FB8" s="33" t="inlineStr">
        <is>
          <t>Final FAIR Actual Completion Date (ACD)</t>
        </is>
      </c>
      <c r="FC8" s="34" t="inlineStr">
        <is>
          <t>Update Next Higher Assembly Drawings Baseline ECD</t>
        </is>
      </c>
      <c r="FD8" s="34" t="inlineStr">
        <is>
          <t>Update Next Higher Assembly Drawings Current ECD (CECD)</t>
        </is>
      </c>
      <c r="FE8" s="34" t="inlineStr">
        <is>
          <t>Update Next Higher Assembly Drawings Actual Completion Date (ACD)</t>
        </is>
      </c>
      <c r="FF8" s="34" t="inlineStr">
        <is>
          <t>Update Service Bulletin, Aftermarket Documents Baseline ECD</t>
        </is>
      </c>
      <c r="FG8" s="34" t="inlineStr">
        <is>
          <t>Update Service Bulletin, Aftermarket Documents Current ECD (CECD)</t>
        </is>
      </c>
      <c r="FH8" s="34" t="inlineStr">
        <is>
          <t>Update Service Bulletin, Aftermarket Documents Actual Completion Date (ACD)</t>
        </is>
      </c>
      <c r="FI8" s="34" t="inlineStr">
        <is>
          <t>IMS Part Complete Date (PCD) Baseline ECD</t>
        </is>
      </c>
      <c r="FJ8" s="34" t="inlineStr">
        <is>
          <t>IMS Part Complete Date (PCD) Current ECD (CECD)</t>
        </is>
      </c>
      <c r="FK8" s="34" t="inlineStr">
        <is>
          <t>IMS Part Complete Date (PCD) Actual Completion Date (ACD)</t>
        </is>
      </c>
      <c r="FL8" s="33" t="inlineStr">
        <is>
          <t>Production Cutover Date Baseline ECD</t>
        </is>
      </c>
      <c r="FM8" s="33" t="inlineStr">
        <is>
          <t>Production Cutover Date Current ECD (CECD)</t>
        </is>
      </c>
      <c r="FN8" s="33" t="inlineStr">
        <is>
          <t>Production Cutover Date Actual Completion Date (ACD)</t>
        </is>
      </c>
      <c r="FO8" s="33" t="inlineStr">
        <is>
          <t>Target Complete Date (TCD) Baseline ECD</t>
        </is>
      </c>
      <c r="FP8" s="33" t="inlineStr">
        <is>
          <t>Target Complete Date (TCD) Current ECD (CECD)</t>
        </is>
      </c>
      <c r="FQ8" s="33" t="inlineStr">
        <is>
          <t>Target Complete Date (TCD) Actual Completion Date (ACD)</t>
        </is>
      </c>
      <c r="FR8" s="78" t="inlineStr">
        <is>
          <t>TCD Status</t>
        </is>
      </c>
      <c r="FS8" s="78" t="inlineStr">
        <is>
          <t>Baseline Status (Do not Update)</t>
        </is>
      </c>
      <c r="FT8" s="35" t="inlineStr">
        <is>
          <t>Project Length Baseline Forecast</t>
        </is>
      </c>
      <c r="FU8" s="35" t="inlineStr">
        <is>
          <t>Project Length Current Forecast</t>
        </is>
      </c>
      <c r="FV8" s="35" t="inlineStr">
        <is>
          <t>Project Length Actual</t>
        </is>
      </c>
      <c r="FW8" s="35" t="inlineStr">
        <is>
          <t>Project Length Area</t>
        </is>
      </c>
    </row>
    <row r="9" outlineLevel="1">
      <c r="A9" s="23" t="n"/>
      <c r="B9" s="23" t="n"/>
      <c r="C9" s="24" t="n"/>
      <c r="D9" s="95" t="n"/>
      <c r="E9" s="24" t="n"/>
      <c r="F9" s="25" t="inlineStr">
        <is>
          <t>Durations in WD</t>
        </is>
      </c>
      <c r="G9" s="26" t="n"/>
      <c r="H9" s="26" t="n"/>
      <c r="I9" s="27" t="n"/>
      <c r="J9" s="27" t="n"/>
      <c r="K9" s="27" t="n"/>
      <c r="L9" s="27" t="n"/>
      <c r="M9" s="4" t="n">
        <v>27</v>
      </c>
      <c r="N9" s="4" t="n">
        <v>27</v>
      </c>
      <c r="O9" s="27" t="n"/>
      <c r="P9" s="4" t="n">
        <v>0</v>
      </c>
      <c r="Q9" s="4" t="n">
        <v>0</v>
      </c>
      <c r="R9" s="27" t="n"/>
      <c r="S9" s="27" t="n"/>
      <c r="T9" s="27" t="n"/>
      <c r="U9" s="27" t="n"/>
      <c r="V9" s="4" t="n">
        <v>30</v>
      </c>
      <c r="W9" s="4" t="n">
        <v>30</v>
      </c>
      <c r="X9" s="27" t="n"/>
      <c r="Y9" s="4" t="n">
        <v>70</v>
      </c>
      <c r="Z9" s="4" t="n">
        <v>70</v>
      </c>
      <c r="AA9" s="27" t="n"/>
      <c r="AB9" s="4" t="n">
        <v>0</v>
      </c>
      <c r="AC9" s="4" t="n">
        <v>0</v>
      </c>
      <c r="AD9" s="27" t="n"/>
      <c r="AE9" s="4" t="n">
        <v>75</v>
      </c>
      <c r="AF9" s="4" t="n">
        <v>75</v>
      </c>
      <c r="AG9" s="27" t="n"/>
      <c r="AH9" s="4" t="n">
        <v>5</v>
      </c>
      <c r="AI9" s="4" t="n">
        <v>5</v>
      </c>
      <c r="AJ9" s="27" t="n"/>
      <c r="AK9" s="4" t="n">
        <v>20</v>
      </c>
      <c r="AL9" s="4" t="n">
        <v>20</v>
      </c>
      <c r="AM9" s="27" t="n"/>
      <c r="AN9" s="4" t="n">
        <v>0</v>
      </c>
      <c r="AO9" s="4" t="n">
        <v>0</v>
      </c>
      <c r="AP9" s="27" t="n"/>
      <c r="AQ9" s="4" t="n">
        <v>20</v>
      </c>
      <c r="AR9" s="4" t="n">
        <v>20</v>
      </c>
      <c r="AS9" s="27" t="n"/>
      <c r="AT9" s="4" t="n">
        <v>5</v>
      </c>
      <c r="AU9" s="4" t="n">
        <v>5</v>
      </c>
      <c r="AV9" s="27" t="n"/>
      <c r="AW9" s="4" t="n">
        <v>10</v>
      </c>
      <c r="AX9" s="4" t="n">
        <v>10</v>
      </c>
      <c r="AY9" s="27" t="n"/>
      <c r="AZ9" s="4" t="n">
        <v>30</v>
      </c>
      <c r="BA9" s="4" t="n">
        <v>30</v>
      </c>
      <c r="BB9" s="27" t="n"/>
      <c r="BC9" s="4" t="n">
        <v>5</v>
      </c>
      <c r="BD9" s="4" t="n">
        <v>5</v>
      </c>
      <c r="BE9" s="27" t="n"/>
      <c r="BF9" s="4" t="n">
        <v>5</v>
      </c>
      <c r="BG9" s="4" t="n">
        <v>5</v>
      </c>
      <c r="BH9" s="27" t="n"/>
      <c r="BI9" s="4" t="n">
        <v>5</v>
      </c>
      <c r="BJ9" s="4" t="n">
        <v>5</v>
      </c>
      <c r="BK9" s="27" t="n"/>
      <c r="BL9" s="27" t="n"/>
      <c r="BM9" s="27" t="n"/>
      <c r="BN9" s="27" t="n"/>
      <c r="BO9" s="27" t="n"/>
      <c r="BP9" s="27" t="n"/>
      <c r="BQ9" s="27" t="n"/>
      <c r="BR9" s="27" t="n"/>
      <c r="BS9" s="27" t="n"/>
      <c r="BT9" s="27" t="n"/>
      <c r="BU9" s="27" t="n"/>
      <c r="BV9" s="27" t="n"/>
      <c r="BW9" s="27" t="n"/>
      <c r="BX9" s="27" t="n"/>
      <c r="BY9" s="27" t="n"/>
      <c r="BZ9" s="27" t="n"/>
      <c r="CA9" s="27" t="n"/>
      <c r="CB9" s="27" t="n"/>
      <c r="CC9" s="27" t="n"/>
      <c r="CD9" s="27" t="n"/>
      <c r="CE9" s="27" t="n"/>
      <c r="CF9" s="27" t="n"/>
      <c r="CG9" s="27" t="n"/>
      <c r="CH9" s="27" t="n"/>
      <c r="CI9" s="27" t="n"/>
      <c r="CJ9" s="27" t="n"/>
      <c r="CK9" s="27" t="n"/>
      <c r="CL9" s="27" t="n"/>
      <c r="CM9" s="4" t="n">
        <v>3</v>
      </c>
      <c r="CN9" s="4" t="n">
        <v>3</v>
      </c>
      <c r="CO9" s="27" t="n"/>
      <c r="CP9" s="4" t="n">
        <v>5</v>
      </c>
      <c r="CQ9" s="4" t="n">
        <v>5</v>
      </c>
      <c r="CR9" s="27" t="n"/>
      <c r="CS9" s="27" t="n"/>
      <c r="CT9" s="5" t="n">
        <v>120</v>
      </c>
      <c r="CU9" s="5" t="n">
        <v>120</v>
      </c>
      <c r="CV9" s="27" t="n"/>
      <c r="CW9" s="5" t="n">
        <v>10</v>
      </c>
      <c r="CX9" s="5" t="n">
        <v>10</v>
      </c>
      <c r="CY9" s="27" t="n"/>
      <c r="CZ9" s="5" t="n">
        <v>0</v>
      </c>
      <c r="DA9" s="5" t="n">
        <v>0</v>
      </c>
      <c r="DB9" s="27" t="n"/>
      <c r="DC9" s="31" t="n"/>
      <c r="DD9" s="31" t="n"/>
      <c r="DE9" s="31" t="n"/>
      <c r="DF9" s="4" t="n">
        <v>20</v>
      </c>
      <c r="DG9" s="4" t="n">
        <v>20</v>
      </c>
      <c r="DH9" s="27" t="n"/>
      <c r="DI9" s="89" t="n">
        <v>1</v>
      </c>
      <c r="DJ9" s="4" t="n">
        <v>20</v>
      </c>
      <c r="DK9" s="4" t="n">
        <v>20</v>
      </c>
      <c r="DL9" s="27" t="n"/>
      <c r="DM9" s="27" t="n"/>
      <c r="DN9" s="27" t="n"/>
      <c r="DO9" s="27" t="n"/>
      <c r="DP9" s="27" t="n"/>
      <c r="DQ9" s="27" t="n"/>
      <c r="DR9" s="27" t="n"/>
      <c r="DS9" s="27" t="n"/>
      <c r="DT9" s="27" t="n"/>
      <c r="DU9" s="27" t="n"/>
      <c r="DV9" s="27" t="n"/>
      <c r="DW9" s="27" t="n"/>
      <c r="DX9" s="27" t="n"/>
      <c r="DY9" s="27" t="n"/>
      <c r="DZ9" s="27" t="n"/>
      <c r="EA9" s="27" t="n"/>
      <c r="EB9" s="27" t="n"/>
      <c r="EC9" s="27" t="n"/>
      <c r="ED9" s="27" t="n"/>
      <c r="EE9" s="4" t="n">
        <v>0</v>
      </c>
      <c r="EF9" s="4" t="n">
        <v>0</v>
      </c>
      <c r="EG9" s="27" t="n"/>
      <c r="EH9" s="4" t="n">
        <v>30</v>
      </c>
      <c r="EI9" s="4" t="n">
        <v>30</v>
      </c>
      <c r="EJ9" s="27" t="n"/>
      <c r="EK9" s="27" t="n"/>
      <c r="EL9" s="27" t="n"/>
      <c r="EM9" s="27" t="n"/>
      <c r="EN9" s="27" t="n"/>
      <c r="EO9" s="27" t="n"/>
      <c r="EP9" s="27" t="n"/>
      <c r="EQ9" s="27" t="n"/>
      <c r="ER9" s="27" t="n"/>
      <c r="ES9" s="27" t="n"/>
      <c r="ET9" s="27" t="n"/>
      <c r="EU9" s="27" t="n"/>
      <c r="EV9" s="27" t="n"/>
      <c r="EW9" s="27" t="n"/>
      <c r="EX9" s="27" t="n"/>
      <c r="EY9" s="27" t="n"/>
      <c r="EZ9" s="4" t="n">
        <v>5</v>
      </c>
      <c r="FA9" s="4" t="n">
        <v>5</v>
      </c>
      <c r="FB9" s="27" t="n"/>
      <c r="FC9" s="27" t="n"/>
      <c r="FD9" s="27" t="n"/>
      <c r="FE9" s="27" t="n"/>
      <c r="FF9" s="27" t="n"/>
      <c r="FG9" s="27" t="n"/>
      <c r="FH9" s="27" t="n"/>
      <c r="FI9" s="4" t="n">
        <v>15</v>
      </c>
      <c r="FJ9" s="4" t="n">
        <v>15</v>
      </c>
      <c r="FK9" s="27" t="n"/>
      <c r="FL9" s="4" t="n">
        <v>0</v>
      </c>
      <c r="FM9" s="4" t="n">
        <v>0</v>
      </c>
      <c r="FN9" s="27" t="n"/>
      <c r="FO9" s="4" t="n">
        <v>40</v>
      </c>
      <c r="FP9" s="4" t="n">
        <v>40</v>
      </c>
      <c r="FQ9" s="27" t="n"/>
      <c r="FR9" s="27" t="n"/>
      <c r="FS9" s="109" t="n"/>
      <c r="FT9" s="54">
        <f>NETWORKDAYS($I10,FO10)</f>
        <v/>
      </c>
      <c r="FU9" s="54">
        <f>NETWORKDAYS($I10,FP10)</f>
        <v/>
      </c>
      <c r="FV9" s="54">
        <f>IF(FQ10="",NETWORKDAYS($I10,FP10),NETWORKDAYS($I10,FQ10))</f>
        <v/>
      </c>
      <c r="FW9" s="55" t="inlineStr">
        <is>
          <t>Total Project</t>
        </is>
      </c>
    </row>
    <row r="10">
      <c r="A10" s="23" t="inlineStr">
        <is>
          <t>Template for Calculation</t>
        </is>
      </c>
      <c r="B10" s="23" t="n">
        <v>100000</v>
      </c>
      <c r="C10" s="23" t="n">
        <v>111</v>
      </c>
      <c r="D10" s="65" t="n"/>
      <c r="E10" s="23">
        <f>IF(D10="","Unknown",IF(D10&lt;=FM10+90,"Red",IF(AND(D10&gt;FM10+90,D10&lt;=FM10+180),"Yellow",IF(AND(D10&gt;FM10+180,D10&lt;=FM10+690),"Green","Covered"))))</f>
        <v/>
      </c>
      <c r="F10" s="25" t="inlineStr">
        <is>
          <t>BTP FAIR Only Part Number</t>
        </is>
      </c>
      <c r="G10" s="26" t="n"/>
      <c r="H10" s="26">
        <f>IF(CR10="","Pre-Execution","Execution")</f>
        <v/>
      </c>
      <c r="I10" s="13" t="n">
        <v>45689</v>
      </c>
      <c r="J10" s="28" t="n"/>
      <c r="K10" s="28" t="n"/>
      <c r="L10" s="28" t="n"/>
      <c r="M10" s="10">
        <f>WORKDAY(I10,M9)</f>
        <v/>
      </c>
      <c r="N10" s="10">
        <f>WORKDAY(I10,N9)</f>
        <v/>
      </c>
      <c r="O10" s="56" t="n"/>
      <c r="P10" s="10">
        <f>WORKDAY(M10,P9)</f>
        <v/>
      </c>
      <c r="Q10" s="10">
        <f>IF(O10="",WORKDAY(N10,Q9),WORKDAY(O10,Q9))</f>
        <v/>
      </c>
      <c r="R10" s="56" t="n"/>
      <c r="S10" s="28" t="n"/>
      <c r="T10" s="28" t="n"/>
      <c r="U10" s="28" t="n"/>
      <c r="V10" s="10">
        <f>WORKDAY(P10, V9)</f>
        <v/>
      </c>
      <c r="W10" s="10">
        <f>IF(R10="",WORKDAY(Q10,W9),WORKDAY(R10,W9))</f>
        <v/>
      </c>
      <c r="X10" s="56" t="n"/>
      <c r="Y10" s="10">
        <f>WORKDAY(P10,Y9)</f>
        <v/>
      </c>
      <c r="Z10" s="10">
        <f>IF(R10="",WORKDAY(Q10,Z9),WORKDAY(R10,Z9))</f>
        <v/>
      </c>
      <c r="AA10" s="56" t="n"/>
      <c r="AB10" s="10">
        <f>WORKDAY(I10,AB9)</f>
        <v/>
      </c>
      <c r="AC10" s="10">
        <f>WORKDAY(I10,AC9)</f>
        <v/>
      </c>
      <c r="AD10" s="56" t="n"/>
      <c r="AE10" s="10">
        <f>WORKDAY(AB10,AE9)</f>
        <v/>
      </c>
      <c r="AF10" s="10">
        <f>IF(AD10="",WORKDAY(AC10,AF9),WORKDAY(AD10,AF9))</f>
        <v/>
      </c>
      <c r="AG10" s="56" t="n"/>
      <c r="AH10" s="10">
        <f>WORKDAY(IF(Y10&gt;AE10,Y10,AE10),AH9)</f>
        <v/>
      </c>
      <c r="AI10" s="10">
        <f>WORKDAY(IF(AA10="",IF(Z10&gt;AF10,Z10,AF10),IF(AA10&gt;AG10,AA10,AG10)),AI9)</f>
        <v/>
      </c>
      <c r="AJ10" s="56" t="n"/>
      <c r="AK10" s="10">
        <f>WORKDAY(AH10,AK9)</f>
        <v/>
      </c>
      <c r="AL10" s="10">
        <f>IF(AJ10="",WORKDAY(AI10,AL9),WORKDAY(AJ10,AL9))</f>
        <v/>
      </c>
      <c r="AM10" s="56" t="n"/>
      <c r="AN10" s="10">
        <f>WORKDAY(AK10,AN9)</f>
        <v/>
      </c>
      <c r="AO10" s="10">
        <f>IF(AM10="",WORKDAY(AL10,AO9),WORKDAY(AM10,AO9))</f>
        <v/>
      </c>
      <c r="AP10" s="56" t="n"/>
      <c r="AQ10" s="10">
        <f>WORKDAY(AN10,AQ9)</f>
        <v/>
      </c>
      <c r="AR10" s="10">
        <f>IF(AP10="",WORKDAY(AO10,AR9),WORKDAY(AP10,AR9))</f>
        <v/>
      </c>
      <c r="AS10" s="56" t="n"/>
      <c r="AT10" s="10">
        <f>WORKDAY(AN10,AT9)</f>
        <v/>
      </c>
      <c r="AU10" s="10">
        <f>IF(O10="",WORKDAY(AO10,AU9),WORKDAY(AP10,AU9))</f>
        <v/>
      </c>
      <c r="AV10" s="56" t="n"/>
      <c r="AW10" s="10">
        <f>IF(AQ10&gt;AT10,WORKDAY(AQ10,AW9),WORKDAY(AT10,AW9))</f>
        <v/>
      </c>
      <c r="AX10" s="10">
        <f>IF(AS10="",IF(AR10&gt;AU10,WORKDAY(AR10,AX9),WORKDAY(AU10,AX9)),IF(AS10&gt;AV10,WORKDAY(AS10,AX9),WORKDAY(AV10,AX9)))</f>
        <v/>
      </c>
      <c r="AY10" s="56" t="n"/>
      <c r="AZ10" s="10">
        <f>WORKDAY(AN10,AZ9)</f>
        <v/>
      </c>
      <c r="BA10" s="10">
        <f>IF(AP10="",WORKDAY(AO10,BA9),WORKDAY(AP10,BA9))</f>
        <v/>
      </c>
      <c r="BB10" s="56" t="n"/>
      <c r="BC10" s="10">
        <f>IF(AW10&gt;AZ10,WORKDAY(AW10,BC9),WORKDAY(AZ10,BC9))</f>
        <v/>
      </c>
      <c r="BD10" s="10">
        <f>IF(AY10="",IF(AX10&gt;BA10,WORKDAY(AX10,BD9),WORKDAY(BA10,BD9)),IF(AY10&gt;BB10,WORKDAY(AY10,BD9),WORKDAY(BB10,BD9)))</f>
        <v/>
      </c>
      <c r="BE10" s="56" t="n"/>
      <c r="BF10" s="10">
        <f>WORKDAY(BC10,BF9)</f>
        <v/>
      </c>
      <c r="BG10" s="10">
        <f>IF(BE10="",WORKDAY(BD10,BG9),WORKDAY(BE10,BG9))</f>
        <v/>
      </c>
      <c r="BH10" s="56" t="n"/>
      <c r="BI10" s="10">
        <f>WORKDAY(BF10,BI9)</f>
        <v/>
      </c>
      <c r="BJ10" s="10">
        <f>IF(BH10="",WORKDAY(BG10,BJ9),WORKDAY(BH10,BJ9))</f>
        <v/>
      </c>
      <c r="BK10" s="56" t="n"/>
      <c r="BL10" s="28" t="n"/>
      <c r="BM10" s="28" t="n"/>
      <c r="BN10" s="28" t="n"/>
      <c r="BO10" s="28" t="n"/>
      <c r="BP10" s="28" t="n"/>
      <c r="BQ10" s="28" t="n"/>
      <c r="BR10" s="28" t="n"/>
      <c r="BS10" s="28" t="n"/>
      <c r="BT10" s="28" t="n"/>
      <c r="BU10" s="28" t="n"/>
      <c r="BV10" s="28" t="n"/>
      <c r="BW10" s="28" t="n"/>
      <c r="BX10" s="46" t="n"/>
      <c r="BY10" s="28" t="n"/>
      <c r="BZ10" s="28" t="n"/>
      <c r="CA10" s="28" t="n"/>
      <c r="CB10" s="28" t="n"/>
      <c r="CC10" s="28" t="n"/>
      <c r="CD10" s="28" t="n"/>
      <c r="CE10" s="28" t="n"/>
      <c r="CF10" s="28" t="n"/>
      <c r="CG10" s="28" t="n"/>
      <c r="CH10" s="28" t="n"/>
      <c r="CI10" s="28" t="n"/>
      <c r="CJ10" s="28" t="n"/>
      <c r="CK10" s="28" t="n"/>
      <c r="CL10" s="28" t="n"/>
      <c r="CM10" s="10">
        <f>WORKDAY(BI10,CM9)</f>
        <v/>
      </c>
      <c r="CN10" s="10">
        <f>IF(BK10="",WORKDAY(BJ10,CN9),WORKDAY(BK10,CN9))</f>
        <v/>
      </c>
      <c r="CO10" s="56" t="n"/>
      <c r="CP10" s="10">
        <f>WORKDAY(CM10,CP9)</f>
        <v/>
      </c>
      <c r="CQ10" s="10">
        <f>IF(CO10="",WORKDAY(CN10,CQ9),WORKDAY(CO10,CQ9))</f>
        <v/>
      </c>
      <c r="CR10" s="56" t="n"/>
      <c r="CS10" s="77">
        <f>IF(CR10="","No Action: Still in Pre-Execution","Execution schedule has been re-baselined w/ FAIR PO Ack ACD. Validate your durations before publishing")</f>
        <v/>
      </c>
      <c r="CT10" s="10">
        <f>IF(CR10="",WORKDAY(CP10,CT9),WORKDAY(CR10,CT9))</f>
        <v/>
      </c>
      <c r="CU10" s="10">
        <f>IF(CR10="",WORKDAY(CQ10,CU9),WORKDAY(CR10,CU9))</f>
        <v/>
      </c>
      <c r="CV10" s="56" t="n"/>
      <c r="CW10" s="10">
        <f>WORKDAY(AZ10,CW9)</f>
        <v/>
      </c>
      <c r="CX10" s="10">
        <f>IF(BB10="",WORKDAY(BA10,CX9),WORKDAY(BB10,CX9))</f>
        <v/>
      </c>
      <c r="CY10" s="56" t="n"/>
      <c r="CZ10" s="10">
        <f>WORKDAY(CW10,CZ9)</f>
        <v/>
      </c>
      <c r="DA10" s="10">
        <f>IF(CY10="",WORKDAY(CX10,DA9),WORKDAY(CY10,DA9))</f>
        <v/>
      </c>
      <c r="DB10" s="56" t="n"/>
      <c r="DC10" s="45" t="n"/>
      <c r="DD10" s="45" t="n"/>
      <c r="DE10" s="45" t="n"/>
      <c r="DF10" s="10">
        <f>IF($CT10&gt;$CZ10,WORKDAY($CT10,DF9),WORKDAY($CZ10,DF9))</f>
        <v/>
      </c>
      <c r="DG10" s="10">
        <f>IF($CV10="",IF($CU10&gt;$DA10,WORKDAY($CU10,DG9),WORKDAY($DA10,DG9)),IF($CV10&gt;$DB10,WORKDAY($CV10,DG9),WORKDAY($DB10,DG9)))</f>
        <v/>
      </c>
      <c r="DH10" s="56" t="n"/>
      <c r="DI10" s="46" t="n"/>
      <c r="DJ10" s="10">
        <f>WORKDAY(DF10,DJ9*$DI9)</f>
        <v/>
      </c>
      <c r="DK10" s="10">
        <f>IF(DH10="",WORKDAY(DG10,DK9*$DI9),WORKDAY(DH10,DK9*$DI9))</f>
        <v/>
      </c>
      <c r="DL10" s="56" t="n"/>
      <c r="DM10" s="46" t="n"/>
      <c r="DN10" s="46" t="n"/>
      <c r="DO10" s="46" t="n"/>
      <c r="DP10" s="46" t="n"/>
      <c r="DQ10" s="46" t="n"/>
      <c r="DR10" s="46" t="n"/>
      <c r="DS10" s="46" t="n"/>
      <c r="DT10" s="46" t="n"/>
      <c r="DU10" s="46" t="n"/>
      <c r="DV10" s="46" t="n"/>
      <c r="DW10" s="46" t="n"/>
      <c r="DX10" s="46" t="n"/>
      <c r="DY10" s="46" t="n"/>
      <c r="DZ10" s="46" t="n"/>
      <c r="EA10" s="46" t="n"/>
      <c r="EB10" s="46" t="n"/>
      <c r="EC10" s="46" t="n"/>
      <c r="ED10" s="46" t="n"/>
      <c r="EE10" s="10">
        <f>WORKDAY(DJ10,EE9)</f>
        <v/>
      </c>
      <c r="EF10" s="10">
        <f>IF(DL10="",WORKDAY(DK10,EF9),WORKDAY(DL10,EF9))</f>
        <v/>
      </c>
      <c r="EG10" s="56" t="n"/>
      <c r="EH10" s="10">
        <f>IF(CR10="",WORKDAY(BF10,EH9),WORKDAY(BH10,EH9))</f>
        <v/>
      </c>
      <c r="EI10" s="10">
        <f>IF(BH10="",WORKDAY(BG10,EI9),WORKDAY(BH10,EI9))</f>
        <v/>
      </c>
      <c r="EJ10" s="56" t="n"/>
      <c r="EK10" s="27" t="n"/>
      <c r="EL10" s="27" t="n"/>
      <c r="EM10" s="27" t="n"/>
      <c r="EN10" s="27" t="n"/>
      <c r="EO10" s="28" t="n"/>
      <c r="EP10" s="28" t="n"/>
      <c r="EQ10" s="28" t="n"/>
      <c r="ER10" s="28" t="n"/>
      <c r="ES10" s="28" t="n"/>
      <c r="ET10" s="28" t="n"/>
      <c r="EU10" s="28" t="n"/>
      <c r="EV10" s="28" t="n"/>
      <c r="EW10" s="28" t="n"/>
      <c r="EX10" s="28" t="n"/>
      <c r="EY10" s="28" t="n"/>
      <c r="EZ10" s="10">
        <f>WORKDAY(EE10,EZ9)</f>
        <v/>
      </c>
      <c r="FA10" s="10">
        <f>IF(EG10="",WORKDAY(EF10,FA9),WORKDAY(EG10,FA9))</f>
        <v/>
      </c>
      <c r="FB10" s="56" t="n"/>
      <c r="FC10" s="28" t="n"/>
      <c r="FD10" s="28" t="n"/>
      <c r="FE10" s="28" t="n"/>
      <c r="FF10" s="28" t="n"/>
      <c r="FG10" s="28" t="n"/>
      <c r="FH10" s="28" t="n"/>
      <c r="FI10" s="10">
        <f>WORKDAY(EZ10,FI9)</f>
        <v/>
      </c>
      <c r="FJ10" s="10">
        <f>IF(FB10="",WORKDAY(FA10,FJ9),WORKDAY(FB10,FJ9))</f>
        <v/>
      </c>
      <c r="FK10" s="56" t="n"/>
      <c r="FL10" s="10">
        <f>WORKDAY(FI10,FL9)</f>
        <v/>
      </c>
      <c r="FM10" s="10">
        <f>IF(FK10="",WORKDAY(FJ10,FM9),WORKDAY(FK10,FM9))</f>
        <v/>
      </c>
      <c r="FN10" s="56" t="n"/>
      <c r="FO10" s="10">
        <f>WORKDAY(FL10,FO9)</f>
        <v/>
      </c>
      <c r="FP10" s="10">
        <f>WORKDAY(FM10,FP9)</f>
        <v/>
      </c>
      <c r="FQ10" s="56" t="n"/>
      <c r="FR10" s="77">
        <f>IF(NETWORKDAYS(FJ10,FO10)&gt;=30,"On-Track",IF(AND(NETWORKDAYS(FJ10,FO10)&lt;30,FJ10&lt;=FO10),"At Risk","Missed TCD"))</f>
        <v/>
      </c>
      <c r="FS10" s="110" t="n"/>
      <c r="FT10" s="57">
        <f>NETWORKDAYS(CP10,FI10)</f>
        <v/>
      </c>
      <c r="FU10" s="57">
        <f>NETWORKDAYS(CQ10,FJ10)</f>
        <v/>
      </c>
      <c r="FV10" s="57">
        <f>IF(BH10="",NETWORKDAYS(BG10,FJ10),IF(FK10="",NETWORKDAYS(BH10,FJ10),NETWORKDAYS(BH10,FK10)))</f>
        <v/>
      </c>
      <c r="FW10" s="58" t="inlineStr">
        <is>
          <t>Execution Only</t>
        </is>
      </c>
    </row>
    <row r="11" outlineLevel="1">
      <c r="A11" s="23" t="n"/>
      <c r="B11" s="23" t="n"/>
      <c r="C11" s="24" t="n"/>
      <c r="D11" s="95" t="n"/>
      <c r="E11" s="24" t="n"/>
      <c r="F11" s="25" t="inlineStr">
        <is>
          <t>Durations in WD</t>
        </is>
      </c>
      <c r="G11" s="26" t="n"/>
      <c r="H11" s="26" t="n"/>
      <c r="I11" s="27" t="n"/>
      <c r="J11" s="27" t="n"/>
      <c r="K11" s="27" t="n"/>
      <c r="L11" s="27" t="n"/>
      <c r="M11" s="4" t="n">
        <v>5</v>
      </c>
      <c r="N11" s="4" t="n">
        <v>5</v>
      </c>
      <c r="O11" s="27" t="n"/>
      <c r="P11" s="4" t="n">
        <v>10</v>
      </c>
      <c r="Q11" s="4" t="n">
        <v>10</v>
      </c>
      <c r="R11" s="27" t="n"/>
      <c r="S11" s="27" t="n"/>
      <c r="T11" s="27" t="n"/>
      <c r="U11" s="27" t="n"/>
      <c r="V11" s="4" t="n">
        <v>30</v>
      </c>
      <c r="W11" s="4" t="n">
        <v>30</v>
      </c>
      <c r="X11" s="27" t="n"/>
      <c r="Y11" s="4" t="n">
        <v>70</v>
      </c>
      <c r="Z11" s="4" t="n">
        <v>70</v>
      </c>
      <c r="AA11" s="27" t="n"/>
      <c r="AB11" s="4" t="n">
        <v>0</v>
      </c>
      <c r="AC11" s="4" t="n">
        <v>0</v>
      </c>
      <c r="AD11" s="27" t="n"/>
      <c r="AE11" s="4" t="n">
        <v>75</v>
      </c>
      <c r="AF11" s="4" t="n">
        <v>75</v>
      </c>
      <c r="AG11" s="27" t="n"/>
      <c r="AH11" s="4" t="n">
        <v>5</v>
      </c>
      <c r="AI11" s="4" t="n">
        <v>5</v>
      </c>
      <c r="AJ11" s="27" t="n"/>
      <c r="AK11" s="4" t="n">
        <v>20</v>
      </c>
      <c r="AL11" s="4" t="n">
        <v>20</v>
      </c>
      <c r="AM11" s="27" t="n"/>
      <c r="AN11" s="4" t="n">
        <v>0</v>
      </c>
      <c r="AO11" s="4" t="n">
        <v>0</v>
      </c>
      <c r="AP11" s="27" t="n"/>
      <c r="AQ11" s="4" t="n">
        <v>20</v>
      </c>
      <c r="AR11" s="4" t="n">
        <v>20</v>
      </c>
      <c r="AS11" s="27" t="n"/>
      <c r="AT11" s="4" t="n">
        <v>5</v>
      </c>
      <c r="AU11" s="4" t="n">
        <v>5</v>
      </c>
      <c r="AV11" s="27" t="n"/>
      <c r="AW11" s="4" t="n">
        <v>10</v>
      </c>
      <c r="AX11" s="4" t="n">
        <v>10</v>
      </c>
      <c r="AY11" s="27" t="n"/>
      <c r="AZ11" s="4" t="n">
        <v>30</v>
      </c>
      <c r="BA11" s="4" t="n">
        <v>30</v>
      </c>
      <c r="BB11" s="27" t="n"/>
      <c r="BC11" s="4" t="n">
        <v>5</v>
      </c>
      <c r="BD11" s="4" t="n">
        <v>5</v>
      </c>
      <c r="BE11" s="27" t="n"/>
      <c r="BF11" s="4" t="n">
        <v>5</v>
      </c>
      <c r="BG11" s="4" t="n">
        <v>5</v>
      </c>
      <c r="BH11" s="27" t="n"/>
      <c r="BI11" s="4" t="n">
        <v>5</v>
      </c>
      <c r="BJ11" s="4" t="n">
        <v>5</v>
      </c>
      <c r="BK11" s="27" t="n"/>
      <c r="BL11" s="27" t="n"/>
      <c r="BM11" s="27" t="n"/>
      <c r="BN11" s="27" t="n"/>
      <c r="BO11" s="27" t="n"/>
      <c r="BP11" s="27" t="n"/>
      <c r="BQ11" s="27" t="n"/>
      <c r="BR11" s="27" t="n"/>
      <c r="BS11" s="27" t="n"/>
      <c r="BT11" s="27" t="n"/>
      <c r="BU11" s="27" t="n"/>
      <c r="BV11" s="27" t="n"/>
      <c r="BW11" s="27" t="n"/>
      <c r="BX11" s="27" t="n"/>
      <c r="BY11" s="27" t="n"/>
      <c r="BZ11" s="27" t="n"/>
      <c r="CA11" s="27" t="n"/>
      <c r="CB11" s="27" t="n"/>
      <c r="CC11" s="27" t="n"/>
      <c r="CD11" s="27" t="n"/>
      <c r="CE11" s="27" t="n"/>
      <c r="CF11" s="27" t="n"/>
      <c r="CG11" s="27" t="n"/>
      <c r="CH11" s="27" t="n"/>
      <c r="CI11" s="27" t="n"/>
      <c r="CJ11" s="4" t="n">
        <v>10</v>
      </c>
      <c r="CK11" s="4" t="n">
        <v>10</v>
      </c>
      <c r="CL11" s="27" t="n"/>
      <c r="CM11" s="4" t="n">
        <v>3</v>
      </c>
      <c r="CN11" s="4" t="n">
        <v>3</v>
      </c>
      <c r="CO11" s="27" t="n"/>
      <c r="CP11" s="4" t="n">
        <v>5</v>
      </c>
      <c r="CQ11" s="4" t="n">
        <v>5</v>
      </c>
      <c r="CR11" s="27" t="n"/>
      <c r="CS11" s="27" t="n"/>
      <c r="CT11" s="5" t="n">
        <v>120</v>
      </c>
      <c r="CU11" s="5" t="n">
        <v>120</v>
      </c>
      <c r="CV11" s="27" t="n"/>
      <c r="CW11" s="5" t="n">
        <v>10</v>
      </c>
      <c r="CX11" s="5" t="n">
        <v>10</v>
      </c>
      <c r="CY11" s="27" t="n"/>
      <c r="CZ11" s="5" t="n">
        <v>60</v>
      </c>
      <c r="DA11" s="5" t="n">
        <v>60</v>
      </c>
      <c r="DB11" s="27" t="n"/>
      <c r="DC11" s="5" t="n">
        <v>30</v>
      </c>
      <c r="DD11" s="5" t="n">
        <v>30</v>
      </c>
      <c r="DE11" s="27" t="n"/>
      <c r="DF11" s="4" t="n">
        <v>20</v>
      </c>
      <c r="DG11" s="4" t="n">
        <v>20</v>
      </c>
      <c r="DH11" s="27" t="n"/>
      <c r="DI11" s="89" t="n">
        <v>1</v>
      </c>
      <c r="DJ11" s="4" t="n">
        <v>20</v>
      </c>
      <c r="DK11" s="4" t="n">
        <v>20</v>
      </c>
      <c r="DL11" s="27" t="n"/>
      <c r="DM11" s="4" t="n">
        <v>5</v>
      </c>
      <c r="DN11" s="4" t="n">
        <v>5</v>
      </c>
      <c r="DO11" s="27" t="n"/>
      <c r="DP11" s="4" t="n">
        <v>3</v>
      </c>
      <c r="DQ11" s="4" t="n">
        <v>3</v>
      </c>
      <c r="DR11" s="27" t="n"/>
      <c r="DS11" s="89" t="n">
        <v>1</v>
      </c>
      <c r="DT11" s="4" t="n">
        <v>60</v>
      </c>
      <c r="DU11" s="4" t="n">
        <v>60</v>
      </c>
      <c r="DV11" s="27" t="n"/>
      <c r="DW11" s="46" t="n"/>
      <c r="DX11" s="46" t="n"/>
      <c r="DY11" s="46" t="n"/>
      <c r="DZ11" s="46" t="n"/>
      <c r="EA11" s="89" t="n">
        <v>1</v>
      </c>
      <c r="EB11" s="4" t="n">
        <v>60</v>
      </c>
      <c r="EC11" s="4" t="n">
        <v>60</v>
      </c>
      <c r="ED11" s="27" t="n"/>
      <c r="EE11" s="4" t="n">
        <v>30</v>
      </c>
      <c r="EF11" s="4" t="n">
        <v>30</v>
      </c>
      <c r="EG11" s="27" t="n"/>
      <c r="EH11" s="4" t="n">
        <v>60</v>
      </c>
      <c r="EI11" s="4" t="n">
        <v>60</v>
      </c>
      <c r="EJ11" s="27" t="n"/>
      <c r="EK11" s="27" t="n"/>
      <c r="EL11" s="27" t="n"/>
      <c r="EM11" s="27" t="n"/>
      <c r="EN11" s="4" t="n">
        <v>60</v>
      </c>
      <c r="EO11" s="4" t="n">
        <v>60</v>
      </c>
      <c r="EP11" s="27" t="n"/>
      <c r="EQ11" s="4" t="n">
        <v>60</v>
      </c>
      <c r="ER11" s="4" t="n">
        <v>60</v>
      </c>
      <c r="ES11" s="27" t="n"/>
      <c r="ET11" s="4" t="n">
        <v>60</v>
      </c>
      <c r="EU11" s="4" t="n">
        <v>60</v>
      </c>
      <c r="EV11" s="27" t="n"/>
      <c r="EW11" s="4" t="n">
        <v>5</v>
      </c>
      <c r="EX11" s="4" t="n">
        <v>5</v>
      </c>
      <c r="EY11" s="27" t="n"/>
      <c r="EZ11" s="4" t="n">
        <v>5</v>
      </c>
      <c r="FA11" s="4" t="n">
        <v>5</v>
      </c>
      <c r="FB11" s="27" t="n"/>
      <c r="FC11" s="27" t="n"/>
      <c r="FD11" s="27" t="n"/>
      <c r="FE11" s="27" t="n"/>
      <c r="FF11" s="27" t="n"/>
      <c r="FG11" s="27" t="n"/>
      <c r="FH11" s="27" t="n"/>
      <c r="FI11" s="4" t="n">
        <v>15</v>
      </c>
      <c r="FJ11" s="4" t="n">
        <v>15</v>
      </c>
      <c r="FK11" s="27" t="n"/>
      <c r="FL11" s="4" t="n">
        <v>0</v>
      </c>
      <c r="FM11" s="4" t="n">
        <v>0</v>
      </c>
      <c r="FN11" s="27" t="n"/>
      <c r="FO11" s="4" t="n">
        <v>40</v>
      </c>
      <c r="FP11" s="4" t="n">
        <v>40</v>
      </c>
      <c r="FQ11" s="27" t="n"/>
      <c r="FR11" s="27" t="n"/>
      <c r="FS11" s="109" t="n"/>
      <c r="FT11" s="54">
        <f>NETWORKDAYS($I12,FO12)</f>
        <v/>
      </c>
      <c r="FU11" s="54">
        <f>NETWORKDAYS($I12,FP12)</f>
        <v/>
      </c>
      <c r="FV11" s="54">
        <f>IF(FQ12="",NETWORKDAYS($I12,FP12),NETWORKDAYS($I12,FQ12))</f>
        <v/>
      </c>
      <c r="FW11" s="55" t="inlineStr">
        <is>
          <t>Total Project</t>
        </is>
      </c>
    </row>
    <row r="12">
      <c r="A12" s="23" t="inlineStr">
        <is>
          <t>Template for Calculation</t>
        </is>
      </c>
      <c r="B12" s="23" t="n">
        <v>100001</v>
      </c>
      <c r="C12" s="23" t="n">
        <v>222</v>
      </c>
      <c r="D12" s="65" t="n"/>
      <c r="E12" s="23">
        <f>IF(D12="","Unknown",IF(D12&lt;=FM12+90,"Red",IF(AND(D12&gt;FM12+90,D12&lt;=FM12+180),"Yellow",IF(AND(D12&gt;FM12+180,D12&lt;=FM12+690),"Green","Covered"))))</f>
        <v/>
      </c>
      <c r="F12" s="25" t="inlineStr">
        <is>
          <t>BTP + Qual Part Number</t>
        </is>
      </c>
      <c r="G12" s="26" t="n"/>
      <c r="H12" s="26">
        <f>IF(CR12="","Pre-Execution","Execution")</f>
        <v/>
      </c>
      <c r="I12" s="13" t="n">
        <v>45717</v>
      </c>
      <c r="J12" s="28" t="n"/>
      <c r="K12" s="28" t="n"/>
      <c r="L12" s="28" t="n"/>
      <c r="M12" s="10">
        <f>WORKDAY(I12,M11)</f>
        <v/>
      </c>
      <c r="N12" s="10">
        <f>WORKDAY(I12,N11)</f>
        <v/>
      </c>
      <c r="O12" s="56" t="n"/>
      <c r="P12" s="10">
        <f>WORKDAY(M12,P11)</f>
        <v/>
      </c>
      <c r="Q12" s="10">
        <f>IF(O12="",WORKDAY(N12,Q11),WORKDAY(O12,Q11))</f>
        <v/>
      </c>
      <c r="R12" s="56" t="n"/>
      <c r="S12" s="28" t="n"/>
      <c r="T12" s="28" t="n"/>
      <c r="U12" s="28" t="n"/>
      <c r="V12" s="10">
        <f>WORKDAY(P12, V11)</f>
        <v/>
      </c>
      <c r="W12" s="10">
        <f>IF(R12="",WORKDAY(Q12,W11),WORKDAY(R12,W11))</f>
        <v/>
      </c>
      <c r="X12" s="56" t="n"/>
      <c r="Y12" s="10">
        <f>WORKDAY(P12,Y11)</f>
        <v/>
      </c>
      <c r="Z12" s="10">
        <f>IF(R12="",WORKDAY(Q12,Z11),WORKDAY(R12,Z11))</f>
        <v/>
      </c>
      <c r="AA12" s="56" t="n"/>
      <c r="AB12" s="10">
        <f>WORKDAY(I12,AB11)</f>
        <v/>
      </c>
      <c r="AC12" s="10">
        <f>WORKDAY(I12,AC11)</f>
        <v/>
      </c>
      <c r="AD12" s="56" t="n"/>
      <c r="AE12" s="10">
        <f>WORKDAY(AB12,AE11)</f>
        <v/>
      </c>
      <c r="AF12" s="10">
        <f>IF(AD12="",WORKDAY(AC12,AF11),WORKDAY(AD12,AF11))</f>
        <v/>
      </c>
      <c r="AG12" s="56" t="n"/>
      <c r="AH12" s="10">
        <f>WORKDAY(IF(Y12&gt;AE12,Y12,AE12),AH11)</f>
        <v/>
      </c>
      <c r="AI12" s="10">
        <f>WORKDAY(IF(AA12="",IF(Z12&gt;AF12,Z12,AF12),IF(AA12&gt;AG12,AA12,AG12)),AI11)</f>
        <v/>
      </c>
      <c r="AJ12" s="56" t="n"/>
      <c r="AK12" s="10">
        <f>WORKDAY(AH12,AK11)</f>
        <v/>
      </c>
      <c r="AL12" s="10">
        <f>IF(AJ12="",WORKDAY(AI12,AL11),WORKDAY(AJ12,AL11))</f>
        <v/>
      </c>
      <c r="AM12" s="56" t="n"/>
      <c r="AN12" s="10">
        <f>WORKDAY(AK12,AN11)</f>
        <v/>
      </c>
      <c r="AO12" s="10">
        <f>IF(AM12="",WORKDAY(AL12,AO11),WORKDAY(AM12,AO11))</f>
        <v/>
      </c>
      <c r="AP12" s="56" t="n"/>
      <c r="AQ12" s="10">
        <f>WORKDAY(AN12,AQ11)</f>
        <v/>
      </c>
      <c r="AR12" s="10">
        <f>IF(AP12="",WORKDAY(AO12,AR11),WORKDAY(AP12,AR11))</f>
        <v/>
      </c>
      <c r="AS12" s="56" t="n"/>
      <c r="AT12" s="10">
        <f>WORKDAY(AN12,AT11)</f>
        <v/>
      </c>
      <c r="AU12" s="10">
        <f>IF(O12="",WORKDAY(AO12,AU11),WORKDAY(AP12,AU11))</f>
        <v/>
      </c>
      <c r="AV12" s="56" t="n"/>
      <c r="AW12" s="10">
        <f>IF(AQ12&gt;AT12,WORKDAY(AQ12,AW11),WORKDAY(AT12,AW11))</f>
        <v/>
      </c>
      <c r="AX12" s="10">
        <f>IF(AS12="",IF(AR12&gt;AU12,WORKDAY(AR12,AX11),WORKDAY(AU12,AX11)),IF(AS12&gt;AV12,WORKDAY(AS12,AX11),WORKDAY(AV12,AX11)))</f>
        <v/>
      </c>
      <c r="AY12" s="56" t="n"/>
      <c r="AZ12" s="10">
        <f>WORKDAY(AN12,AZ11)</f>
        <v/>
      </c>
      <c r="BA12" s="10">
        <f>IF(AP12="",WORKDAY(AO12,BA11),WORKDAY(AP12,BA11))</f>
        <v/>
      </c>
      <c r="BB12" s="56" t="n"/>
      <c r="BC12" s="10">
        <f>IF(AW12&gt;AZ12,WORKDAY(AW12,BC11),WORKDAY(AZ12,BC11))</f>
        <v/>
      </c>
      <c r="BD12" s="10">
        <f>IF(AY12="",IF(AX12&gt;BA12,WORKDAY(AX12,BD11),WORKDAY(BA12,BD11)),IF(AY12&gt;BB12,WORKDAY(AY12,BD11),WORKDAY(BB12,BD11)))</f>
        <v/>
      </c>
      <c r="BE12" s="56" t="n"/>
      <c r="BF12" s="10">
        <f>WORKDAY(BC12,BF11)</f>
        <v/>
      </c>
      <c r="BG12" s="10">
        <f>IF(BE12="",WORKDAY(BD12,BG11),WORKDAY(BE12,BG11))</f>
        <v/>
      </c>
      <c r="BH12" s="56" t="n"/>
      <c r="BI12" s="10">
        <f>WORKDAY(BF12,BI11)</f>
        <v/>
      </c>
      <c r="BJ12" s="10">
        <f>IF(BH12="",WORKDAY(BG12,BJ11),WORKDAY(BH12,BJ11))</f>
        <v/>
      </c>
      <c r="BK12" s="56" t="n"/>
      <c r="BL12" s="28" t="n"/>
      <c r="BM12" s="28" t="n"/>
      <c r="BN12" s="28" t="n"/>
      <c r="BO12" s="28" t="n"/>
      <c r="BP12" s="28" t="n"/>
      <c r="BQ12" s="28" t="n"/>
      <c r="BR12" s="28" t="n"/>
      <c r="BS12" s="28" t="n"/>
      <c r="BT12" s="28" t="n"/>
      <c r="BU12" s="28" t="n"/>
      <c r="BV12" s="28" t="n"/>
      <c r="BW12" s="28" t="n"/>
      <c r="BX12" s="46" t="n"/>
      <c r="BY12" s="28" t="n"/>
      <c r="BZ12" s="28" t="n"/>
      <c r="CA12" s="28" t="n"/>
      <c r="CB12" s="28" t="n"/>
      <c r="CC12" s="28" t="n"/>
      <c r="CD12" s="28" t="n"/>
      <c r="CE12" s="28" t="n"/>
      <c r="CF12" s="28" t="n"/>
      <c r="CG12" s="28" t="n"/>
      <c r="CH12" s="28" t="n"/>
      <c r="CI12" s="28" t="n"/>
      <c r="CJ12" s="10">
        <f>WORKDAY(BI12,CJ11)</f>
        <v/>
      </c>
      <c r="CK12" s="10">
        <f>IF(BK12="",WORKDAY(BJ12,CK11),WORKDAY(BK12,CK11))</f>
        <v/>
      </c>
      <c r="CL12" s="56" t="n"/>
      <c r="CM12" s="10">
        <f>WORKDAY(CJ12,CM11)</f>
        <v/>
      </c>
      <c r="CN12" s="10">
        <f>IF(CL12="",WORKDAY(CK12,CN11),WORKDAY(CL12,CN11))</f>
        <v/>
      </c>
      <c r="CO12" s="56" t="n"/>
      <c r="CP12" s="10">
        <f>WORKDAY(CM12,CP11)</f>
        <v/>
      </c>
      <c r="CQ12" s="10">
        <f>IF(CO12="",WORKDAY(CN12,CQ11),WORKDAY(CO12,CQ11))</f>
        <v/>
      </c>
      <c r="CR12" s="56" t="n"/>
      <c r="CS12" s="77">
        <f>IF(CR12="","No Action: Still in Pre-Execution","Execution schedule has been re-baselined w/ FAIR PO Ack ACD. Validate your durations before publishing")</f>
        <v/>
      </c>
      <c r="CT12" s="10">
        <f>IF(CR12="",WORKDAY(CP12,CT11),WORKDAY(CR12,CT11))</f>
        <v/>
      </c>
      <c r="CU12" s="10">
        <f>IF(CR12="",WORKDAY(CQ12,CU11),WORKDAY(CR12,CU11))</f>
        <v/>
      </c>
      <c r="CV12" s="56" t="n"/>
      <c r="CW12" s="10">
        <f>WORKDAY(AZ12,CW11)</f>
        <v/>
      </c>
      <c r="CX12" s="10">
        <f>IF(BB12="",WORKDAY(BA12,CX11),WORKDAY(BB12,CX11))</f>
        <v/>
      </c>
      <c r="CY12" s="56" t="n"/>
      <c r="CZ12" s="10">
        <f>WORKDAY(CW12,CZ11)</f>
        <v/>
      </c>
      <c r="DA12" s="10">
        <f>IF(CY12="",WORKDAY(CX12,DA11),WORKDAY(CY12,DA11))</f>
        <v/>
      </c>
      <c r="DB12" s="56" t="n"/>
      <c r="DC12" s="10">
        <f>IF($CU12&gt;$DA12,WORKDAY($CU12,DC11),WORKDAY($DA12,DC11))</f>
        <v/>
      </c>
      <c r="DD12" s="10">
        <f>IF(CV12="",IF($CU12&gt;$DA12,WORKDAY($CU12,DD11),WORKDAY($DA12,DD11)),IF($CV12&gt;$DB12,WORKDAY($CV12,DD11),WORKDAY($DB12,DD11)))</f>
        <v/>
      </c>
      <c r="DE12" s="56" t="n"/>
      <c r="DF12" s="10">
        <f>WORKDAY(DC12,DF11)</f>
        <v/>
      </c>
      <c r="DG12" s="10">
        <f>IF(DE12="",WORKDAY(DD12,DG11),WORKDAY(DE12,DG11))</f>
        <v/>
      </c>
      <c r="DH12" s="56" t="n"/>
      <c r="DI12" s="46" t="n"/>
      <c r="DJ12" s="10">
        <f>WORKDAY(DF12,DJ11*$DI11)</f>
        <v/>
      </c>
      <c r="DK12" s="10">
        <f>IF(DH12="",WORKDAY(DG12,DK11*$DI11),WORKDAY(DH12,DK11*$DI11))</f>
        <v/>
      </c>
      <c r="DL12" s="56" t="n"/>
      <c r="DM12" s="10">
        <f>WORKDAY(DJ12,DM11)</f>
        <v/>
      </c>
      <c r="DN12" s="10">
        <f>IF(DL12="",WORKDAY(DK12,DN11),WORKDAY(DL12,DN11))</f>
        <v/>
      </c>
      <c r="DO12" s="56" t="n"/>
      <c r="DP12" s="10">
        <f>WORKDAY(DM12,DP11)</f>
        <v/>
      </c>
      <c r="DQ12" s="10">
        <f>IF(DO12="",WORKDAY(DN12,DQ11),WORKDAY(DO12,DQ11))</f>
        <v/>
      </c>
      <c r="DR12" s="56" t="n"/>
      <c r="DS12" s="46" t="n"/>
      <c r="DT12" s="10">
        <f>WORKDAY(DP12,DT11*$DS11)</f>
        <v/>
      </c>
      <c r="DU12" s="10">
        <f>IF(DR12="",WORKDAY(DQ12,DU11*$DS11),WORKDAY(DR12,DU11*$DS11))</f>
        <v/>
      </c>
      <c r="DV12" s="56" t="n"/>
      <c r="DW12" s="46" t="n"/>
      <c r="DX12" s="46" t="n"/>
      <c r="DY12" s="46" t="n"/>
      <c r="DZ12" s="46" t="n"/>
      <c r="EA12" s="46" t="n"/>
      <c r="EB12" s="10">
        <f>WORKDAY(DT12,EB11*$EA11)</f>
        <v/>
      </c>
      <c r="EC12" s="10">
        <f>IF(DV12="",WORKDAY(DU12,EC11*$EA11),WORKDAY(DV12,EC11*$EA11))</f>
        <v/>
      </c>
      <c r="ED12" s="56" t="n"/>
      <c r="EE12" s="10">
        <f>WORKDAY(EB12,EE11)</f>
        <v/>
      </c>
      <c r="EF12" s="10">
        <f>IF(ED12="",WORKDAY(EC12,EF11),WORKDAY(ED12,EF11))</f>
        <v/>
      </c>
      <c r="EG12" s="56" t="n"/>
      <c r="EH12" s="10">
        <f>IF(CR12="",WORKDAY(BF12,EH11),WORKDAY(BH12,EH11))</f>
        <v/>
      </c>
      <c r="EI12" s="10">
        <f>IF(BH12="",WORKDAY(BG12,EI11),WORKDAY(BH12,EI11))</f>
        <v/>
      </c>
      <c r="EJ12" s="56" t="n"/>
      <c r="EK12" s="27" t="n"/>
      <c r="EL12" s="27" t="n"/>
      <c r="EM12" s="27" t="n"/>
      <c r="EN12" s="10">
        <f>WORKDAY(EE12,EN11)</f>
        <v/>
      </c>
      <c r="EO12" s="10">
        <f>IF(EG12="",WORKDAY(EF12,EO11),WORKDAY(EG12,EO11))</f>
        <v/>
      </c>
      <c r="EP12" s="56" t="n"/>
      <c r="EQ12" s="10">
        <f>WORKDAY(EE12,EQ11)</f>
        <v/>
      </c>
      <c r="ER12" s="10">
        <f>IF(EG12="",WORKDAY(EF12,ER11),WORKDAY(EG12,ER11))</f>
        <v/>
      </c>
      <c r="ES12" s="56" t="n"/>
      <c r="ET12" s="10">
        <f>WORKDAY(EE12,ET11)</f>
        <v/>
      </c>
      <c r="EU12" s="10">
        <f>IF(EG12="",WORKDAY(EF12,EU11),WORKDAY(EG12,EU11))</f>
        <v/>
      </c>
      <c r="EV12" s="56" t="n"/>
      <c r="EW12" s="10">
        <f>WORKDAY(IF(EN12&gt;EQ12,(IF(EN12&gt;ET12,EN12,ET12)),IF(EQ12&gt;ET12,EQ12,ET12)),EW11)</f>
        <v/>
      </c>
      <c r="EX12" s="10">
        <f>IF(EP12="",WORKDAY(IF(EO12&gt;ER12,(IF(EO12&gt;EU12,EO12,EU12)),IF(ER12&gt;EU12,ER12,EU12)),EX11),WORKDAY(IF(EP12&gt;ES12,(IF(EP12&gt;EV12,EP12,EV12)),IF(ES12&gt;EV12,ES12,EV12)),EX11))</f>
        <v/>
      </c>
      <c r="EY12" s="56" t="n"/>
      <c r="EZ12" s="10">
        <f>WORKDAY(EW12,EZ11)</f>
        <v/>
      </c>
      <c r="FA12" s="10">
        <f>IF(EY12="",WORKDAY(EX12,FA11),WORKDAY(EY12,FA11))</f>
        <v/>
      </c>
      <c r="FB12" s="56" t="n"/>
      <c r="FC12" s="28" t="n"/>
      <c r="FD12" s="28" t="n"/>
      <c r="FE12" s="28" t="n"/>
      <c r="FF12" s="28" t="n"/>
      <c r="FG12" s="28" t="n"/>
      <c r="FH12" s="28" t="n"/>
      <c r="FI12" s="10">
        <f>WORKDAY(EZ12,FI11)</f>
        <v/>
      </c>
      <c r="FJ12" s="10">
        <f>IF(FB12="",WORKDAY(FA12,FJ11),WORKDAY(FB12,FJ11))</f>
        <v/>
      </c>
      <c r="FK12" s="56" t="n"/>
      <c r="FL12" s="10">
        <f>WORKDAY(FI12,FL11)</f>
        <v/>
      </c>
      <c r="FM12" s="10">
        <f>IF(FK12="",WORKDAY(FJ12,FM11),WORKDAY(FK12,FM11))</f>
        <v/>
      </c>
      <c r="FN12" s="56" t="n"/>
      <c r="FO12" s="10">
        <f>WORKDAY(FL12,FO11)</f>
        <v/>
      </c>
      <c r="FP12" s="10">
        <f>WORKDAY(FM12,FP11)</f>
        <v/>
      </c>
      <c r="FQ12" s="56" t="n"/>
      <c r="FR12" s="77">
        <f>IF(NETWORKDAYS(FJ12,FO12)&gt;=30,"On-Track",IF(AND(NETWORKDAYS(FJ12,FO12)&lt;30,FJ12&lt;=FO12),"At Risk","Missed TCD"))</f>
        <v/>
      </c>
      <c r="FS12" s="110" t="n"/>
      <c r="FT12" s="57">
        <f>NETWORKDAYS(CP12,FI12)</f>
        <v/>
      </c>
      <c r="FU12" s="57">
        <f>NETWORKDAYS(CQ12,FJ12)</f>
        <v/>
      </c>
      <c r="FV12" s="57">
        <f>IF(BH12="",NETWORKDAYS(BG12,FJ12),IF(FK12="",NETWORKDAYS(BH12,FJ12),NETWORKDAYS(BH12,FK12)))</f>
        <v/>
      </c>
      <c r="FW12" s="58" t="inlineStr">
        <is>
          <t>Execution Only</t>
        </is>
      </c>
    </row>
    <row r="13" outlineLevel="1">
      <c r="A13" s="23" t="n"/>
      <c r="B13" s="23" t="n"/>
      <c r="C13" s="24" t="n"/>
      <c r="D13" s="95" t="n"/>
      <c r="E13" s="24" t="n"/>
      <c r="F13" s="25" t="inlineStr">
        <is>
          <t>Durations in WD</t>
        </is>
      </c>
      <c r="G13" s="26" t="n"/>
      <c r="H13" s="26" t="n"/>
      <c r="I13" s="27" t="n"/>
      <c r="J13" s="4" t="n">
        <v>45</v>
      </c>
      <c r="K13" s="4" t="n">
        <v>45</v>
      </c>
      <c r="L13" s="27" t="n"/>
      <c r="M13" s="4" t="n">
        <v>0</v>
      </c>
      <c r="N13" s="4" t="n">
        <v>0</v>
      </c>
      <c r="O13" s="27" t="n"/>
      <c r="P13" s="4" t="n">
        <v>31</v>
      </c>
      <c r="Q13" s="4" t="n">
        <v>31</v>
      </c>
      <c r="R13" s="27" t="n"/>
      <c r="S13" s="4" t="n">
        <v>30</v>
      </c>
      <c r="T13" s="4" t="n">
        <v>30</v>
      </c>
      <c r="U13" s="27" t="n"/>
      <c r="V13" s="29" t="n"/>
      <c r="W13" s="29" t="n"/>
      <c r="X13" s="29" t="n"/>
      <c r="Y13" s="4" t="n">
        <v>50</v>
      </c>
      <c r="Z13" s="4" t="n">
        <v>50</v>
      </c>
      <c r="AA13" s="27" t="n"/>
      <c r="AB13" s="4" t="n">
        <v>0</v>
      </c>
      <c r="AC13" s="4" t="n">
        <v>0</v>
      </c>
      <c r="AD13" s="27" t="n"/>
      <c r="AE13" s="4" t="n">
        <v>75</v>
      </c>
      <c r="AF13" s="4" t="n">
        <v>75</v>
      </c>
      <c r="AG13" s="27" t="n"/>
      <c r="AH13" s="4" t="n">
        <v>5</v>
      </c>
      <c r="AI13" s="4" t="n">
        <v>5</v>
      </c>
      <c r="AJ13" s="27" t="n"/>
      <c r="AK13" s="4" t="n">
        <v>20</v>
      </c>
      <c r="AL13" s="4" t="n">
        <v>20</v>
      </c>
      <c r="AM13" s="27" t="n"/>
      <c r="AN13" s="4" t="n">
        <v>0</v>
      </c>
      <c r="AO13" s="4" t="n">
        <v>0</v>
      </c>
      <c r="AP13" s="27" t="n"/>
      <c r="AQ13" s="4" t="n">
        <v>20</v>
      </c>
      <c r="AR13" s="4" t="n">
        <v>20</v>
      </c>
      <c r="AS13" s="27" t="n"/>
      <c r="AT13" s="4" t="n">
        <v>5</v>
      </c>
      <c r="AU13" s="4" t="n">
        <v>5</v>
      </c>
      <c r="AV13" s="27" t="n"/>
      <c r="AW13" s="4" t="n">
        <v>10</v>
      </c>
      <c r="AX13" s="4" t="n">
        <v>10</v>
      </c>
      <c r="AY13" s="27" t="n"/>
      <c r="AZ13" s="4" t="n">
        <v>0</v>
      </c>
      <c r="BA13" s="4" t="n">
        <v>0</v>
      </c>
      <c r="BB13" s="27" t="n"/>
      <c r="BC13" s="4" t="n">
        <v>5</v>
      </c>
      <c r="BD13" s="4" t="n">
        <v>5</v>
      </c>
      <c r="BE13" s="27" t="n"/>
      <c r="BF13" s="4" t="n">
        <v>5</v>
      </c>
      <c r="BG13" s="4" t="n">
        <v>5</v>
      </c>
      <c r="BH13" s="27" t="n"/>
      <c r="BI13" s="4" t="n">
        <v>5</v>
      </c>
      <c r="BJ13" s="4" t="n">
        <v>5</v>
      </c>
      <c r="BK13" s="27" t="n"/>
      <c r="BL13" s="4" t="n">
        <v>5</v>
      </c>
      <c r="BM13" s="4" t="n">
        <v>5</v>
      </c>
      <c r="BN13" s="27" t="n"/>
      <c r="BO13" s="4" t="n">
        <v>5</v>
      </c>
      <c r="BP13" s="4" t="n">
        <v>5</v>
      </c>
      <c r="BQ13" s="27" t="n"/>
      <c r="BR13" s="4" t="n">
        <v>5</v>
      </c>
      <c r="BS13" s="4" t="n">
        <v>5</v>
      </c>
      <c r="BT13" s="27" t="n"/>
      <c r="BU13" s="4" t="n">
        <v>5</v>
      </c>
      <c r="BV13" s="4" t="n">
        <v>5</v>
      </c>
      <c r="BW13" s="27" t="n"/>
      <c r="BX13" s="4" t="n">
        <v>5</v>
      </c>
      <c r="BY13" s="4" t="n">
        <v>5</v>
      </c>
      <c r="BZ13" s="27" t="n"/>
      <c r="CA13" s="4" t="n">
        <v>5</v>
      </c>
      <c r="CB13" s="4" t="n">
        <v>5</v>
      </c>
      <c r="CC13" s="27" t="n"/>
      <c r="CD13" s="4" t="n">
        <v>15</v>
      </c>
      <c r="CE13" s="4" t="n">
        <v>15</v>
      </c>
      <c r="CF13" s="27" t="n"/>
      <c r="CG13" s="4" t="n">
        <v>15</v>
      </c>
      <c r="CH13" s="4" t="n">
        <v>15</v>
      </c>
      <c r="CI13" s="27" t="n"/>
      <c r="CJ13" s="4" t="n">
        <v>10</v>
      </c>
      <c r="CK13" s="4" t="n">
        <v>10</v>
      </c>
      <c r="CL13" s="27" t="n"/>
      <c r="CM13" s="4" t="n">
        <v>3</v>
      </c>
      <c r="CN13" s="4" t="n">
        <v>3</v>
      </c>
      <c r="CO13" s="27" t="n"/>
      <c r="CP13" s="4" t="n">
        <v>5</v>
      </c>
      <c r="CQ13" s="4" t="n">
        <v>5</v>
      </c>
      <c r="CR13" s="27" t="n"/>
      <c r="CS13" s="27" t="n"/>
      <c r="CT13" s="5" t="n">
        <v>120</v>
      </c>
      <c r="CU13" s="5" t="n">
        <v>120</v>
      </c>
      <c r="CV13" s="27" t="n"/>
      <c r="CW13" s="5" t="n">
        <v>0</v>
      </c>
      <c r="CX13" s="5" t="n">
        <v>0</v>
      </c>
      <c r="CY13" s="27" t="n"/>
      <c r="CZ13" s="5" t="n">
        <v>0</v>
      </c>
      <c r="DA13" s="5" t="n">
        <v>0</v>
      </c>
      <c r="DB13" s="27" t="n"/>
      <c r="DC13" s="31" t="n"/>
      <c r="DD13" s="31" t="n"/>
      <c r="DE13" s="27" t="n"/>
      <c r="DF13" s="4" t="n">
        <v>120</v>
      </c>
      <c r="DG13" s="4" t="n">
        <v>120</v>
      </c>
      <c r="DH13" s="27" t="n"/>
      <c r="DI13" s="89" t="n">
        <v>1</v>
      </c>
      <c r="DJ13" s="4" t="n">
        <v>20</v>
      </c>
      <c r="DK13" s="4" t="n">
        <v>20</v>
      </c>
      <c r="DL13" s="27" t="n"/>
      <c r="DM13" s="4" t="n">
        <v>5</v>
      </c>
      <c r="DN13" s="4" t="n">
        <v>5</v>
      </c>
      <c r="DO13" s="27" t="n"/>
      <c r="DP13" s="4" t="n">
        <v>3</v>
      </c>
      <c r="DQ13" s="4" t="n">
        <v>3</v>
      </c>
      <c r="DR13" s="27" t="n"/>
      <c r="DS13" s="89" t="n">
        <v>1</v>
      </c>
      <c r="DT13" s="4" t="n">
        <v>60</v>
      </c>
      <c r="DU13" s="4" t="n">
        <v>60</v>
      </c>
      <c r="DV13" s="27" t="n"/>
      <c r="DW13" s="46" t="n"/>
      <c r="DX13" s="46" t="n"/>
      <c r="DY13" s="46" t="n"/>
      <c r="DZ13" s="46" t="n"/>
      <c r="EA13" s="89" t="n">
        <v>1</v>
      </c>
      <c r="EB13" s="4" t="n">
        <v>60</v>
      </c>
      <c r="EC13" s="4" t="n">
        <v>60</v>
      </c>
      <c r="ED13" s="27" t="n"/>
      <c r="EE13" s="4" t="n">
        <v>30</v>
      </c>
      <c r="EF13" s="4" t="n">
        <v>30</v>
      </c>
      <c r="EG13" s="27" t="n"/>
      <c r="EH13" s="4" t="n">
        <v>120</v>
      </c>
      <c r="EI13" s="4" t="n">
        <v>120</v>
      </c>
      <c r="EJ13" s="27" t="n"/>
      <c r="EK13" s="4" t="n">
        <v>3</v>
      </c>
      <c r="EL13" s="4" t="n">
        <v>3</v>
      </c>
      <c r="EM13" s="27" t="n"/>
      <c r="EN13" s="4" t="n">
        <v>60</v>
      </c>
      <c r="EO13" s="4" t="n">
        <v>60</v>
      </c>
      <c r="EP13" s="27" t="n"/>
      <c r="EQ13" s="4" t="n">
        <v>60</v>
      </c>
      <c r="ER13" s="4" t="n">
        <v>60</v>
      </c>
      <c r="ES13" s="27" t="n"/>
      <c r="ET13" s="4" t="n">
        <v>60</v>
      </c>
      <c r="EU13" s="4" t="n">
        <v>60</v>
      </c>
      <c r="EV13" s="27" t="n"/>
      <c r="EW13" s="4" t="n">
        <v>5</v>
      </c>
      <c r="EX13" s="4" t="n">
        <v>5</v>
      </c>
      <c r="EY13" s="27" t="n"/>
      <c r="EZ13" s="4" t="n">
        <v>5</v>
      </c>
      <c r="FA13" s="4" t="n">
        <v>5</v>
      </c>
      <c r="FB13" s="27" t="n"/>
      <c r="FC13" s="4" t="n">
        <v>20</v>
      </c>
      <c r="FD13" s="4" t="n">
        <v>20</v>
      </c>
      <c r="FE13" s="27" t="n"/>
      <c r="FF13" s="4" t="n">
        <v>5</v>
      </c>
      <c r="FG13" s="4" t="n">
        <v>5</v>
      </c>
      <c r="FH13" s="27" t="n"/>
      <c r="FI13" s="4" t="n">
        <v>5</v>
      </c>
      <c r="FJ13" s="4" t="n">
        <v>5</v>
      </c>
      <c r="FK13" s="27" t="n"/>
      <c r="FL13" s="4" t="n">
        <v>0</v>
      </c>
      <c r="FM13" s="4" t="n">
        <v>0</v>
      </c>
      <c r="FN13" s="27" t="n"/>
      <c r="FO13" s="4" t="n">
        <v>40</v>
      </c>
      <c r="FP13" s="4" t="n">
        <v>40</v>
      </c>
      <c r="FQ13" s="27" t="n"/>
      <c r="FR13" s="27" t="n"/>
      <c r="FS13" s="109" t="n"/>
      <c r="FT13" s="54">
        <f>NETWORKDAYS($I14,FO14)</f>
        <v/>
      </c>
      <c r="FU13" s="54">
        <f>NETWORKDAYS($I14,FP14)</f>
        <v/>
      </c>
      <c r="FV13" s="54">
        <f>IF(FQ14="",NETWORKDAYS($I14,FP14),NETWORKDAYS($I14,FQ14))</f>
        <v/>
      </c>
      <c r="FW13" s="55" t="inlineStr">
        <is>
          <t>Total Project</t>
        </is>
      </c>
    </row>
    <row r="14">
      <c r="A14" s="23" t="inlineStr">
        <is>
          <t>Template for Calculation</t>
        </is>
      </c>
      <c r="B14" s="23" t="n">
        <v>100002</v>
      </c>
      <c r="C14" s="23" t="n">
        <v>333</v>
      </c>
      <c r="D14" s="65" t="n"/>
      <c r="E14" s="23">
        <f>IF(D14="","Unknown",IF(D14&lt;=FM14+90,"Red",IF(AND(D14&gt;FM14+90,D14&lt;=FM14+180),"Yellow",IF(AND(D14&gt;FM14+180,D14&lt;=FM14+690),"Green","Covered"))))</f>
        <v/>
      </c>
      <c r="F14" s="25" t="inlineStr">
        <is>
          <t>BTS Part Number</t>
        </is>
      </c>
      <c r="G14" s="26" t="n"/>
      <c r="H14" s="26">
        <f>IF(CR14="","Pre-Execution","Execution")</f>
        <v/>
      </c>
      <c r="I14" s="13" t="n">
        <v>45717</v>
      </c>
      <c r="J14" s="10">
        <f>WORKDAY(I14,J13)</f>
        <v/>
      </c>
      <c r="K14" s="10">
        <f>WORKDAY(I14,K13)</f>
        <v/>
      </c>
      <c r="L14" s="56" t="n"/>
      <c r="M14" s="10">
        <f>WORKDAY(J14,M13)</f>
        <v/>
      </c>
      <c r="N14" s="10">
        <f>IF(L14="",WORKDAY(K14,N13),WORKDAY(L14,N13))</f>
        <v/>
      </c>
      <c r="O14" s="56" t="n"/>
      <c r="P14" s="10">
        <f>WORKDAY(M14,P13)</f>
        <v/>
      </c>
      <c r="Q14" s="10">
        <f>IF(O14="",WORKDAY(N14,Q13),WORKDAY(O14,Q13))</f>
        <v/>
      </c>
      <c r="R14" s="56" t="n"/>
      <c r="S14" s="10">
        <f>WORKDAY(P14, S13)</f>
        <v/>
      </c>
      <c r="T14" s="10">
        <f>IF(R14="",WORKDAY(Q14,T13),WORKDAY(R14,T13))</f>
        <v/>
      </c>
      <c r="U14" s="56" t="n"/>
      <c r="V14" s="47" t="n"/>
      <c r="W14" s="47" t="n"/>
      <c r="X14" s="47" t="n"/>
      <c r="Y14" s="10">
        <f>WORKDAY(P14,Y13)</f>
        <v/>
      </c>
      <c r="Z14" s="10">
        <f>IF(R14="",WORKDAY(Q14,Z13),WORKDAY(R14,Z13))</f>
        <v/>
      </c>
      <c r="AA14" s="56" t="n"/>
      <c r="AB14" s="10">
        <f>WORKDAY(I14,AB13)</f>
        <v/>
      </c>
      <c r="AC14" s="10">
        <f>WORKDAY(I14,AC13)</f>
        <v/>
      </c>
      <c r="AD14" s="56" t="n"/>
      <c r="AE14" s="10">
        <f>WORKDAY(AB14,AE13)</f>
        <v/>
      </c>
      <c r="AF14" s="10">
        <f>IF(AD14="",WORKDAY(AC14,AF13),WORKDAY(AD14,AF13))</f>
        <v/>
      </c>
      <c r="AG14" s="56" t="n"/>
      <c r="AH14" s="10">
        <f>WORKDAY(IF(S14&gt;Y14,(IF(S14&gt;AE14,S14,AE14)),IF(Y14&gt;AE14,Y14,AE14)),AH13)</f>
        <v/>
      </c>
      <c r="AI14" s="10">
        <f>IF(U14="",WORKDAY(IF(T14&gt;Z14,(IF(T14&gt;AF14,T14,AF14)),IF(Z14&gt;AF14,Z14,AF14)),AI13),WORKDAY(IF(U14&gt;AA14,(IF(U14&gt;AG14,U14,AG14)),IF(AA14&gt;AG14,AA14,AG14)),AI13))</f>
        <v/>
      </c>
      <c r="AJ14" s="56" t="n"/>
      <c r="AK14" s="10">
        <f>WORKDAY(AH14,AK13)</f>
        <v/>
      </c>
      <c r="AL14" s="10">
        <f>IF(AJ14="",WORKDAY(AI14,AL13),WORKDAY(AJ14,AL13))</f>
        <v/>
      </c>
      <c r="AM14" s="56" t="n"/>
      <c r="AN14" s="10">
        <f>WORKDAY(AK14,AN13)</f>
        <v/>
      </c>
      <c r="AO14" s="10">
        <f>IF(AM14="",WORKDAY(AL14,AO13),WORKDAY(AM14,AO13))</f>
        <v/>
      </c>
      <c r="AP14" s="56" t="n"/>
      <c r="AQ14" s="10">
        <f>WORKDAY(AN14,AQ13)</f>
        <v/>
      </c>
      <c r="AR14" s="10">
        <f>IF(AP14="",WORKDAY(AO14,AR13),WORKDAY(AP14,AR13))</f>
        <v/>
      </c>
      <c r="AS14" s="56" t="n"/>
      <c r="AT14" s="10">
        <f>WORKDAY(AN14,AT13)</f>
        <v/>
      </c>
      <c r="AU14" s="10">
        <f>IF(O14="",WORKDAY(AO14,AU13),WORKDAY(AP14,AU13))</f>
        <v/>
      </c>
      <c r="AV14" s="56" t="n"/>
      <c r="AW14" s="10">
        <f>IF(AQ14&gt;AT14,WORKDAY(AQ14,AW13),WORKDAY(AT14,AW13))</f>
        <v/>
      </c>
      <c r="AX14" s="10">
        <f>IF(AS14="",IF(AR14&gt;AU14,WORKDAY(AR14,AX13),WORKDAY(AU14,AX13)),IF(AS14&gt;AV14,WORKDAY(AS14,AX13),WORKDAY(AV14,AX13)))</f>
        <v/>
      </c>
      <c r="AY14" s="56" t="n"/>
      <c r="AZ14" s="10">
        <f>WORKDAY(AN14,AZ13)</f>
        <v/>
      </c>
      <c r="BA14" s="10">
        <f>IF(AP14="",WORKDAY(AO14,BA13),WORKDAY(AP14,BA13))</f>
        <v/>
      </c>
      <c r="BB14" s="56" t="n"/>
      <c r="BC14" s="10">
        <f>IF(AW14&gt;AZ14,WORKDAY(AW14,BC13),WORKDAY(AZ14,BC13))</f>
        <v/>
      </c>
      <c r="BD14" s="10">
        <f>IF(AY14="",IF(AX14&gt;BA14,WORKDAY(AX14,BD13),WORKDAY(BA14,BD13)),IF(AY14&gt;BB14,WORKDAY(AY14,BD13),WORKDAY(BB14,BD13)))</f>
        <v/>
      </c>
      <c r="BE14" s="56" t="n"/>
      <c r="BF14" s="10">
        <f>WORKDAY(BC14,BF13)</f>
        <v/>
      </c>
      <c r="BG14" s="10">
        <f>IF(BE14="",WORKDAY(BD14,BG13),WORKDAY(BE14,BG13))</f>
        <v/>
      </c>
      <c r="BH14" s="56" t="n"/>
      <c r="BI14" s="10">
        <f>WORKDAY(BF14,BI13)</f>
        <v/>
      </c>
      <c r="BJ14" s="10">
        <f>IF(BH14="",WORKDAY(BG14,BJ13),WORKDAY(BH14,BJ13))</f>
        <v/>
      </c>
      <c r="BK14" s="56" t="n"/>
      <c r="BL14" s="10">
        <f>WORKDAY(BI14,BL13)</f>
        <v/>
      </c>
      <c r="BM14" s="10">
        <f>IF(BK14="",WORKDAY(BJ14,BM13),WORKDAY(BK14,BM13))</f>
        <v/>
      </c>
      <c r="BN14" s="56" t="n"/>
      <c r="BO14" s="10">
        <f>WORKDAY(BL14,BO13)</f>
        <v/>
      </c>
      <c r="BP14" s="10">
        <f>IF(BN14="",WORKDAY(BM14,BP13),WORKDAY(BN14,BP13))</f>
        <v/>
      </c>
      <c r="BQ14" s="56" t="n"/>
      <c r="BR14" s="10">
        <f>WORKDAY(BO14,BR13)</f>
        <v/>
      </c>
      <c r="BS14" s="10">
        <f>IF(BQ14="",WORKDAY(BP14,BS13),WORKDAY(BQ14,BS13))</f>
        <v/>
      </c>
      <c r="BT14" s="56" t="n"/>
      <c r="BU14" s="10">
        <f>WORKDAY(BR14,BU13)</f>
        <v/>
      </c>
      <c r="BV14" s="10">
        <f>IF(BT14="",WORKDAY(BS14,BV13),WORKDAY(BT14,BV13))</f>
        <v/>
      </c>
      <c r="BW14" s="56" t="n"/>
      <c r="BX14" s="10">
        <f>WORKDAY(BU14,BX13)</f>
        <v/>
      </c>
      <c r="BY14" s="10">
        <f>IF(BW14="",WORKDAY(BV14,BY13),WORKDAY(BW14,BY13))</f>
        <v/>
      </c>
      <c r="BZ14" s="56" t="n"/>
      <c r="CA14" s="10">
        <f>WORKDAY(BX14,CA13)</f>
        <v/>
      </c>
      <c r="CB14" s="10">
        <f>IF(BZ14="",WORKDAY(BY14,CB13),WORKDAY(BZ14,CB13))</f>
        <v/>
      </c>
      <c r="CC14" s="56" t="n"/>
      <c r="CD14" s="10">
        <f>WORKDAY(BX14,CD13)</f>
        <v/>
      </c>
      <c r="CE14" s="10">
        <f>IF(BZ14="",WORKDAY(BY14,CE13),WORKDAY(BZ14,CE13))</f>
        <v/>
      </c>
      <c r="CF14" s="56" t="n"/>
      <c r="CG14" s="10">
        <f>WORKDAY(BX14,CG13)</f>
        <v/>
      </c>
      <c r="CH14" s="10">
        <f>IF(BZ14="",WORKDAY(BY14,CH13),WORKDAY(BZ14,CH13))</f>
        <v/>
      </c>
      <c r="CI14" s="56" t="n"/>
      <c r="CJ14" s="10">
        <f>WORKDAY(CD14,CJ13)</f>
        <v/>
      </c>
      <c r="CK14" s="10">
        <f>IF(CF14="",WORKDAY(CE14,CK13),WORKDAY(CF14,CK13))</f>
        <v/>
      </c>
      <c r="CL14" s="56" t="n"/>
      <c r="CM14" s="10">
        <f>WORKDAY(CJ14,CM13)</f>
        <v/>
      </c>
      <c r="CN14" s="10">
        <f>IF(CL14="",WORKDAY(CK14,CN13),WORKDAY(CL14,CN13))</f>
        <v/>
      </c>
      <c r="CO14" s="56" t="n"/>
      <c r="CP14" s="10">
        <f>WORKDAY(CM14,CP13)</f>
        <v/>
      </c>
      <c r="CQ14" s="10">
        <f>IF(CO14="",WORKDAY(CN14,CQ13),WORKDAY(CO14,CQ13))</f>
        <v/>
      </c>
      <c r="CR14" s="56" t="n"/>
      <c r="CS14" s="77">
        <f>IF(CR14="","No Action: Still in Pre-Execution","Execution schedule has been re-baselined w/ FAIR PO Ack ACD. Validate your durations before publishing")</f>
        <v/>
      </c>
      <c r="CT14" s="10">
        <f>IF(CR14="",WORKDAY(CP14,CT13),WORKDAY(CR14,CT13))</f>
        <v/>
      </c>
      <c r="CU14" s="10">
        <f>IF(CR14="",WORKDAY(CQ14,CU13),WORKDAY(CR14,CU13))</f>
        <v/>
      </c>
      <c r="CV14" s="56" t="n"/>
      <c r="CW14" s="10">
        <f>WORKDAY(AZ14,CW13)</f>
        <v/>
      </c>
      <c r="CX14" s="10">
        <f>IF(BB14="",WORKDAY(BA14,CX13),WORKDAY(BB14,CX13))</f>
        <v/>
      </c>
      <c r="CY14" s="56" t="n"/>
      <c r="CZ14" s="10">
        <f>WORKDAY(CW14,CZ13)</f>
        <v/>
      </c>
      <c r="DA14" s="10">
        <f>IF(CY14="",WORKDAY(CX14,DA13),WORKDAY(CY14,DA13))</f>
        <v/>
      </c>
      <c r="DB14" s="56" t="n"/>
      <c r="DC14" s="45" t="n"/>
      <c r="DD14" s="45" t="n"/>
      <c r="DE14" s="27" t="n"/>
      <c r="DF14" s="10">
        <f>WORKDAY(CT14,DF13)</f>
        <v/>
      </c>
      <c r="DG14" s="10">
        <f>IF(CV14="",WORKDAY(CU14,DG13),WORKDAY(CV14,DG13))</f>
        <v/>
      </c>
      <c r="DH14" s="56" t="n"/>
      <c r="DI14" s="46" t="n"/>
      <c r="DJ14" s="10">
        <f>WORKDAY(DF14,DJ13*DI13)</f>
        <v/>
      </c>
      <c r="DK14" s="10">
        <f>IF(DH14="",WORKDAY(DG14,DK13*DI13),WORKDAY(DH14,DK13*DI13))</f>
        <v/>
      </c>
      <c r="DL14" s="56" t="n"/>
      <c r="DM14" s="10">
        <f>WORKDAY(DJ14,DM13)</f>
        <v/>
      </c>
      <c r="DN14" s="10">
        <f>IF(DL14="",WORKDAY(DK14,DN13),WORKDAY(DL14,DN13))</f>
        <v/>
      </c>
      <c r="DO14" s="56" t="n"/>
      <c r="DP14" s="10">
        <f>WORKDAY(DM14,DP13)</f>
        <v/>
      </c>
      <c r="DQ14" s="10">
        <f>IF(DO14="",WORKDAY(DN14,DQ13),WORKDAY(DO14,DQ13))</f>
        <v/>
      </c>
      <c r="DR14" s="56" t="n"/>
      <c r="DS14" s="46" t="n"/>
      <c r="DT14" s="10">
        <f>WORKDAY(DP14,DT13*$DS13)</f>
        <v/>
      </c>
      <c r="DU14" s="10">
        <f>IF(DR14="",WORKDAY(DQ14,DU13*$DS13),WORKDAY(DR14,DU13*$DS13))</f>
        <v/>
      </c>
      <c r="DV14" s="56" t="n"/>
      <c r="DW14" s="46" t="n"/>
      <c r="DX14" s="46" t="n"/>
      <c r="DY14" s="46" t="n"/>
      <c r="DZ14" s="46" t="n"/>
      <c r="EA14" s="46" t="n"/>
      <c r="EB14" s="10">
        <f>WORKDAY(DT14,EB13*$EA13)</f>
        <v/>
      </c>
      <c r="EC14" s="10">
        <f>IF(DV14="",WORKDAY(DU14,EC13*$EA13),WORKDAY(DV14,EC13*$EA13))</f>
        <v/>
      </c>
      <c r="ED14" s="56" t="n"/>
      <c r="EE14" s="10">
        <f>WORKDAY(EB14,EE13)</f>
        <v/>
      </c>
      <c r="EF14" s="10">
        <f>IF(ED14="",WORKDAY(EC14,EF13),WORKDAY(ED14,EF13))</f>
        <v/>
      </c>
      <c r="EG14" s="56" t="n"/>
      <c r="EH14" s="10">
        <f>IF(CR14="",WORKDAY(BF14,EH13),WORKDAY(BH14,EH13))</f>
        <v/>
      </c>
      <c r="EI14" s="10">
        <f>IF(BH14="",WORKDAY(BG14,EI13),WORKDAY(BH14,EI13))</f>
        <v/>
      </c>
      <c r="EJ14" s="56" t="n"/>
      <c r="EK14" s="10">
        <f>WORKDAY(EE14,EK13)</f>
        <v/>
      </c>
      <c r="EL14" s="10">
        <f>IF(EG14="",WORKDAY(EF14,EL13),WORKDAY(EG14,EL13))</f>
        <v/>
      </c>
      <c r="EM14" s="56" t="n"/>
      <c r="EN14" s="10">
        <f>WORKDAY(EE14,EN13)</f>
        <v/>
      </c>
      <c r="EO14" s="10">
        <f>IF(EG14="",WORKDAY(EF14,EO13),WORKDAY(EG14,EO13))</f>
        <v/>
      </c>
      <c r="EP14" s="56" t="n"/>
      <c r="EQ14" s="10">
        <f>WORKDAY(EE14,EQ13)</f>
        <v/>
      </c>
      <c r="ER14" s="10">
        <f>IF(EG14="",WORKDAY(EF14,ER13),WORKDAY(EG14,ER13))</f>
        <v/>
      </c>
      <c r="ES14" s="56" t="n"/>
      <c r="ET14" s="10">
        <f>WORKDAY(EE14,ET13)</f>
        <v/>
      </c>
      <c r="EU14" s="10">
        <f>IF(EG14="",WORKDAY(EF14,EU13),WORKDAY(EG14,EU13))</f>
        <v/>
      </c>
      <c r="EV14" s="56" t="n"/>
      <c r="EW14" s="11">
        <f>WORKDAY(IF(EN14&gt;EQ14,(IF(EN14&gt;ET14,EN14,ET14)),IF(EQ14&gt;ET14,EQ14,ET14)),EW13)</f>
        <v/>
      </c>
      <c r="EX14" s="11">
        <f>IF(EP14="",WORKDAY(IF(EO14&gt;ER14,(IF(EO14&gt;EU14,EO14,EU14)),IF(ER14&gt;EU14,ER14,EU14)),EX13),WORKDAY(IF(EP14&gt;ES14,(IF(EP14&gt;EV14,EP14,EV14)),IF(ES14&gt;EV14,ES14,EV14)),EX13))</f>
        <v/>
      </c>
      <c r="EY14" s="56" t="n"/>
      <c r="EZ14" s="12">
        <f>WORKDAY(EW14,EZ13)</f>
        <v/>
      </c>
      <c r="FA14" s="12">
        <f>IF(EY14="",WORKDAY(EX14,FA13),WORKDAY(EY14,FA13))</f>
        <v/>
      </c>
      <c r="FB14" s="56" t="n"/>
      <c r="FC14" s="11">
        <f>WORKDAY(EZ14,FC13)</f>
        <v/>
      </c>
      <c r="FD14" s="11">
        <f>IF(FB14="",WORKDAY(FA14,FD13),WORKDAY(FB14,FD13))</f>
        <v/>
      </c>
      <c r="FE14" s="56" t="n"/>
      <c r="FF14" s="42">
        <f>WORKDAY(FC14,FF13)</f>
        <v/>
      </c>
      <c r="FG14" s="42">
        <f>IF(FE14="",WORKDAY(FD14,FG13),WORKDAY(FE14,FG13))</f>
        <v/>
      </c>
      <c r="FH14" s="59" t="n"/>
      <c r="FI14" s="12">
        <f>WORKDAY(FF14,FI13)</f>
        <v/>
      </c>
      <c r="FJ14" s="12">
        <f>IF(FH14="",WORKDAY(FG14,FJ13),WORKDAY(FH14,FJ13))</f>
        <v/>
      </c>
      <c r="FK14" s="56" t="n"/>
      <c r="FL14" s="10">
        <f>WORKDAY(FI14,FL13)</f>
        <v/>
      </c>
      <c r="FM14" s="10">
        <f>IF(FK14="",WORKDAY(FJ14,FM13),WORKDAY(FK14,FM13))</f>
        <v/>
      </c>
      <c r="FN14" s="56" t="n"/>
      <c r="FO14" s="10">
        <f>WORKDAY(FL14,FO13)</f>
        <v/>
      </c>
      <c r="FP14" s="10">
        <f>WORKDAY(FM14,FP13)</f>
        <v/>
      </c>
      <c r="FQ14" s="56" t="n"/>
      <c r="FR14" s="77">
        <f>IF(NETWORKDAYS(FJ14,FO14)&gt;=30,"On-Track",IF(AND(NETWORKDAYS(FJ14,FO14)&lt;30,FJ14&lt;=FO14),"At Risk","Missed TCD"))</f>
        <v/>
      </c>
      <c r="FS14" s="110" t="n"/>
      <c r="FT14" s="57">
        <f>NETWORKDAYS(CP14,FI14)</f>
        <v/>
      </c>
      <c r="FU14" s="57">
        <f>NETWORKDAYS(CQ14,FJ14)</f>
        <v/>
      </c>
      <c r="FV14" s="57">
        <f>IF(BH14="",NETWORKDAYS(BG14,FJ14),IF(FK14="",NETWORKDAYS(BH14,FJ14),NETWORKDAYS(BH14,FK14)))</f>
        <v/>
      </c>
      <c r="FW14" s="58" t="inlineStr">
        <is>
          <t>Execution Only</t>
        </is>
      </c>
    </row>
    <row r="15" outlineLevel="1">
      <c r="A15" s="23" t="n"/>
      <c r="B15" s="23" t="n"/>
      <c r="C15" s="24" t="n"/>
      <c r="D15" s="95" t="n"/>
      <c r="E15" s="24" t="n"/>
      <c r="F15" s="25" t="inlineStr">
        <is>
          <t>Durations in WD</t>
        </is>
      </c>
      <c r="G15" s="26" t="n"/>
      <c r="H15" s="26" t="n"/>
      <c r="I15" s="27" t="n"/>
      <c r="J15" s="27" t="n"/>
      <c r="K15" s="27" t="n"/>
      <c r="L15" s="27" t="n"/>
      <c r="M15" s="4" t="n">
        <v>10</v>
      </c>
      <c r="N15" s="4" t="n">
        <v>10</v>
      </c>
      <c r="O15" s="27" t="n"/>
      <c r="P15" s="4" t="n">
        <v>21</v>
      </c>
      <c r="Q15" s="4" t="n">
        <v>21</v>
      </c>
      <c r="R15" s="27" t="n"/>
      <c r="S15" s="27" t="n"/>
      <c r="T15" s="27" t="n"/>
      <c r="U15" s="27" t="n"/>
      <c r="V15" s="4" t="n">
        <v>30</v>
      </c>
      <c r="W15" s="4" t="n">
        <v>30</v>
      </c>
      <c r="X15" s="27" t="n"/>
      <c r="Y15" s="4" t="n">
        <v>50</v>
      </c>
      <c r="Z15" s="4" t="n">
        <v>50</v>
      </c>
      <c r="AA15" s="27" t="n"/>
      <c r="AB15" s="4" t="n">
        <v>0</v>
      </c>
      <c r="AC15" s="4" t="n">
        <v>0</v>
      </c>
      <c r="AD15" s="27" t="n"/>
      <c r="AE15" s="4" t="n">
        <v>75</v>
      </c>
      <c r="AF15" s="4" t="n">
        <v>75</v>
      </c>
      <c r="AG15" s="27" t="n"/>
      <c r="AH15" s="4" t="n">
        <v>5</v>
      </c>
      <c r="AI15" s="4" t="n">
        <v>5</v>
      </c>
      <c r="AJ15" s="27" t="n"/>
      <c r="AK15" s="4" t="n">
        <v>20</v>
      </c>
      <c r="AL15" s="4" t="n">
        <v>20</v>
      </c>
      <c r="AM15" s="27" t="n"/>
      <c r="AN15" s="4" t="n">
        <v>0</v>
      </c>
      <c r="AO15" s="4" t="n">
        <v>0</v>
      </c>
      <c r="AP15" s="27" t="n"/>
      <c r="AQ15" s="4" t="n">
        <v>20</v>
      </c>
      <c r="AR15" s="4" t="n">
        <v>20</v>
      </c>
      <c r="AS15" s="27" t="n"/>
      <c r="AT15" s="4" t="n">
        <v>5</v>
      </c>
      <c r="AU15" s="4" t="n">
        <v>5</v>
      </c>
      <c r="AV15" s="27" t="n"/>
      <c r="AW15" s="4" t="n">
        <v>10</v>
      </c>
      <c r="AX15" s="4" t="n">
        <v>10</v>
      </c>
      <c r="AY15" s="27" t="n"/>
      <c r="AZ15" s="4" t="n">
        <v>30</v>
      </c>
      <c r="BA15" s="4" t="n">
        <v>30</v>
      </c>
      <c r="BB15" s="27" t="n"/>
      <c r="BC15" s="4" t="n">
        <v>5</v>
      </c>
      <c r="BD15" s="4" t="n">
        <v>5</v>
      </c>
      <c r="BE15" s="27" t="n"/>
      <c r="BF15" s="4" t="n">
        <v>5</v>
      </c>
      <c r="BG15" s="4" t="n">
        <v>5</v>
      </c>
      <c r="BH15" s="27" t="n"/>
      <c r="BI15" s="4" t="n">
        <v>5</v>
      </c>
      <c r="BJ15" s="4" t="n">
        <v>5</v>
      </c>
      <c r="BK15" s="27" t="n"/>
      <c r="BL15" s="27" t="n"/>
      <c r="BM15" s="27" t="n"/>
      <c r="BN15" s="27" t="n"/>
      <c r="BO15" s="4" t="n">
        <v>5</v>
      </c>
      <c r="BP15" s="4" t="n">
        <v>5</v>
      </c>
      <c r="BQ15" s="28" t="n"/>
      <c r="BR15" s="28" t="n"/>
      <c r="BS15" s="28" t="n"/>
      <c r="BT15" s="28" t="n"/>
      <c r="BU15" s="28" t="n"/>
      <c r="BV15" s="28" t="n"/>
      <c r="BW15" s="28" t="n"/>
      <c r="BX15" s="28" t="n"/>
      <c r="BY15" s="28" t="n"/>
      <c r="BZ15" s="28" t="n"/>
      <c r="CA15" s="28" t="n"/>
      <c r="CB15" s="28" t="n"/>
      <c r="CC15" s="28" t="n"/>
      <c r="CD15" s="28" t="n"/>
      <c r="CE15" s="28" t="n"/>
      <c r="CF15" s="28" t="n"/>
      <c r="CG15" s="28" t="n"/>
      <c r="CH15" s="28" t="n"/>
      <c r="CI15" s="28" t="n"/>
      <c r="CJ15" s="4" t="n">
        <v>10</v>
      </c>
      <c r="CK15" s="4" t="n">
        <v>10</v>
      </c>
      <c r="CL15" s="27" t="n"/>
      <c r="CM15" s="4" t="n">
        <v>3</v>
      </c>
      <c r="CN15" s="4" t="n">
        <v>3</v>
      </c>
      <c r="CO15" s="27" t="n"/>
      <c r="CP15" s="4" t="n">
        <v>5</v>
      </c>
      <c r="CQ15" s="4" t="n">
        <v>5</v>
      </c>
      <c r="CR15" s="27" t="n"/>
      <c r="CS15" s="27" t="n"/>
      <c r="CT15" s="5" t="n">
        <v>120</v>
      </c>
      <c r="CU15" s="5" t="n">
        <v>120</v>
      </c>
      <c r="CV15" s="27" t="n"/>
      <c r="CW15" s="5" t="n">
        <v>10</v>
      </c>
      <c r="CX15" s="5" t="n">
        <v>10</v>
      </c>
      <c r="CY15" s="27" t="n"/>
      <c r="CZ15" s="5" t="n">
        <v>60</v>
      </c>
      <c r="DA15" s="5" t="n">
        <v>60</v>
      </c>
      <c r="DB15" s="27" t="n"/>
      <c r="DC15" s="5" t="n">
        <v>60</v>
      </c>
      <c r="DD15" s="5" t="n">
        <v>60</v>
      </c>
      <c r="DE15" s="27" t="n"/>
      <c r="DF15" s="4" t="n">
        <v>20</v>
      </c>
      <c r="DG15" s="4" t="n">
        <v>20</v>
      </c>
      <c r="DH15" s="27" t="n"/>
      <c r="DI15" s="89" t="n">
        <v>1</v>
      </c>
      <c r="DJ15" s="4" t="n">
        <v>20</v>
      </c>
      <c r="DK15" s="4" t="n">
        <v>20</v>
      </c>
      <c r="DL15" s="27" t="n"/>
      <c r="DM15" s="4" t="n">
        <v>5</v>
      </c>
      <c r="DN15" s="4" t="n">
        <v>5</v>
      </c>
      <c r="DO15" s="27" t="n"/>
      <c r="DP15" s="4" t="n">
        <v>3</v>
      </c>
      <c r="DQ15" s="4" t="n">
        <v>3</v>
      </c>
      <c r="DR15" s="27" t="n"/>
      <c r="DS15" s="89" t="n">
        <v>1</v>
      </c>
      <c r="DT15" s="4" t="n">
        <v>60</v>
      </c>
      <c r="DU15" s="4" t="n">
        <v>60</v>
      </c>
      <c r="DV15" s="27" t="n"/>
      <c r="DW15" s="89" t="n">
        <v>1</v>
      </c>
      <c r="DX15" s="4" t="n">
        <v>30</v>
      </c>
      <c r="DY15" s="4" t="n">
        <v>30</v>
      </c>
      <c r="DZ15" s="27" t="n"/>
      <c r="EA15" s="89" t="n">
        <v>1</v>
      </c>
      <c r="EB15" s="4" t="n">
        <v>60</v>
      </c>
      <c r="EC15" s="4" t="n">
        <v>60</v>
      </c>
      <c r="ED15" s="27" t="n"/>
      <c r="EE15" s="4" t="n">
        <v>30</v>
      </c>
      <c r="EF15" s="4" t="n">
        <v>30</v>
      </c>
      <c r="EG15" s="27" t="n"/>
      <c r="EH15" s="4" t="n">
        <v>120</v>
      </c>
      <c r="EI15" s="4" t="n">
        <v>120</v>
      </c>
      <c r="EJ15" s="27" t="n"/>
      <c r="EK15" s="27" t="n"/>
      <c r="EL15" s="27" t="n"/>
      <c r="EM15" s="27" t="n"/>
      <c r="EN15" s="4" t="n">
        <v>60</v>
      </c>
      <c r="EO15" s="4" t="n">
        <v>60</v>
      </c>
      <c r="EP15" s="27" t="n"/>
      <c r="EQ15" s="4" t="n">
        <v>60</v>
      </c>
      <c r="ER15" s="4" t="n">
        <v>60</v>
      </c>
      <c r="ES15" s="27" t="n"/>
      <c r="ET15" s="4" t="n">
        <v>60</v>
      </c>
      <c r="EU15" s="4" t="n">
        <v>60</v>
      </c>
      <c r="EV15" s="27" t="n"/>
      <c r="EW15" s="4" t="n">
        <v>5</v>
      </c>
      <c r="EX15" s="4" t="n">
        <v>5</v>
      </c>
      <c r="EY15" s="27" t="n"/>
      <c r="EZ15" s="4" t="n">
        <v>5</v>
      </c>
      <c r="FA15" s="4" t="n">
        <v>5</v>
      </c>
      <c r="FB15" s="27" t="n"/>
      <c r="FC15" s="28" t="n"/>
      <c r="FD15" s="28" t="n"/>
      <c r="FE15" s="28" t="n"/>
      <c r="FF15" s="28" t="n"/>
      <c r="FG15" s="28" t="n"/>
      <c r="FH15" s="28" t="n"/>
      <c r="FI15" s="4" t="n">
        <v>5</v>
      </c>
      <c r="FJ15" s="4" t="n">
        <v>5</v>
      </c>
      <c r="FK15" s="27" t="n"/>
      <c r="FL15" s="4" t="n">
        <v>0</v>
      </c>
      <c r="FM15" s="4" t="n">
        <v>0</v>
      </c>
      <c r="FN15" s="27" t="n"/>
      <c r="FO15" s="4" t="n">
        <v>40</v>
      </c>
      <c r="FP15" s="4" t="n">
        <v>40</v>
      </c>
      <c r="FQ15" s="27" t="n"/>
      <c r="FR15" s="27" t="n"/>
      <c r="FS15" s="109" t="n"/>
      <c r="FT15" s="54">
        <f>NETWORKDAYS($I16,FO16)</f>
        <v/>
      </c>
      <c r="FU15" s="54">
        <f>NETWORKDAYS($I16,FP16)</f>
        <v/>
      </c>
      <c r="FV15" s="54">
        <f>IF(FQ16="",NETWORKDAYS($I16,FP16),NETWORKDAYS($I16,FQ16))</f>
        <v/>
      </c>
      <c r="FW15" s="55" t="inlineStr">
        <is>
          <t>Total Project</t>
        </is>
      </c>
    </row>
    <row r="16">
      <c r="A16" s="23" t="inlineStr">
        <is>
          <t>Template for Calculation</t>
        </is>
      </c>
      <c r="B16" s="23" t="n">
        <v>100003</v>
      </c>
      <c r="C16" s="23" t="n">
        <v>444</v>
      </c>
      <c r="D16" s="65" t="n"/>
      <c r="E16" s="23">
        <f>IF(D16="","Unknown",IF(D16&lt;=FM16+90,"Red",IF(AND(D16&gt;FM16+90,D16&lt;=FM16+180),"Yellow",IF(AND(D16&gt;FM16+180,D16&lt;=FM16+690),"Green","Covered"))))</f>
        <v/>
      </c>
      <c r="F16" s="25" t="inlineStr">
        <is>
          <t>BTP + Casting</t>
        </is>
      </c>
      <c r="G16" s="26" t="n"/>
      <c r="H16" s="26">
        <f>IF(CR16="","Pre-Execution","Execution")</f>
        <v/>
      </c>
      <c r="I16" s="13" t="n">
        <v>45717</v>
      </c>
      <c r="J16" s="28" t="n"/>
      <c r="K16" s="28" t="n"/>
      <c r="L16" s="28" t="n"/>
      <c r="M16" s="42">
        <f>WORKDAY(I16,M15)</f>
        <v/>
      </c>
      <c r="N16" s="42">
        <f>WORKDAY(I16,N15)</f>
        <v/>
      </c>
      <c r="O16" s="59" t="n"/>
      <c r="P16" s="42">
        <f>WORKDAY(M16,P15)</f>
        <v/>
      </c>
      <c r="Q16" s="42">
        <f>IF(O16="",WORKDAY(N16,Q15),WORKDAY(O16,Q15))</f>
        <v/>
      </c>
      <c r="R16" s="59" t="n"/>
      <c r="S16" s="28" t="n"/>
      <c r="T16" s="28" t="n"/>
      <c r="U16" s="28" t="n"/>
      <c r="V16" s="10">
        <f>WORKDAY(P16, V15)</f>
        <v/>
      </c>
      <c r="W16" s="10">
        <f>IF(R16="",WORKDAY(Q16,W15),WORKDAY(R16,W15))</f>
        <v/>
      </c>
      <c r="X16" s="56" t="n"/>
      <c r="Y16" s="10">
        <f>WORKDAY(P16,Y15)</f>
        <v/>
      </c>
      <c r="Z16" s="10">
        <f>IF(R16="",WORKDAY(Q16,Z15),WORKDAY(R16,Z15))</f>
        <v/>
      </c>
      <c r="AA16" s="56" t="n"/>
      <c r="AB16" s="10">
        <f>WORKDAY(I16,AB15)</f>
        <v/>
      </c>
      <c r="AC16" s="10">
        <f>WORKDAY(I16,AC15)</f>
        <v/>
      </c>
      <c r="AD16" s="56" t="n"/>
      <c r="AE16" s="10">
        <f>WORKDAY(AB16,AE15)</f>
        <v/>
      </c>
      <c r="AF16" s="10">
        <f>IF(AD16="",WORKDAY(AC16,AF15),WORKDAY(AD16,AF15))</f>
        <v/>
      </c>
      <c r="AG16" s="56" t="n"/>
      <c r="AH16" s="42">
        <f>WORKDAY(IF(Y16&gt;AE16,Y16,AE16),AH15)</f>
        <v/>
      </c>
      <c r="AI16" s="42">
        <f>WORKDAY(IF(AA16="",IF(Z16&gt;AF16,Z16,AF16),IF(AA16&gt;AG16,AA16,AG16)),AI15)</f>
        <v/>
      </c>
      <c r="AJ16" s="59" t="n"/>
      <c r="AK16" s="10">
        <f>WORKDAY(AH16,AK15)</f>
        <v/>
      </c>
      <c r="AL16" s="10">
        <f>IF(AJ16="",WORKDAY(AI16,AL15),WORKDAY(AJ16,AL15))</f>
        <v/>
      </c>
      <c r="AM16" s="56" t="n"/>
      <c r="AN16" s="10">
        <f>WORKDAY(AK16,AN15)</f>
        <v/>
      </c>
      <c r="AO16" s="10">
        <f>IF(AM16="",WORKDAY(AL16,AO15),WORKDAY(AM16,AO15))</f>
        <v/>
      </c>
      <c r="AP16" s="56" t="n"/>
      <c r="AQ16" s="42">
        <f>WORKDAY(AN16,AQ15)</f>
        <v/>
      </c>
      <c r="AR16" s="42">
        <f>IF(AP16="",WORKDAY(AO16,AR15),WORKDAY(AP16,AR15))</f>
        <v/>
      </c>
      <c r="AS16" s="59" t="n"/>
      <c r="AT16" s="10">
        <f>WORKDAY(AN16,AT15)</f>
        <v/>
      </c>
      <c r="AU16" s="10">
        <f>IF(O16="",WORKDAY(AO16,AU15),WORKDAY(AP16,AU15))</f>
        <v/>
      </c>
      <c r="AV16" s="56" t="n"/>
      <c r="AW16" s="10">
        <f>IF(AQ16&gt;AT16,WORKDAY(AQ16,AW15),WORKDAY(AT16,AW15))</f>
        <v/>
      </c>
      <c r="AX16" s="10">
        <f>IF(AS16="",IF(AR16&gt;AU16,WORKDAY(AR16,AX15),WORKDAY(AU16,AX15)),IF(AS16&gt;AV16,WORKDAY(AS16,AX15),WORKDAY(AV16,AX15)))</f>
        <v/>
      </c>
      <c r="AY16" s="56" t="n"/>
      <c r="AZ16" s="10">
        <f>WORKDAY(AN16,AZ15)</f>
        <v/>
      </c>
      <c r="BA16" s="10">
        <f>IF(AP16="",WORKDAY(AO16,BA15),WORKDAY(AP16,BA15))</f>
        <v/>
      </c>
      <c r="BB16" s="56" t="n"/>
      <c r="BC16" s="10">
        <f>IF(AW16&gt;AZ16,WORKDAY(AW16,BC15),WORKDAY(AZ16,BC15))</f>
        <v/>
      </c>
      <c r="BD16" s="10">
        <f>IF(AY16="",IF(AX16&gt;BA16,WORKDAY(AX16,BD15),WORKDAY(BA16,BD15)),IF(AY16&gt;BB16,WORKDAY(AY16,BD15),WORKDAY(BB16,BD15)))</f>
        <v/>
      </c>
      <c r="BE16" s="56" t="n"/>
      <c r="BF16" s="42">
        <f>WORKDAY(BC16,BF15)</f>
        <v/>
      </c>
      <c r="BG16" s="42">
        <f>IF(BE16="",WORKDAY(BD16,BG15),WORKDAY(BE16,BG15))</f>
        <v/>
      </c>
      <c r="BH16" s="56" t="n"/>
      <c r="BI16" s="10">
        <f>WORKDAY(BF16,BI15)</f>
        <v/>
      </c>
      <c r="BJ16" s="10">
        <f>IF(BH16="",WORKDAY(BG16,BJ15),WORKDAY(BH16,BJ15))</f>
        <v/>
      </c>
      <c r="BK16" s="56" t="n"/>
      <c r="BL16" s="28" t="n"/>
      <c r="BM16" s="28" t="n"/>
      <c r="BN16" s="28" t="n"/>
      <c r="BO16" s="10">
        <f>WORKDAY(BI16,BO15)</f>
        <v/>
      </c>
      <c r="BP16" s="10">
        <f>IF(BK16="",WORKDAY(BJ16,BP15),WORKDAY(BK16,BP15))</f>
        <v/>
      </c>
      <c r="BQ16" s="56" t="n"/>
      <c r="BR16" s="28" t="n"/>
      <c r="BS16" s="28" t="n"/>
      <c r="BT16" s="28" t="n"/>
      <c r="BU16" s="28" t="n"/>
      <c r="BV16" s="28" t="n"/>
      <c r="BW16" s="28" t="n"/>
      <c r="BX16" s="28" t="n"/>
      <c r="BY16" s="28" t="n"/>
      <c r="BZ16" s="28" t="n"/>
      <c r="CA16" s="28" t="n"/>
      <c r="CB16" s="28" t="n"/>
      <c r="CC16" s="28" t="n"/>
      <c r="CD16" s="28" t="n"/>
      <c r="CE16" s="28" t="n"/>
      <c r="CF16" s="28" t="n"/>
      <c r="CG16" s="28" t="n"/>
      <c r="CH16" s="28" t="n"/>
      <c r="CI16" s="28" t="n"/>
      <c r="CJ16" s="10">
        <f>WORKDAY(BI16,CJ15)</f>
        <v/>
      </c>
      <c r="CK16" s="10">
        <f>IF(BK16="",WORKDAY(BJ16,CK15),WORKDAY(BK16,CK15))</f>
        <v/>
      </c>
      <c r="CL16" s="56" t="n"/>
      <c r="CM16" s="42">
        <f>WORKDAY(CJ16,CM15)</f>
        <v/>
      </c>
      <c r="CN16" s="42">
        <f>IF(CL16="",WORKDAY(CK16,CN15),WORKDAY(CL16,CN15))</f>
        <v/>
      </c>
      <c r="CO16" s="56" t="n"/>
      <c r="CP16" s="42">
        <f>WORKDAY(CM16,CP15)</f>
        <v/>
      </c>
      <c r="CQ16" s="42">
        <f>IF(CO16="",WORKDAY(CN16,CQ15),WORKDAY(CO16,CQ15))</f>
        <v/>
      </c>
      <c r="CR16" s="59" t="n"/>
      <c r="CS16" s="77">
        <f>IF(CR16="","No Action: Still in Pre-Execution","Execution schedule has been re-baselined w/ FAIR PO Ack ACD. Validate your durations before publishing")</f>
        <v/>
      </c>
      <c r="CT16" s="42">
        <f>IF(CR16="",WORKDAY(CP16,CT15),WORKDAY(CR16,CT15))</f>
        <v/>
      </c>
      <c r="CU16" s="42">
        <f>IF(CR16="",WORKDAY(CQ16,CU15),WORKDAY(CR16,CU15))</f>
        <v/>
      </c>
      <c r="CV16" s="56" t="n"/>
      <c r="CW16" s="10">
        <f>WORKDAY(AZ16,CW15)</f>
        <v/>
      </c>
      <c r="CX16" s="10">
        <f>IF(BB16="",WORKDAY(BA16,CX15),WORKDAY(BB16,CX15))</f>
        <v/>
      </c>
      <c r="CY16" s="56" t="n"/>
      <c r="CZ16" s="10">
        <f>WORKDAY(CW16,CZ15)</f>
        <v/>
      </c>
      <c r="DA16" s="10">
        <f>IF(CY16="",WORKDAY(CX16,DA15),WORKDAY(CY16,DA15))</f>
        <v/>
      </c>
      <c r="DB16" s="56" t="n"/>
      <c r="DC16" s="10">
        <f>IF($CU16&gt;$DA16,WORKDAY($CU16,DC15),WORKDAY($DA16,DC15))</f>
        <v/>
      </c>
      <c r="DD16" s="10">
        <f>IF(CV16="",IF($CU16&gt;$DA16,WORKDAY($CU16,DD15),WORKDAY($DA16,DD15)),IF($CV16&gt;$DB16,WORKDAY($CV16,DD15),WORKDAY($DB16,DD15)))</f>
        <v/>
      </c>
      <c r="DE16" s="56" t="n"/>
      <c r="DF16" s="10">
        <f>WORKDAY(DC16,DF15)</f>
        <v/>
      </c>
      <c r="DG16" s="10">
        <f>IF(DE16="",WORKDAY(DD16,DG15),WORKDAY(DE16,DG15))</f>
        <v/>
      </c>
      <c r="DH16" s="56" t="n"/>
      <c r="DI16" s="46" t="n"/>
      <c r="DJ16" s="10">
        <f>WORKDAY(DF16,DJ15*DI15)</f>
        <v/>
      </c>
      <c r="DK16" s="10">
        <f>IF(DH16="",WORKDAY(DG16,DK15*DI15),WORKDAY(DH16,DK15*DI15))</f>
        <v/>
      </c>
      <c r="DL16" s="56" t="n"/>
      <c r="DM16" s="10">
        <f>WORKDAY(DJ16,DM15)</f>
        <v/>
      </c>
      <c r="DN16" s="10">
        <f>IF(DL16="",WORKDAY(DK16,DN15),WORKDAY(DL16,DN15))</f>
        <v/>
      </c>
      <c r="DO16" s="56" t="n"/>
      <c r="DP16" s="10">
        <f>WORKDAY(DM16,DP15)</f>
        <v/>
      </c>
      <c r="DQ16" s="10">
        <f>IF(DO16="",WORKDAY(DN16,DQ15),WORKDAY(DO16,DQ15))</f>
        <v/>
      </c>
      <c r="DR16" s="56" t="n"/>
      <c r="DS16" s="46" t="n"/>
      <c r="DT16" s="10">
        <f>WORKDAY(DP16,DT15*$DS15)</f>
        <v/>
      </c>
      <c r="DU16" s="10">
        <f>IF(DR16="",WORKDAY(DQ16,DU15*$DS15),WORKDAY(DR16,DU15*$DS15))</f>
        <v/>
      </c>
      <c r="DV16" s="56" t="n"/>
      <c r="DW16" s="46" t="n"/>
      <c r="DX16" s="10">
        <f>WORKDAY(DT16,DX15*$DW15)</f>
        <v/>
      </c>
      <c r="DY16" s="10">
        <f>IF(DV16="",WORKDAY(DU16,DY15*$DW15),WORKDAY(DV16,DY15*$DW15))</f>
        <v/>
      </c>
      <c r="DZ16" s="56" t="n"/>
      <c r="EA16" s="46" t="n"/>
      <c r="EB16" s="10">
        <f>WORKDAY(DX16,EB15*$EA15)</f>
        <v/>
      </c>
      <c r="EC16" s="10">
        <f>IF(DZ16="",WORKDAY(DY16,EC15*$EA15),WORKDAY(DZ16,EC15*$EA15))</f>
        <v/>
      </c>
      <c r="ED16" s="56" t="n"/>
      <c r="EE16" s="10">
        <f>WORKDAY(EB16,EE15)</f>
        <v/>
      </c>
      <c r="EF16" s="10">
        <f>IF(ED16="",WORKDAY(EC16,EF15),WORKDAY(ED16,EF15))</f>
        <v/>
      </c>
      <c r="EG16" s="56" t="n"/>
      <c r="EH16" s="10">
        <f>IF(CR16="",WORKDAY(BF16,EH15),WORKDAY(BH16,EH15))</f>
        <v/>
      </c>
      <c r="EI16" s="10">
        <f>IF(BH16="",WORKDAY(BG16,EI15),WORKDAY(BH16,EI15))</f>
        <v/>
      </c>
      <c r="EJ16" s="56" t="n"/>
      <c r="EK16" s="27" t="n"/>
      <c r="EL16" s="27" t="n"/>
      <c r="EM16" s="27" t="n"/>
      <c r="EN16" s="10">
        <f>WORKDAY(EE16,EN15)</f>
        <v/>
      </c>
      <c r="EO16" s="10">
        <f>IF(EG16="",WORKDAY(EF16,EO15),WORKDAY(EG16,EO15))</f>
        <v/>
      </c>
      <c r="EP16" s="56" t="n"/>
      <c r="EQ16" s="10">
        <f>WORKDAY(EE16,EQ15)</f>
        <v/>
      </c>
      <c r="ER16" s="10">
        <f>IF(EG16="",WORKDAY(EF16,ER15),WORKDAY(EG16,ER15))</f>
        <v/>
      </c>
      <c r="ES16" s="56" t="n"/>
      <c r="ET16" s="10">
        <f>WORKDAY(EE16,ET15)</f>
        <v/>
      </c>
      <c r="EU16" s="10">
        <f>IF(EG16="",WORKDAY(EF16,EU15),WORKDAY(EG16,EU15))</f>
        <v/>
      </c>
      <c r="EV16" s="56" t="n"/>
      <c r="EW16" s="11">
        <f>WORKDAY(IF(EN16&gt;EQ16,(IF(EN16&gt;ET16,EN16,ET16)),IF(EQ16&gt;ET16,EQ16,ET16)),EW15)</f>
        <v/>
      </c>
      <c r="EX16" s="11">
        <f>IF(EP16="",WORKDAY(IF(EO16&gt;ER16,(IF(EO16&gt;EU16,EO16,EU16)),IF(ER16&gt;EU16,ER16,EU16)),EX15),WORKDAY(IF(EP16&gt;ES16,(IF(EP16&gt;EV16,EP16,EV16)),IF(ES16&gt;EV16,ES16,EV16)),EX15))</f>
        <v/>
      </c>
      <c r="EY16" s="56" t="n"/>
      <c r="EZ16" s="12">
        <f>WORKDAY(EW16,EZ15)</f>
        <v/>
      </c>
      <c r="FA16" s="12">
        <f>IF(EY16="",WORKDAY(EX16,FA15),WORKDAY(EY16,FA15))</f>
        <v/>
      </c>
      <c r="FB16" s="56" t="n"/>
      <c r="FC16" s="28" t="n"/>
      <c r="FD16" s="28" t="n"/>
      <c r="FE16" s="28" t="n"/>
      <c r="FF16" s="60" t="n"/>
      <c r="FG16" s="60" t="n"/>
      <c r="FH16" s="60" t="n"/>
      <c r="FI16" s="12">
        <f>WORKDAY(EZ16,FI15)</f>
        <v/>
      </c>
      <c r="FJ16" s="12">
        <f>IF(FB16="",WORKDAY(FA16,FJ15),WORKDAY(FB16,FJ15))</f>
        <v/>
      </c>
      <c r="FK16" s="56" t="n"/>
      <c r="FL16" s="10">
        <f>WORKDAY(FI16,FL15)</f>
        <v/>
      </c>
      <c r="FM16" s="10">
        <f>IF(FK16="",WORKDAY(FJ16,FM15),WORKDAY(FK16,FM15))</f>
        <v/>
      </c>
      <c r="FN16" s="56" t="n"/>
      <c r="FO16" s="10">
        <f>WORKDAY(FL16,FO15)</f>
        <v/>
      </c>
      <c r="FP16" s="10">
        <f>WORKDAY(FM16,FP15)</f>
        <v/>
      </c>
      <c r="FQ16" s="56" t="n"/>
      <c r="FR16" s="77">
        <f>IF(NETWORKDAYS(FJ16,FO16)&gt;=30,"On-Track",IF(AND(NETWORKDAYS(FJ16,FO16)&lt;30,FJ16&lt;=FO16),"At Risk","Missed TCD"))</f>
        <v/>
      </c>
      <c r="FS16" s="110" t="n"/>
      <c r="FT16" s="57">
        <f>NETWORKDAYS(CP16,FI16)</f>
        <v/>
      </c>
      <c r="FU16" s="57">
        <f>NETWORKDAYS(CQ16,FJ16)</f>
        <v/>
      </c>
      <c r="FV16" s="57">
        <f>IF(BH16="",NETWORKDAYS(BG16,FJ16),IF(FK16="",NETWORKDAYS(BH16,FJ16),NETWORKDAYS(BH16,FK16)))</f>
        <v/>
      </c>
      <c r="FW16" s="58" t="inlineStr">
        <is>
          <t>Execution Only</t>
        </is>
      </c>
    </row>
    <row r="17" outlineLevel="1">
      <c r="A17" s="23" t="n"/>
      <c r="B17" s="23" t="n"/>
      <c r="C17" s="24" t="n"/>
      <c r="D17" s="95" t="n"/>
      <c r="E17" s="24" t="n"/>
      <c r="F17" s="25" t="inlineStr">
        <is>
          <t>Durations in WD</t>
        </is>
      </c>
      <c r="G17" s="26" t="n"/>
      <c r="H17" s="26" t="n"/>
      <c r="I17" s="27" t="n"/>
      <c r="J17" s="27" t="n"/>
      <c r="K17" s="27" t="n"/>
      <c r="L17" s="27" t="n"/>
      <c r="M17" s="4" t="n">
        <v>10</v>
      </c>
      <c r="N17" s="4" t="n">
        <v>10</v>
      </c>
      <c r="O17" s="27" t="n"/>
      <c r="P17" s="4" t="n">
        <v>21</v>
      </c>
      <c r="Q17" s="4" t="n">
        <v>21</v>
      </c>
      <c r="R17" s="27" t="n"/>
      <c r="S17" s="27" t="n"/>
      <c r="T17" s="27" t="n"/>
      <c r="U17" s="27" t="n"/>
      <c r="V17" s="4" t="n">
        <v>30</v>
      </c>
      <c r="W17" s="4" t="n">
        <v>30</v>
      </c>
      <c r="X17" s="27" t="n"/>
      <c r="Y17" s="4" t="n">
        <v>50</v>
      </c>
      <c r="Z17" s="4" t="n">
        <v>50</v>
      </c>
      <c r="AA17" s="27" t="n"/>
      <c r="AB17" s="4" t="n">
        <v>0</v>
      </c>
      <c r="AC17" s="4" t="n">
        <v>0</v>
      </c>
      <c r="AD17" s="27" t="n"/>
      <c r="AE17" s="4" t="n">
        <v>75</v>
      </c>
      <c r="AF17" s="4" t="n">
        <v>75</v>
      </c>
      <c r="AG17" s="27" t="n"/>
      <c r="AH17" s="4" t="n">
        <v>5</v>
      </c>
      <c r="AI17" s="4" t="n">
        <v>5</v>
      </c>
      <c r="AJ17" s="27" t="n"/>
      <c r="AK17" s="4" t="n">
        <v>20</v>
      </c>
      <c r="AL17" s="4" t="n">
        <v>20</v>
      </c>
      <c r="AM17" s="27" t="n"/>
      <c r="AN17" s="4" t="n">
        <v>0</v>
      </c>
      <c r="AO17" s="4" t="n">
        <v>0</v>
      </c>
      <c r="AP17" s="27" t="n"/>
      <c r="AQ17" s="4" t="n">
        <v>20</v>
      </c>
      <c r="AR17" s="4" t="n">
        <v>20</v>
      </c>
      <c r="AS17" s="27" t="n"/>
      <c r="AT17" s="4" t="n">
        <v>5</v>
      </c>
      <c r="AU17" s="4" t="n">
        <v>5</v>
      </c>
      <c r="AV17" s="27" t="n"/>
      <c r="AW17" s="4" t="n">
        <v>10</v>
      </c>
      <c r="AX17" s="4" t="n">
        <v>10</v>
      </c>
      <c r="AY17" s="27" t="n"/>
      <c r="AZ17" s="4" t="n">
        <v>30</v>
      </c>
      <c r="BA17" s="4" t="n">
        <v>30</v>
      </c>
      <c r="BB17" s="27" t="n"/>
      <c r="BC17" s="4" t="n">
        <v>5</v>
      </c>
      <c r="BD17" s="4" t="n">
        <v>5</v>
      </c>
      <c r="BE17" s="27" t="n"/>
      <c r="BF17" s="4" t="n">
        <v>5</v>
      </c>
      <c r="BG17" s="4" t="n">
        <v>5</v>
      </c>
      <c r="BH17" s="27" t="n"/>
      <c r="BI17" s="4" t="n">
        <v>5</v>
      </c>
      <c r="BJ17" s="4" t="n">
        <v>5</v>
      </c>
      <c r="BK17" s="27" t="n"/>
      <c r="BL17" s="27" t="n"/>
      <c r="BM17" s="27" t="n"/>
      <c r="BN17" s="27" t="n"/>
      <c r="BO17" s="61" t="n"/>
      <c r="BP17" s="61" t="n"/>
      <c r="BQ17" s="28" t="n"/>
      <c r="BR17" s="28" t="n"/>
      <c r="BS17" s="28" t="n"/>
      <c r="BT17" s="28" t="n"/>
      <c r="BU17" s="28" t="n"/>
      <c r="BV17" s="28" t="n"/>
      <c r="BW17" s="28" t="n"/>
      <c r="BX17" s="28" t="n"/>
      <c r="BY17" s="28" t="n"/>
      <c r="BZ17" s="28" t="n"/>
      <c r="CA17" s="28" t="n"/>
      <c r="CB17" s="28" t="n"/>
      <c r="CC17" s="28" t="n"/>
      <c r="CD17" s="28" t="n"/>
      <c r="CE17" s="28" t="n"/>
      <c r="CF17" s="28" t="n"/>
      <c r="CG17" s="28" t="n"/>
      <c r="CH17" s="28" t="n"/>
      <c r="CI17" s="28" t="n"/>
      <c r="CJ17" s="4" t="n">
        <v>10</v>
      </c>
      <c r="CK17" s="4" t="n">
        <v>10</v>
      </c>
      <c r="CL17" s="27" t="n"/>
      <c r="CM17" s="4" t="n">
        <v>3</v>
      </c>
      <c r="CN17" s="4" t="n">
        <v>3</v>
      </c>
      <c r="CO17" s="27" t="n"/>
      <c r="CP17" s="4" t="n">
        <v>5</v>
      </c>
      <c r="CQ17" s="4" t="n">
        <v>5</v>
      </c>
      <c r="CR17" s="27" t="n"/>
      <c r="CS17" s="27" t="n"/>
      <c r="CT17" s="5" t="n">
        <v>120</v>
      </c>
      <c r="CU17" s="5" t="n">
        <v>120</v>
      </c>
      <c r="CV17" s="27" t="n"/>
      <c r="CW17" s="5" t="n">
        <v>10</v>
      </c>
      <c r="CX17" s="5" t="n">
        <v>10</v>
      </c>
      <c r="CY17" s="27" t="n"/>
      <c r="CZ17" s="5" t="n">
        <v>60</v>
      </c>
      <c r="DA17" s="5" t="n">
        <v>60</v>
      </c>
      <c r="DB17" s="27" t="n"/>
      <c r="DC17" s="5" t="n">
        <v>60</v>
      </c>
      <c r="DD17" s="5" t="n">
        <v>60</v>
      </c>
      <c r="DE17" s="27" t="n"/>
      <c r="DF17" s="4" t="n">
        <v>20</v>
      </c>
      <c r="DG17" s="4" t="n">
        <v>20</v>
      </c>
      <c r="DH17" s="27" t="n"/>
      <c r="DI17" s="89" t="n">
        <v>1</v>
      </c>
      <c r="DJ17" s="4" t="n">
        <v>20</v>
      </c>
      <c r="DK17" s="4" t="n">
        <v>20</v>
      </c>
      <c r="DL17" s="27" t="n"/>
      <c r="DM17" s="4" t="n">
        <v>5</v>
      </c>
      <c r="DN17" s="4" t="n">
        <v>5</v>
      </c>
      <c r="DO17" s="27" t="n"/>
      <c r="DP17" s="4" t="n">
        <v>3</v>
      </c>
      <c r="DQ17" s="4" t="n">
        <v>3</v>
      </c>
      <c r="DR17" s="27" t="n"/>
      <c r="DS17" s="89" t="n">
        <v>1</v>
      </c>
      <c r="DT17" s="4" t="n">
        <v>60</v>
      </c>
      <c r="DU17" s="4" t="n">
        <v>60</v>
      </c>
      <c r="DV17" s="27" t="n"/>
      <c r="DW17" s="89" t="n">
        <v>1</v>
      </c>
      <c r="DX17" s="4" t="n">
        <v>30</v>
      </c>
      <c r="DY17" s="4" t="n">
        <v>30</v>
      </c>
      <c r="DZ17" s="27" t="n"/>
      <c r="EA17" s="89" t="n">
        <v>1</v>
      </c>
      <c r="EB17" s="4" t="n">
        <v>60</v>
      </c>
      <c r="EC17" s="4" t="n">
        <v>60</v>
      </c>
      <c r="ED17" s="27" t="n"/>
      <c r="EE17" s="4" t="n">
        <v>30</v>
      </c>
      <c r="EF17" s="4" t="n">
        <v>30</v>
      </c>
      <c r="EG17" s="27" t="n"/>
      <c r="EH17" s="4" t="n">
        <v>120</v>
      </c>
      <c r="EI17" s="4" t="n">
        <v>120</v>
      </c>
      <c r="EJ17" s="27" t="n"/>
      <c r="EK17" s="27" t="n"/>
      <c r="EL17" s="27" t="n"/>
      <c r="EM17" s="27" t="n"/>
      <c r="EN17" s="4" t="n">
        <v>60</v>
      </c>
      <c r="EO17" s="4" t="n">
        <v>60</v>
      </c>
      <c r="EP17" s="27" t="n"/>
      <c r="EQ17" s="4" t="n">
        <v>60</v>
      </c>
      <c r="ER17" s="4" t="n">
        <v>60</v>
      </c>
      <c r="ES17" s="27" t="n"/>
      <c r="ET17" s="4" t="n">
        <v>60</v>
      </c>
      <c r="EU17" s="4" t="n">
        <v>60</v>
      </c>
      <c r="EV17" s="27" t="n"/>
      <c r="EW17" s="4" t="n">
        <v>5</v>
      </c>
      <c r="EX17" s="4" t="n">
        <v>5</v>
      </c>
      <c r="EY17" s="27" t="n"/>
      <c r="EZ17" s="4" t="n">
        <v>5</v>
      </c>
      <c r="FA17" s="4" t="n">
        <v>5</v>
      </c>
      <c r="FB17" s="27" t="n"/>
      <c r="FC17" s="28" t="n"/>
      <c r="FD17" s="28" t="n"/>
      <c r="FE17" s="28" t="n"/>
      <c r="FF17" s="28" t="n"/>
      <c r="FG17" s="28" t="n"/>
      <c r="FH17" s="28" t="n"/>
      <c r="FI17" s="4" t="n">
        <v>5</v>
      </c>
      <c r="FJ17" s="4" t="n">
        <v>5</v>
      </c>
      <c r="FK17" s="27" t="n"/>
      <c r="FL17" s="4" t="n">
        <v>0</v>
      </c>
      <c r="FM17" s="4" t="n">
        <v>0</v>
      </c>
      <c r="FN17" s="27" t="n"/>
      <c r="FO17" s="4" t="n">
        <v>40</v>
      </c>
      <c r="FP17" s="4" t="n">
        <v>40</v>
      </c>
      <c r="FQ17" s="27" t="n"/>
      <c r="FR17" s="27" t="n"/>
      <c r="FS17" s="109" t="n"/>
      <c r="FT17" s="54">
        <f>NETWORKDAYS($I18,FO18)</f>
        <v/>
      </c>
      <c r="FU17" s="54">
        <f>NETWORKDAYS($I18,FP18)</f>
        <v/>
      </c>
      <c r="FV17" s="54">
        <f>IF(FQ18="",NETWORKDAYS($I18,FP18),NETWORKDAYS($I18,FQ18))</f>
        <v/>
      </c>
      <c r="FW17" s="55" t="inlineStr">
        <is>
          <t>Total Project</t>
        </is>
      </c>
    </row>
    <row r="18" ht="15" customHeight="1" thickBot="1">
      <c r="A18" s="23" t="inlineStr">
        <is>
          <t>Template for Calculation</t>
        </is>
      </c>
      <c r="B18" s="23" t="n">
        <v>100004</v>
      </c>
      <c r="C18" s="23" t="n">
        <v>555</v>
      </c>
      <c r="D18" s="65" t="n"/>
      <c r="E18" s="23">
        <f>IF(D18="","Unknown",IF(D18&lt;=FM18+90,"Red",IF(AND(D18&gt;FM18+90,D18&lt;=FM18+180),"Yellow",IF(AND(D18&gt;FM18+180,D18&lt;=FM18+690),"Green","Covered"))))</f>
        <v/>
      </c>
      <c r="F18" s="25" t="inlineStr">
        <is>
          <t>BTP + Forging</t>
        </is>
      </c>
      <c r="G18" s="26" t="n"/>
      <c r="H18" s="26">
        <f>IF(CR18="","Pre-Execution","Execution")</f>
        <v/>
      </c>
      <c r="I18" s="13" t="n">
        <v>45717</v>
      </c>
      <c r="J18" s="28" t="n"/>
      <c r="K18" s="28" t="n"/>
      <c r="L18" s="28" t="n"/>
      <c r="M18" s="42">
        <f>WORKDAY(I18,M17)</f>
        <v/>
      </c>
      <c r="N18" s="42">
        <f>WORKDAY(I18,N17)</f>
        <v/>
      </c>
      <c r="O18" s="59" t="n"/>
      <c r="P18" s="42">
        <f>WORKDAY(M18,P17)</f>
        <v/>
      </c>
      <c r="Q18" s="42">
        <f>IF(O18="",WORKDAY(N18,Q17),WORKDAY(O18,Q17))</f>
        <v/>
      </c>
      <c r="R18" s="59" t="n"/>
      <c r="S18" s="28" t="n"/>
      <c r="T18" s="28" t="n"/>
      <c r="U18" s="28" t="n"/>
      <c r="V18" s="10">
        <f>WORKDAY(P18, V17)</f>
        <v/>
      </c>
      <c r="W18" s="10">
        <f>IF(R18="",WORKDAY(Q18,W17),WORKDAY(R18,W17))</f>
        <v/>
      </c>
      <c r="X18" s="56" t="n"/>
      <c r="Y18" s="10">
        <f>WORKDAY(P18,Y17)</f>
        <v/>
      </c>
      <c r="Z18" s="10">
        <f>IF(R18="",WORKDAY(Q18,Z17),WORKDAY(R18,Z17))</f>
        <v/>
      </c>
      <c r="AA18" s="56" t="n"/>
      <c r="AB18" s="10">
        <f>WORKDAY(I18,AB17)</f>
        <v/>
      </c>
      <c r="AC18" s="10">
        <f>WORKDAY(I18,AC17)</f>
        <v/>
      </c>
      <c r="AD18" s="56" t="n"/>
      <c r="AE18" s="10">
        <f>WORKDAY(AB18,AE17)</f>
        <v/>
      </c>
      <c r="AF18" s="10">
        <f>IF(AD18="",WORKDAY(AC18,AF17),WORKDAY(AD18,AF17))</f>
        <v/>
      </c>
      <c r="AG18" s="56" t="n"/>
      <c r="AH18" s="42">
        <f>WORKDAY(IF(Y18&gt;AE18,Y18,AE18),AH17)</f>
        <v/>
      </c>
      <c r="AI18" s="42">
        <f>WORKDAY(IF(AA18="",IF(Z18&gt;AF18,Z18,AF18),IF(AA18&gt;AG18,AA18,AG18)),AI17)</f>
        <v/>
      </c>
      <c r="AJ18" s="59" t="n"/>
      <c r="AK18" s="10">
        <f>WORKDAY(AH18,AK17)</f>
        <v/>
      </c>
      <c r="AL18" s="10">
        <f>IF(AJ18="",WORKDAY(AI18,AL17),WORKDAY(AJ18,AL17))</f>
        <v/>
      </c>
      <c r="AM18" s="56" t="n"/>
      <c r="AN18" s="10">
        <f>WORKDAY(AK18,AN17)</f>
        <v/>
      </c>
      <c r="AO18" s="10">
        <f>IF(AM18="",WORKDAY(AL18,AO17),WORKDAY(AM18,AO17))</f>
        <v/>
      </c>
      <c r="AP18" s="56" t="n"/>
      <c r="AQ18" s="42">
        <f>WORKDAY(AN18,AQ17)</f>
        <v/>
      </c>
      <c r="AR18" s="42">
        <f>IF(AP18="",WORKDAY(AO18,AR17),WORKDAY(AP18,AR17))</f>
        <v/>
      </c>
      <c r="AS18" s="59" t="n"/>
      <c r="AT18" s="10">
        <f>WORKDAY(AN18,AT17)</f>
        <v/>
      </c>
      <c r="AU18" s="10">
        <f>IF(O18="",WORKDAY(AO18,AU17),WORKDAY(AP18,AU17))</f>
        <v/>
      </c>
      <c r="AV18" s="56" t="n"/>
      <c r="AW18" s="10">
        <f>IF(AQ18&gt;AT18,WORKDAY(AQ18,AW17),WORKDAY(AT18,AW17))</f>
        <v/>
      </c>
      <c r="AX18" s="10">
        <f>IF(AS18="",IF(AR18&gt;AU18,WORKDAY(AR18,AX17),WORKDAY(AU18,AX17)),IF(AS18&gt;AV18,WORKDAY(AS18,AX17),WORKDAY(AV18,AX17)))</f>
        <v/>
      </c>
      <c r="AY18" s="56" t="n"/>
      <c r="AZ18" s="10">
        <f>WORKDAY(AN18,AZ17)</f>
        <v/>
      </c>
      <c r="BA18" s="10">
        <f>IF(AP18="",WORKDAY(AO18,BA17),WORKDAY(AP18,BA17))</f>
        <v/>
      </c>
      <c r="BB18" s="56" t="n"/>
      <c r="BC18" s="10">
        <f>IF(AW18&gt;AZ18,WORKDAY(AW18,BC17),WORKDAY(AZ18,BC17))</f>
        <v/>
      </c>
      <c r="BD18" s="10">
        <f>IF(AY18="",IF(AX18&gt;BA18,WORKDAY(AX18,BD17),WORKDAY(BA18,BD17)),IF(AY18&gt;BB18,WORKDAY(AY18,BD17),WORKDAY(BB18,BD17)))</f>
        <v/>
      </c>
      <c r="BE18" s="56" t="n"/>
      <c r="BF18" s="42">
        <f>WORKDAY(BC18,BF17)</f>
        <v/>
      </c>
      <c r="BG18" s="42">
        <f>IF(BE18="",WORKDAY(BD18,BG17),WORKDAY(BE18,BG17))</f>
        <v/>
      </c>
      <c r="BH18" s="56" t="n"/>
      <c r="BI18" s="10">
        <f>WORKDAY(BF18,BI17)</f>
        <v/>
      </c>
      <c r="BJ18" s="10">
        <f>IF(BH18="",WORKDAY(BG18,BJ17),WORKDAY(BH18,BJ17))</f>
        <v/>
      </c>
      <c r="BK18" s="56" t="n"/>
      <c r="BL18" s="28" t="n"/>
      <c r="BM18" s="28" t="n"/>
      <c r="BN18" s="28" t="n"/>
      <c r="BO18" s="28" t="n"/>
      <c r="BP18" s="28" t="n"/>
      <c r="BQ18" s="28" t="n"/>
      <c r="BR18" s="28" t="n"/>
      <c r="BS18" s="28" t="n"/>
      <c r="BT18" s="28" t="n"/>
      <c r="BU18" s="28" t="n"/>
      <c r="BV18" s="28" t="n"/>
      <c r="BW18" s="28" t="n"/>
      <c r="BX18" s="28" t="n"/>
      <c r="BY18" s="28" t="n"/>
      <c r="BZ18" s="28" t="n"/>
      <c r="CA18" s="28" t="n"/>
      <c r="CB18" s="28" t="n"/>
      <c r="CC18" s="28" t="n"/>
      <c r="CD18" s="28" t="n"/>
      <c r="CE18" s="28" t="n"/>
      <c r="CF18" s="28" t="n"/>
      <c r="CG18" s="28" t="n"/>
      <c r="CH18" s="28" t="n"/>
      <c r="CI18" s="28" t="n"/>
      <c r="CJ18" s="10">
        <f>WORKDAY(BI18,CJ17)</f>
        <v/>
      </c>
      <c r="CK18" s="10">
        <f>IF(BK18="",WORKDAY(BJ18,CK17),WORKDAY(BK18,CK17))</f>
        <v/>
      </c>
      <c r="CL18" s="56" t="n"/>
      <c r="CM18" s="42">
        <f>WORKDAY(CJ18,CM17)</f>
        <v/>
      </c>
      <c r="CN18" s="42">
        <f>IF(CL18="",WORKDAY(CK18,CN17),WORKDAY(CL18,CN17))</f>
        <v/>
      </c>
      <c r="CO18" s="56" t="n"/>
      <c r="CP18" s="42">
        <f>WORKDAY(CM18,CP17)</f>
        <v/>
      </c>
      <c r="CQ18" s="42">
        <f>IF(CO18="",WORKDAY(CN18,CQ17),WORKDAY(CO18,CQ17))</f>
        <v/>
      </c>
      <c r="CR18" s="59" t="n"/>
      <c r="CS18" s="77">
        <f>IF(CR18="","No Action: Still in Pre-Execution","Execution schedule has been re-baselined w/ FAIR PO Ack ACD. Validate your durations before publishing")</f>
        <v/>
      </c>
      <c r="CT18" s="42">
        <f>IF(CR18="",WORKDAY(CP18,CT17),WORKDAY(CR18,CT17))</f>
        <v/>
      </c>
      <c r="CU18" s="42">
        <f>IF(CR18="",WORKDAY(CQ18,CU17),WORKDAY(CR18,CU17))</f>
        <v/>
      </c>
      <c r="CV18" s="56" t="n"/>
      <c r="CW18" s="10">
        <f>WORKDAY(AZ18,CW17)</f>
        <v/>
      </c>
      <c r="CX18" s="10">
        <f>IF(BB18="",WORKDAY(BA18,CX17),WORKDAY(BB18,CX17))</f>
        <v/>
      </c>
      <c r="CY18" s="56" t="n"/>
      <c r="CZ18" s="10">
        <f>WORKDAY(CW18,CZ17)</f>
        <v/>
      </c>
      <c r="DA18" s="10">
        <f>IF(CY18="",WORKDAY(CX18,DA17),WORKDAY(CY18,DA17))</f>
        <v/>
      </c>
      <c r="DB18" s="56" t="n"/>
      <c r="DC18" s="10">
        <f>IF($CU18&gt;$DA18,WORKDAY($CU18,DC17),WORKDAY($DA18,DC17))</f>
        <v/>
      </c>
      <c r="DD18" s="10">
        <f>IF(CV18="",IF($CU18&gt;$DA18,WORKDAY($CU18,DD17),WORKDAY($DA18,DD17)),IF($CV18&gt;$DB18,WORKDAY($CV18,DD17),WORKDAY($DB18,DD17)))</f>
        <v/>
      </c>
      <c r="DE18" s="56" t="n"/>
      <c r="DF18" s="10">
        <f>WORKDAY(DC18,DF17)</f>
        <v/>
      </c>
      <c r="DG18" s="10">
        <f>IF(DE18="",WORKDAY(DD18,DG17),WORKDAY(DE18,DG17))</f>
        <v/>
      </c>
      <c r="DH18" s="56" t="n"/>
      <c r="DI18" s="46" t="n"/>
      <c r="DJ18" s="42">
        <f>WORKDAY(DF18,DJ17*DI17)</f>
        <v/>
      </c>
      <c r="DK18" s="42">
        <f>IF(DH18="",WORKDAY(DG18,DK17*DI17),WORKDAY(DH18,DK17*DI17))</f>
        <v/>
      </c>
      <c r="DL18" s="59" t="n"/>
      <c r="DM18" s="10">
        <f>WORKDAY(DJ18,DM17)</f>
        <v/>
      </c>
      <c r="DN18" s="10">
        <f>IF(DL18="",WORKDAY(DK18,DN17),WORKDAY(DL18,DN17))</f>
        <v/>
      </c>
      <c r="DO18" s="56" t="n"/>
      <c r="DP18" s="10">
        <f>WORKDAY(DM18,DP17)</f>
        <v/>
      </c>
      <c r="DQ18" s="10">
        <f>IF(DO18="",WORKDAY(DN18,DQ17),WORKDAY(DO18,DQ17))</f>
        <v/>
      </c>
      <c r="DR18" s="56" t="n"/>
      <c r="DS18" s="90" t="n"/>
      <c r="DT18" s="42">
        <f>WORKDAY(DP18,DT17*$DS17)</f>
        <v/>
      </c>
      <c r="DU18" s="42">
        <f>IF(DR18="",WORKDAY(DQ18,DU17*$DS17),WORKDAY(DR18,DU17*$DS17))</f>
        <v/>
      </c>
      <c r="DV18" s="59" t="n"/>
      <c r="DW18" s="90" t="n"/>
      <c r="DX18" s="42">
        <f>WORKDAY(DT18,DX17*$DW17)</f>
        <v/>
      </c>
      <c r="DY18" s="42">
        <f>IF(DV18="",WORKDAY(DU18,DY17*$DW17),WORKDAY(DV18,DY17*$DW17))</f>
        <v/>
      </c>
      <c r="DZ18" s="59" t="n"/>
      <c r="EA18" s="90" t="n"/>
      <c r="EB18" s="10">
        <f>WORKDAY(DX18,EB17*$EA17)</f>
        <v/>
      </c>
      <c r="EC18" s="10">
        <f>IF(DZ18="",WORKDAY(DY18,EC17*$EA17),WORKDAY(DZ18,EC17*$EA17))</f>
        <v/>
      </c>
      <c r="ED18" s="56" t="n"/>
      <c r="EE18" s="10">
        <f>WORKDAY(EB18,EE17)</f>
        <v/>
      </c>
      <c r="EF18" s="10">
        <f>IF(ED18="",WORKDAY(EC18,EF17),WORKDAY(ED18,EF17))</f>
        <v/>
      </c>
      <c r="EG18" s="56" t="n"/>
      <c r="EH18" s="10">
        <f>IF(CR18="",WORKDAY(BF18,EH17),WORKDAY(BH18,EH17))</f>
        <v/>
      </c>
      <c r="EI18" s="10">
        <f>IF(BH18="",WORKDAY(BG18,EI17),WORKDAY(BH18,EI17))</f>
        <v/>
      </c>
      <c r="EJ18" s="56" t="n"/>
      <c r="EK18" s="27" t="n"/>
      <c r="EL18" s="27" t="n"/>
      <c r="EM18" s="27" t="n"/>
      <c r="EN18" s="10">
        <f>WORKDAY(EE18,EN17)</f>
        <v/>
      </c>
      <c r="EO18" s="10">
        <f>IF(EG18="",WORKDAY(EF18,EO17),WORKDAY(EG18,EO17))</f>
        <v/>
      </c>
      <c r="EP18" s="56" t="n"/>
      <c r="EQ18" s="10">
        <f>WORKDAY(EE18,EQ17)</f>
        <v/>
      </c>
      <c r="ER18" s="10">
        <f>IF(EG18="",WORKDAY(EF18,ER17),WORKDAY(EG18,ER17))</f>
        <v/>
      </c>
      <c r="ES18" s="56" t="n"/>
      <c r="ET18" s="10">
        <f>WORKDAY(EE18,ET17)</f>
        <v/>
      </c>
      <c r="EU18" s="10">
        <f>IF(EG18="",WORKDAY(EF18,EU17),WORKDAY(EG18,EU17))</f>
        <v/>
      </c>
      <c r="EV18" s="56" t="n"/>
      <c r="EW18" s="11">
        <f>WORKDAY(IF(EN18&gt;EQ18,(IF(EN18&gt;ET18,EN18,ET18)),IF(EQ18&gt;ET18,EQ18,ET18)),EW17)</f>
        <v/>
      </c>
      <c r="EX18" s="11">
        <f>IF(EP18="",WORKDAY(IF(EO18&gt;ER18,(IF(EO18&gt;EU18,EO18,EU18)),IF(ER18&gt;EU18,ER18,EU18)),EX17),WORKDAY(IF(EP18&gt;ES18,(IF(EP18&gt;EV18,EP18,EV18)),IF(ES18&gt;EV18,ES18,EV18)),EX17))</f>
        <v/>
      </c>
      <c r="EY18" s="56" t="n"/>
      <c r="EZ18" s="12">
        <f>WORKDAY(EW18,EZ17)</f>
        <v/>
      </c>
      <c r="FA18" s="12">
        <f>IF(EY18="",WORKDAY(EX18,FA17),WORKDAY(EY18,FA17))</f>
        <v/>
      </c>
      <c r="FB18" s="56" t="n"/>
      <c r="FC18" s="28" t="n"/>
      <c r="FD18" s="28" t="n"/>
      <c r="FE18" s="28" t="n"/>
      <c r="FF18" s="60" t="n"/>
      <c r="FG18" s="60" t="n"/>
      <c r="FH18" s="60" t="n"/>
      <c r="FI18" s="12">
        <f>WORKDAY(EZ18,FI17)</f>
        <v/>
      </c>
      <c r="FJ18" s="12">
        <f>IF(FB18="",WORKDAY(FA18,FJ17),WORKDAY(FB18,FJ17))</f>
        <v/>
      </c>
      <c r="FK18" s="56" t="n"/>
      <c r="FL18" s="10">
        <f>WORKDAY(FI18,FL17)</f>
        <v/>
      </c>
      <c r="FM18" s="10">
        <f>IF(FK18="",WORKDAY(FJ18,FM17),WORKDAY(FK18,FM17))</f>
        <v/>
      </c>
      <c r="FN18" s="56" t="n"/>
      <c r="FO18" s="10">
        <f>WORKDAY(FL18,FO17)</f>
        <v/>
      </c>
      <c r="FP18" s="10">
        <f>WORKDAY(FM18,FP17)</f>
        <v/>
      </c>
      <c r="FQ18" s="56" t="n"/>
      <c r="FR18" s="77">
        <f>IF(NETWORKDAYS(FJ18,FO18)&gt;=30,"On-Track",IF(AND(NETWORKDAYS(FJ18,FO18)&lt;30,FJ18&lt;=FO18),"At Risk","Missed TCD"))</f>
        <v/>
      </c>
      <c r="FS18" s="110" t="n"/>
      <c r="FT18" s="57">
        <f>NETWORKDAYS(CP18,FI18)</f>
        <v/>
      </c>
      <c r="FU18" s="57">
        <f>NETWORKDAYS(CQ18,FJ18)</f>
        <v/>
      </c>
      <c r="FV18" s="57">
        <f>IF(BH18="",NETWORKDAYS(BG18,FJ18),IF(FK18="",NETWORKDAYS(BH18,FJ18),NETWORKDAYS(BH18,FK18)))</f>
        <v/>
      </c>
      <c r="FW18" s="58" t="inlineStr">
        <is>
          <t>Execution Only</t>
        </is>
      </c>
    </row>
    <row r="19" ht="15" customHeight="1" thickBot="1">
      <c r="A19" t="inlineStr">
        <is>
          <t xml:space="preserve">ALL TEAMS HAVE SAME TEMPLATE LOCKED HERE </t>
        </is>
      </c>
      <c r="D19" s="9" t="n"/>
      <c r="I19" s="76" t="inlineStr">
        <is>
          <t>Metric Driver</t>
        </is>
      </c>
      <c r="J19" s="30" t="n"/>
      <c r="M19" s="158" t="inlineStr">
        <is>
          <t>Metric Driver - L1 Milestone</t>
        </is>
      </c>
      <c r="N19" s="221" t="n"/>
      <c r="O19" s="221" t="n"/>
      <c r="P19" s="222" t="inlineStr">
        <is>
          <t>Metric Driver - L1 Milestone</t>
        </is>
      </c>
      <c r="Q19" s="221" t="n"/>
      <c r="R19" s="223" t="n"/>
      <c r="Y19" s="6" t="n"/>
      <c r="AH19" s="224" t="inlineStr">
        <is>
          <t>Metric Driver - L2 Milestone</t>
        </is>
      </c>
      <c r="AI19" s="221" t="n"/>
      <c r="AJ19" s="223" t="n"/>
      <c r="AQ19" s="224" t="inlineStr">
        <is>
          <t>Metric Driver - L2 Milestone</t>
        </is>
      </c>
      <c r="AR19" s="221" t="n"/>
      <c r="AS19" s="223" t="n"/>
      <c r="BA19" s="6" t="n"/>
      <c r="BB19" s="6" t="n"/>
      <c r="BC19" s="224" t="inlineStr">
        <is>
          <t>Metric Driver - L2 Milestone</t>
        </is>
      </c>
      <c r="BD19" s="221" t="n"/>
      <c r="BE19" s="223" t="n"/>
      <c r="BF19" s="43" t="n"/>
      <c r="BG19" s="44" t="n"/>
      <c r="BH19" s="44" t="n"/>
      <c r="CM19" s="199" t="inlineStr">
        <is>
          <t>Metric Driver</t>
        </is>
      </c>
      <c r="CN19" s="221" t="n"/>
      <c r="CO19" s="221" t="n"/>
      <c r="CP19" s="76" t="inlineStr">
        <is>
          <t>Metric Driver</t>
        </is>
      </c>
      <c r="CQ19" s="221" t="n"/>
      <c r="CR19" s="221" t="n"/>
      <c r="CS19" s="223" t="n"/>
      <c r="CT19" s="224" t="inlineStr">
        <is>
          <t>Metric Driver - L2 Milestone</t>
        </is>
      </c>
      <c r="CU19" s="221" t="n"/>
      <c r="CV19" s="223" t="n"/>
      <c r="DC19" s="190" t="n"/>
      <c r="DF19" s="224" t="inlineStr">
        <is>
          <t>Metric Driver - L2 Milestone</t>
        </is>
      </c>
      <c r="DG19" s="221" t="n"/>
      <c r="DH19" s="223" t="n"/>
      <c r="DI19" s="225" t="inlineStr">
        <is>
          <t>Cycles of Learning</t>
        </is>
      </c>
      <c r="DJ19" s="221" t="n"/>
      <c r="DK19" s="221" t="n"/>
      <c r="DL19" s="223" t="n"/>
      <c r="DS19" s="225" t="inlineStr">
        <is>
          <t>Cycles of Learning</t>
        </is>
      </c>
      <c r="DT19" s="221" t="n"/>
      <c r="DU19" s="221" t="n"/>
      <c r="DV19" s="223" t="n"/>
      <c r="DW19" s="225" t="inlineStr">
        <is>
          <t>Cycles of Learning</t>
        </is>
      </c>
      <c r="DX19" s="221" t="n"/>
      <c r="DY19" s="221" t="n"/>
      <c r="DZ19" s="223" t="n"/>
      <c r="EA19" s="225" t="inlineStr">
        <is>
          <t>Cycles of Learning</t>
        </is>
      </c>
      <c r="EB19" s="221" t="n"/>
      <c r="EC19" s="221" t="n"/>
      <c r="ED19" s="223" t="n"/>
      <c r="EE19" s="133" t="inlineStr">
        <is>
          <t>Metric Driver - L1 Milestone</t>
        </is>
      </c>
      <c r="EF19" s="221" t="n"/>
      <c r="EG19" s="221" t="n"/>
      <c r="EH19" s="226" t="inlineStr">
        <is>
          <t>Metric Driver - L1 Milestone</t>
        </is>
      </c>
      <c r="EI19" s="221" t="n"/>
      <c r="EJ19" s="223" t="n"/>
      <c r="EZ19" s="226" t="inlineStr">
        <is>
          <t>Metric Driver - L1 Milestone</t>
        </is>
      </c>
      <c r="FA19" s="221" t="n"/>
      <c r="FB19" s="223" t="n"/>
      <c r="FI19" s="227" t="inlineStr">
        <is>
          <t>Metric Driver - L2 Milestone</t>
        </is>
      </c>
      <c r="FJ19" s="221" t="n"/>
      <c r="FK19" s="223" t="n"/>
      <c r="FL19" s="227" t="inlineStr">
        <is>
          <t>Metric Driver - L2 Milestone</t>
        </is>
      </c>
      <c r="FM19" s="221" t="n"/>
      <c r="FN19" s="223" t="n"/>
      <c r="FO19" s="226" t="inlineStr">
        <is>
          <t>Metric Driver - L1 Milestone</t>
        </is>
      </c>
      <c r="FP19" s="221" t="n"/>
      <c r="FQ19" s="223" t="n"/>
      <c r="FR19" s="190" t="n"/>
      <c r="FS19" s="111" t="n"/>
    </row>
    <row r="20">
      <c r="D20" s="9" t="n"/>
      <c r="Y20" s="6" t="n"/>
      <c r="BA20" s="6" t="n"/>
      <c r="BB20" s="6" t="n"/>
    </row>
    <row r="21">
      <c r="D21" s="9" t="n"/>
      <c r="F21" s="97" t="n"/>
    </row>
    <row r="22">
      <c r="D22" s="9" t="n"/>
      <c r="F22" s="97" t="n"/>
      <c r="Y22" s="6" t="n"/>
      <c r="BA22" s="6" t="n"/>
      <c r="BB22" s="6" t="n"/>
    </row>
    <row r="23" ht="14.4" customHeight="1">
      <c r="A23" s="198" t="inlineStr">
        <is>
          <t>To generate your SIMS, enter the Accolade IDs for each project type starting on row#27. Then click on generate SIMS:</t>
        </is>
      </c>
      <c r="Y23" s="6" t="n"/>
      <c r="BA23" s="6" t="n"/>
      <c r="BB23" s="6" t="n"/>
    </row>
    <row r="24" ht="14.4" customHeight="1"/>
    <row r="25">
      <c r="D25" s="9" t="n"/>
    </row>
    <row r="26" ht="43.2" customHeight="1">
      <c r="A26" s="99" t="inlineStr">
        <is>
          <t>BTP FAIR Only Part Number</t>
        </is>
      </c>
      <c r="B26" s="100" t="inlineStr">
        <is>
          <t>BTP + Qual Part Number</t>
        </is>
      </c>
      <c r="C26" s="100" t="inlineStr">
        <is>
          <t>BTS Part Number</t>
        </is>
      </c>
      <c r="D26" s="100" t="inlineStr">
        <is>
          <t>BTP + Casting</t>
        </is>
      </c>
      <c r="E26" s="101" t="inlineStr">
        <is>
          <t>BTP + Forging</t>
        </is>
      </c>
    </row>
    <row r="27">
      <c r="A27" s="113" t="n"/>
      <c r="B27" s="102" t="n"/>
      <c r="C27" s="102" t="n"/>
      <c r="D27" s="103" t="n"/>
      <c r="E27" s="102" t="n"/>
    </row>
    <row r="28">
      <c r="A28" s="114" t="n"/>
      <c r="B28" s="102" t="n"/>
      <c r="C28" s="102" t="n"/>
      <c r="D28" s="103" t="n"/>
      <c r="E28" s="102" t="n"/>
    </row>
    <row r="29">
      <c r="A29" s="113" t="n"/>
      <c r="B29" s="102" t="n"/>
      <c r="C29" s="102" t="n"/>
      <c r="D29" s="103" t="n"/>
      <c r="E29" s="102" t="n"/>
    </row>
    <row r="30">
      <c r="A30" s="114" t="n"/>
      <c r="B30" s="102" t="n"/>
      <c r="C30" s="102" t="n"/>
      <c r="D30" s="103" t="n"/>
      <c r="E30" s="102" t="n"/>
    </row>
    <row r="31">
      <c r="A31" s="113" t="n"/>
      <c r="B31" s="102" t="n"/>
      <c r="C31" s="102" t="n"/>
      <c r="D31" s="103" t="n"/>
      <c r="E31" s="102" t="n"/>
    </row>
    <row r="32">
      <c r="A32" s="114" t="n"/>
      <c r="B32" s="102" t="n"/>
      <c r="C32" s="102" t="n"/>
      <c r="D32" s="103" t="n"/>
      <c r="E32" s="102" t="n"/>
    </row>
    <row r="33">
      <c r="A33" s="113" t="n"/>
      <c r="B33" s="102" t="n"/>
      <c r="C33" s="102" t="n"/>
      <c r="D33" s="103" t="n"/>
      <c r="E33" s="102" t="n"/>
    </row>
    <row r="34">
      <c r="A34" s="114" t="n"/>
      <c r="B34" s="102" t="n"/>
      <c r="C34" s="102" t="n"/>
      <c r="D34" s="103" t="n"/>
      <c r="E34" s="102" t="n"/>
    </row>
    <row r="35">
      <c r="A35" s="115" t="n"/>
      <c r="B35" s="102" t="n"/>
      <c r="C35" s="102" t="n"/>
      <c r="D35" s="103" t="n"/>
      <c r="E35" s="102" t="n"/>
    </row>
    <row r="36">
      <c r="A36" s="116" t="n"/>
      <c r="B36" s="102" t="n"/>
      <c r="C36" s="102" t="n"/>
      <c r="D36" s="103" t="n"/>
      <c r="E36" s="102" t="n"/>
    </row>
    <row r="37">
      <c r="A37" s="102" t="n"/>
      <c r="B37" s="102" t="n"/>
      <c r="C37" s="102" t="n"/>
      <c r="D37" s="103" t="n"/>
      <c r="E37" s="102" t="n"/>
    </row>
    <row r="38">
      <c r="A38" s="102" t="n"/>
      <c r="B38" s="102" t="n"/>
      <c r="C38" s="102" t="n"/>
      <c r="D38" s="103" t="n"/>
      <c r="E38" s="102" t="n"/>
    </row>
    <row r="39">
      <c r="A39" s="102" t="n"/>
      <c r="B39" s="102" t="n"/>
      <c r="C39" s="102" t="n"/>
      <c r="D39" s="103" t="n"/>
      <c r="E39" s="102" t="n"/>
    </row>
    <row r="40">
      <c r="A40" s="102" t="n"/>
      <c r="B40" s="102" t="n"/>
      <c r="C40" s="102" t="n"/>
      <c r="D40" s="103" t="n"/>
      <c r="E40" s="102" t="n"/>
    </row>
    <row r="41">
      <c r="A41" s="102" t="n"/>
      <c r="B41" s="102" t="n"/>
      <c r="C41" s="102" t="n"/>
      <c r="D41" s="103" t="n"/>
      <c r="E41" s="102" t="n"/>
    </row>
    <row r="42">
      <c r="A42" s="102" t="n"/>
      <c r="B42" s="102" t="n"/>
      <c r="C42" s="102" t="n"/>
      <c r="D42" s="103" t="n"/>
      <c r="E42" s="102" t="n"/>
    </row>
    <row r="43">
      <c r="A43" s="102" t="n"/>
      <c r="B43" s="102" t="n"/>
      <c r="C43" s="102" t="n"/>
      <c r="D43" s="103" t="n"/>
      <c r="E43" s="102" t="n"/>
    </row>
    <row r="44">
      <c r="A44" s="102" t="n"/>
      <c r="B44" s="102" t="n"/>
      <c r="C44" s="102" t="n"/>
      <c r="D44" s="103" t="n"/>
      <c r="E44" s="102" t="n"/>
    </row>
    <row r="45">
      <c r="A45" s="102" t="n"/>
      <c r="B45" s="102" t="n"/>
      <c r="C45" s="102" t="n"/>
      <c r="D45" s="103" t="n"/>
      <c r="E45" s="102" t="n"/>
    </row>
    <row r="46">
      <c r="A46" s="102" t="n"/>
      <c r="B46" s="102" t="n"/>
      <c r="C46" s="102" t="n"/>
      <c r="D46" s="103" t="n"/>
      <c r="E46" s="102" t="n"/>
    </row>
    <row r="47">
      <c r="A47" s="102" t="n"/>
      <c r="B47" s="102" t="n"/>
      <c r="C47" s="102" t="n"/>
      <c r="D47" s="103" t="n"/>
      <c r="E47" s="102" t="n"/>
    </row>
    <row r="48">
      <c r="A48" s="102" t="n"/>
      <c r="B48" s="102" t="n"/>
      <c r="C48" s="102" t="n"/>
      <c r="D48" s="103" t="n"/>
      <c r="E48" s="102" t="n"/>
    </row>
    <row r="49">
      <c r="A49" s="102" t="n"/>
      <c r="B49" s="102" t="n"/>
      <c r="C49" s="102" t="n"/>
      <c r="D49" s="103" t="n"/>
      <c r="E49" s="102" t="n"/>
    </row>
    <row r="50">
      <c r="A50" s="102" t="n"/>
      <c r="B50" s="102" t="n"/>
      <c r="C50" s="102" t="n"/>
      <c r="D50" s="103" t="n"/>
      <c r="E50" s="102" t="n"/>
    </row>
    <row r="51">
      <c r="A51" s="102" t="n"/>
      <c r="B51" s="102" t="n"/>
      <c r="C51" s="102" t="n"/>
      <c r="D51" s="103" t="n"/>
      <c r="E51" s="102" t="n"/>
    </row>
    <row r="52">
      <c r="A52" s="102" t="n"/>
      <c r="B52" s="102" t="n"/>
      <c r="C52" s="102" t="n"/>
      <c r="D52" s="103" t="n"/>
      <c r="E52" s="102" t="n"/>
    </row>
    <row r="53">
      <c r="A53" s="102" t="n"/>
      <c r="B53" s="102" t="n"/>
      <c r="C53" s="102" t="n"/>
      <c r="D53" s="103" t="n"/>
      <c r="E53" s="102" t="n"/>
    </row>
    <row r="54">
      <c r="A54" s="102" t="n"/>
      <c r="B54" s="102" t="n"/>
      <c r="C54" s="102" t="n"/>
      <c r="D54" s="103" t="n"/>
      <c r="E54" s="102" t="n"/>
    </row>
    <row r="55">
      <c r="A55" s="102" t="n"/>
      <c r="B55" s="102" t="n"/>
      <c r="C55" s="102" t="n"/>
      <c r="D55" s="103" t="n"/>
      <c r="E55" s="102" t="n"/>
    </row>
    <row r="56">
      <c r="A56" s="102" t="n"/>
      <c r="B56" s="102" t="n"/>
      <c r="C56" s="102" t="n"/>
      <c r="D56" s="103" t="n"/>
      <c r="E56" s="102" t="n"/>
    </row>
    <row r="57">
      <c r="A57" s="102" t="n"/>
      <c r="B57" s="102" t="n"/>
      <c r="C57" s="102" t="n"/>
      <c r="D57" s="103" t="n"/>
      <c r="E57" s="102" t="n"/>
    </row>
    <row r="58">
      <c r="A58" s="102" t="n"/>
      <c r="B58" s="102" t="n"/>
      <c r="C58" s="102" t="n"/>
      <c r="D58" s="103" t="n"/>
      <c r="E58" s="102" t="n"/>
    </row>
    <row r="59">
      <c r="A59" s="102" t="n"/>
      <c r="B59" s="102" t="n"/>
      <c r="C59" s="102" t="n"/>
      <c r="D59" s="103" t="n"/>
      <c r="E59" s="102" t="n"/>
    </row>
    <row r="60">
      <c r="A60" s="102" t="n"/>
      <c r="B60" s="102" t="n"/>
      <c r="C60" s="102" t="n"/>
      <c r="D60" s="103" t="n"/>
      <c r="E60" s="102" t="n"/>
    </row>
    <row r="61">
      <c r="A61" s="102" t="n"/>
      <c r="B61" s="102" t="n"/>
      <c r="C61" s="102" t="n"/>
      <c r="D61" s="103" t="n"/>
      <c r="E61" s="102" t="n"/>
    </row>
    <row r="62">
      <c r="A62" s="102" t="n"/>
      <c r="B62" s="102" t="n"/>
      <c r="C62" s="102" t="n"/>
      <c r="D62" s="103" t="n"/>
      <c r="E62" s="102" t="n"/>
    </row>
    <row r="63">
      <c r="A63" s="102" t="n"/>
      <c r="B63" s="102" t="n"/>
      <c r="C63" s="102" t="n"/>
      <c r="D63" s="103" t="n"/>
      <c r="E63" s="102" t="n"/>
    </row>
    <row r="64">
      <c r="A64" s="102" t="n"/>
      <c r="B64" s="102" t="n"/>
      <c r="C64" s="102" t="n"/>
      <c r="D64" s="103" t="n"/>
      <c r="E64" s="102" t="n"/>
    </row>
    <row r="65">
      <c r="A65" s="102" t="n"/>
      <c r="B65" s="102" t="n"/>
      <c r="C65" s="102" t="n"/>
      <c r="D65" s="103" t="n"/>
      <c r="E65" s="102" t="n"/>
    </row>
    <row r="66">
      <c r="A66" s="102" t="n"/>
      <c r="B66" s="102" t="n"/>
      <c r="C66" s="102" t="n"/>
      <c r="D66" s="103" t="n"/>
      <c r="E66" s="102" t="n"/>
    </row>
    <row r="67">
      <c r="A67" s="102" t="n"/>
      <c r="B67" s="102" t="n"/>
      <c r="C67" s="102" t="n"/>
      <c r="D67" s="103" t="n"/>
      <c r="E67" s="102" t="n"/>
    </row>
    <row r="68">
      <c r="A68" s="102" t="n"/>
      <c r="B68" s="102" t="n"/>
      <c r="C68" s="102" t="n"/>
      <c r="D68" s="103" t="n"/>
      <c r="E68" s="102" t="n"/>
    </row>
    <row r="69">
      <c r="A69" s="102" t="n"/>
      <c r="B69" s="102" t="n"/>
      <c r="C69" s="102" t="n"/>
      <c r="D69" s="103" t="n"/>
      <c r="E69" s="102" t="n"/>
    </row>
    <row r="70">
      <c r="A70" s="102" t="n"/>
      <c r="B70" s="102" t="n"/>
      <c r="C70" s="102" t="n"/>
      <c r="D70" s="103" t="n"/>
      <c r="E70" s="102" t="n"/>
    </row>
    <row r="71">
      <c r="A71" s="102" t="n"/>
      <c r="B71" s="102" t="n"/>
      <c r="C71" s="102" t="n"/>
      <c r="D71" s="103" t="n"/>
      <c r="E71" s="102" t="n"/>
    </row>
    <row r="72">
      <c r="A72" s="102" t="n"/>
      <c r="B72" s="102" t="n"/>
      <c r="C72" s="102" t="n"/>
      <c r="D72" s="103" t="n"/>
      <c r="E72" s="102" t="n"/>
    </row>
    <row r="73">
      <c r="A73" s="102" t="n"/>
      <c r="B73" s="102" t="n"/>
      <c r="C73" s="102" t="n"/>
      <c r="D73" s="103" t="n"/>
      <c r="E73" s="102" t="n"/>
    </row>
    <row r="74">
      <c r="A74" s="102" t="n"/>
      <c r="B74" s="102" t="n"/>
      <c r="C74" s="102" t="n"/>
      <c r="D74" s="103" t="n"/>
      <c r="E74" s="102" t="n"/>
    </row>
    <row r="75">
      <c r="A75" s="102" t="n"/>
      <c r="B75" s="102" t="n"/>
      <c r="C75" s="102" t="n"/>
      <c r="D75" s="103" t="n"/>
      <c r="E75" s="102" t="n"/>
    </row>
    <row r="76">
      <c r="A76" s="102" t="n"/>
      <c r="B76" s="102" t="n"/>
      <c r="C76" s="102" t="n"/>
      <c r="D76" s="103" t="n"/>
      <c r="E76" s="102" t="n"/>
    </row>
    <row r="77">
      <c r="A77" s="102" t="n"/>
      <c r="B77" s="102" t="n"/>
      <c r="C77" s="102" t="n"/>
      <c r="D77" s="103" t="n"/>
      <c r="E77" s="102" t="n"/>
    </row>
    <row r="78">
      <c r="A78" s="102" t="n"/>
      <c r="B78" s="102" t="n"/>
      <c r="C78" s="102" t="n"/>
      <c r="D78" s="103" t="n"/>
      <c r="E78" s="102" t="n"/>
    </row>
    <row r="79">
      <c r="A79" s="102" t="n"/>
      <c r="B79" s="102" t="n"/>
      <c r="C79" s="102" t="n"/>
      <c r="D79" s="103" t="n"/>
      <c r="E79" s="102" t="n"/>
    </row>
    <row r="80">
      <c r="A80" s="102" t="n"/>
      <c r="B80" s="102" t="n"/>
      <c r="C80" s="102" t="n"/>
      <c r="D80" s="103" t="n"/>
      <c r="E80" s="102" t="n"/>
    </row>
    <row r="81">
      <c r="A81" s="102" t="n"/>
      <c r="B81" s="102" t="n"/>
      <c r="C81" s="102" t="n"/>
      <c r="D81" s="103" t="n"/>
      <c r="E81" s="102" t="n"/>
    </row>
    <row r="82">
      <c r="A82" s="102" t="n"/>
      <c r="B82" s="102" t="n"/>
      <c r="C82" s="102" t="n"/>
      <c r="D82" s="103" t="n"/>
      <c r="E82" s="102" t="n"/>
    </row>
    <row r="83">
      <c r="A83" s="102" t="n"/>
      <c r="B83" s="102" t="n"/>
      <c r="C83" s="102" t="n"/>
      <c r="D83" s="103" t="n"/>
      <c r="E83" s="102" t="n"/>
    </row>
    <row r="84">
      <c r="A84" s="102" t="n"/>
      <c r="B84" s="102" t="n"/>
      <c r="C84" s="102" t="n"/>
      <c r="D84" s="103" t="n"/>
      <c r="E84" s="102" t="n"/>
    </row>
    <row r="85">
      <c r="A85" s="102" t="n"/>
      <c r="B85" s="102" t="n"/>
      <c r="C85" s="102" t="n"/>
      <c r="D85" s="103" t="n"/>
      <c r="E85" s="102" t="n"/>
    </row>
    <row r="86">
      <c r="A86" s="102" t="n"/>
      <c r="B86" s="102" t="n"/>
      <c r="C86" s="102" t="n"/>
      <c r="D86" s="103" t="n"/>
      <c r="E86" s="102" t="n"/>
    </row>
    <row r="87">
      <c r="A87" s="102" t="n"/>
      <c r="B87" s="102" t="n"/>
      <c r="C87" s="102" t="n"/>
      <c r="D87" s="103" t="n"/>
      <c r="E87" s="102" t="n"/>
    </row>
    <row r="88">
      <c r="A88" s="102" t="n"/>
      <c r="B88" s="102" t="n"/>
      <c r="C88" s="102" t="n"/>
      <c r="D88" s="103" t="n"/>
      <c r="E88" s="102" t="n"/>
    </row>
    <row r="89">
      <c r="A89" s="102" t="n"/>
      <c r="B89" s="102" t="n"/>
      <c r="C89" s="102" t="n"/>
      <c r="D89" s="103" t="n"/>
      <c r="E89" s="102" t="n"/>
    </row>
    <row r="90">
      <c r="A90" s="102" t="n"/>
      <c r="B90" s="102" t="n"/>
      <c r="C90" s="102" t="n"/>
      <c r="D90" s="103" t="n"/>
      <c r="E90" s="102" t="n"/>
    </row>
    <row r="91">
      <c r="A91" s="102" t="n"/>
      <c r="B91" s="102" t="n"/>
      <c r="C91" s="102" t="n"/>
      <c r="D91" s="103" t="n"/>
      <c r="E91" s="102" t="n"/>
    </row>
    <row r="92">
      <c r="A92" s="102" t="n"/>
      <c r="B92" s="102" t="n"/>
      <c r="C92" s="102" t="n"/>
      <c r="D92" s="103" t="n"/>
      <c r="E92" s="102" t="n"/>
    </row>
    <row r="93">
      <c r="A93" s="102" t="n"/>
      <c r="B93" s="102" t="n"/>
      <c r="C93" s="102" t="n"/>
      <c r="D93" s="103" t="n"/>
      <c r="E93" s="102" t="n"/>
    </row>
    <row r="94">
      <c r="A94" s="102" t="n"/>
      <c r="B94" s="102" t="n"/>
      <c r="C94" s="102" t="n"/>
      <c r="D94" s="103" t="n"/>
      <c r="E94" s="102" t="n"/>
    </row>
    <row r="95">
      <c r="A95" s="102" t="n"/>
      <c r="B95" s="102" t="n"/>
      <c r="C95" s="102" t="n"/>
      <c r="D95" s="103" t="n"/>
      <c r="E95" s="102" t="n"/>
    </row>
    <row r="96">
      <c r="A96" s="102" t="n"/>
      <c r="B96" s="102" t="n"/>
      <c r="C96" s="102" t="n"/>
      <c r="D96" s="103" t="n"/>
      <c r="E96" s="102" t="n"/>
    </row>
    <row r="97">
      <c r="A97" s="102" t="n"/>
      <c r="B97" s="102" t="n"/>
      <c r="C97" s="102" t="n"/>
      <c r="D97" s="103" t="n"/>
      <c r="E97" s="102" t="n"/>
    </row>
    <row r="98">
      <c r="A98" s="102" t="n"/>
      <c r="B98" s="102" t="n"/>
      <c r="C98" s="102" t="n"/>
      <c r="D98" s="103" t="n"/>
      <c r="E98" s="102" t="n"/>
    </row>
    <row r="99">
      <c r="A99" s="102" t="n"/>
      <c r="B99" s="102" t="n"/>
      <c r="C99" s="102" t="n"/>
      <c r="D99" s="103" t="n"/>
      <c r="E99" s="102" t="n"/>
    </row>
    <row r="100">
      <c r="A100" s="102" t="n"/>
      <c r="B100" s="102" t="n"/>
      <c r="C100" s="102" t="n"/>
      <c r="D100" s="103" t="n"/>
      <c r="E100" s="102" t="n"/>
    </row>
    <row r="101">
      <c r="A101" s="102" t="n"/>
      <c r="B101" s="102" t="n"/>
      <c r="C101" s="102" t="n"/>
      <c r="D101" s="103" t="n"/>
      <c r="E101" s="102" t="n"/>
    </row>
    <row r="102">
      <c r="A102" s="102" t="n"/>
      <c r="B102" s="102" t="n"/>
      <c r="C102" s="102" t="n"/>
      <c r="D102" s="103" t="n"/>
      <c r="E102" s="102" t="n"/>
    </row>
    <row r="103">
      <c r="A103" s="102" t="n"/>
      <c r="B103" s="102" t="n"/>
      <c r="C103" s="102" t="n"/>
      <c r="D103" s="103" t="n"/>
      <c r="E103" s="102" t="n"/>
    </row>
    <row r="104">
      <c r="A104" s="102" t="n"/>
      <c r="B104" s="102" t="n"/>
      <c r="C104" s="102" t="n"/>
      <c r="D104" s="103" t="n"/>
      <c r="E104" s="102" t="n"/>
    </row>
    <row r="105">
      <c r="A105" s="102" t="n"/>
      <c r="B105" s="102" t="n"/>
      <c r="C105" s="102" t="n"/>
      <c r="D105" s="103" t="n"/>
      <c r="E105" s="102" t="n"/>
    </row>
    <row r="106">
      <c r="A106" s="102" t="n"/>
      <c r="B106" s="102" t="n"/>
      <c r="C106" s="102" t="n"/>
      <c r="D106" s="103" t="n"/>
      <c r="E106" s="102" t="n"/>
    </row>
    <row r="107">
      <c r="A107" s="102" t="n"/>
      <c r="B107" s="102" t="n"/>
      <c r="C107" s="102" t="n"/>
      <c r="D107" s="103" t="n"/>
      <c r="E107" s="102" t="n"/>
    </row>
    <row r="108">
      <c r="A108" s="102" t="n"/>
      <c r="B108" s="102" t="n"/>
      <c r="C108" s="102" t="n"/>
      <c r="D108" s="103" t="n"/>
      <c r="E108" s="102" t="n"/>
    </row>
    <row r="109">
      <c r="A109" s="102" t="n"/>
      <c r="B109" s="102" t="n"/>
      <c r="C109" s="102" t="n"/>
      <c r="D109" s="103" t="n"/>
      <c r="E109" s="102" t="n"/>
    </row>
    <row r="110">
      <c r="A110" s="102" t="n"/>
      <c r="B110" s="102" t="n"/>
      <c r="C110" s="102" t="n"/>
      <c r="D110" s="103" t="n"/>
      <c r="E110" s="102" t="n"/>
    </row>
    <row r="111">
      <c r="A111" s="102" t="n"/>
      <c r="B111" s="102" t="n"/>
      <c r="C111" s="102" t="n"/>
      <c r="D111" s="103" t="n"/>
      <c r="E111" s="102" t="n"/>
    </row>
    <row r="112">
      <c r="A112" s="102" t="n"/>
      <c r="B112" s="102" t="n"/>
      <c r="C112" s="102" t="n"/>
      <c r="D112" s="103" t="n"/>
      <c r="E112" s="102" t="n"/>
    </row>
    <row r="113">
      <c r="A113" s="102" t="n"/>
      <c r="B113" s="102" t="n"/>
      <c r="C113" s="102" t="n"/>
      <c r="D113" s="103" t="n"/>
      <c r="E113" s="102" t="n"/>
    </row>
    <row r="114">
      <c r="A114" s="102" t="n"/>
      <c r="B114" s="102" t="n"/>
      <c r="C114" s="102" t="n"/>
      <c r="D114" s="103" t="n"/>
      <c r="E114" s="102" t="n"/>
    </row>
    <row r="115">
      <c r="A115" s="102" t="n"/>
      <c r="B115" s="102" t="n"/>
      <c r="C115" s="102" t="n"/>
      <c r="D115" s="103" t="n"/>
      <c r="E115" s="102" t="n"/>
    </row>
    <row r="116">
      <c r="A116" s="102" t="n"/>
      <c r="B116" s="102" t="n"/>
      <c r="C116" s="102" t="n"/>
      <c r="D116" s="103" t="n"/>
      <c r="E116" s="102" t="n"/>
    </row>
    <row r="117">
      <c r="A117" s="102" t="n"/>
      <c r="B117" s="102" t="n"/>
      <c r="C117" s="102" t="n"/>
      <c r="D117" s="103" t="n"/>
      <c r="E117" s="102" t="n"/>
    </row>
    <row r="118">
      <c r="A118" s="102" t="n"/>
      <c r="B118" s="102" t="n"/>
      <c r="C118" s="102" t="n"/>
      <c r="D118" s="103" t="n"/>
      <c r="E118" s="102" t="n"/>
    </row>
    <row r="119">
      <c r="A119" s="102" t="n"/>
      <c r="B119" s="102" t="n"/>
      <c r="C119" s="102" t="n"/>
      <c r="D119" s="103" t="n"/>
      <c r="E119" s="102" t="n"/>
    </row>
    <row r="120">
      <c r="A120" s="102" t="n"/>
      <c r="B120" s="102" t="n"/>
      <c r="C120" s="102" t="n"/>
      <c r="D120" s="103" t="n"/>
      <c r="E120" s="102" t="n"/>
    </row>
    <row r="121">
      <c r="A121" s="102" t="n"/>
      <c r="B121" s="102" t="n"/>
      <c r="C121" s="102" t="n"/>
      <c r="D121" s="103" t="n"/>
      <c r="E121" s="102" t="n"/>
    </row>
    <row r="122">
      <c r="A122" s="102" t="n"/>
      <c r="B122" s="102" t="n"/>
      <c r="C122" s="102" t="n"/>
      <c r="D122" s="103" t="n"/>
      <c r="E122" s="102" t="n"/>
    </row>
    <row r="123">
      <c r="A123" s="102" t="n"/>
      <c r="B123" s="102" t="n"/>
      <c r="C123" s="102" t="n"/>
      <c r="D123" s="103" t="n"/>
      <c r="E123" s="102" t="n"/>
    </row>
    <row r="124">
      <c r="A124" s="102" t="n"/>
      <c r="B124" s="102" t="n"/>
      <c r="C124" s="102" t="n"/>
      <c r="D124" s="103" t="n"/>
      <c r="E124" s="102" t="n"/>
    </row>
    <row r="125">
      <c r="A125" s="102" t="n"/>
      <c r="B125" s="102" t="n"/>
      <c r="C125" s="102" t="n"/>
      <c r="D125" s="103" t="n"/>
      <c r="E125" s="102" t="n"/>
    </row>
    <row r="126">
      <c r="A126" s="102" t="n"/>
      <c r="B126" s="102" t="n"/>
      <c r="C126" s="102" t="n"/>
      <c r="D126" s="103" t="n"/>
      <c r="E126" s="102" t="n"/>
    </row>
  </sheetData>
  <autoFilter ref="A8:FW19"/>
  <mergeCells count="91">
    <mergeCell ref="EA19:ED19"/>
    <mergeCell ref="CZ7:DB7"/>
    <mergeCell ref="EH7:EJ7"/>
    <mergeCell ref="ET7:EV7"/>
    <mergeCell ref="BC3:BH3"/>
    <mergeCell ref="P19:R19"/>
    <mergeCell ref="CP19:CS19"/>
    <mergeCell ref="FO19:FQ19"/>
    <mergeCell ref="BU7:BW7"/>
    <mergeCell ref="FC7:FE7"/>
    <mergeCell ref="CT19:CV19"/>
    <mergeCell ref="DS7:DV7"/>
    <mergeCell ref="EH19:EJ19"/>
    <mergeCell ref="EK7:EM7"/>
    <mergeCell ref="H1:H2"/>
    <mergeCell ref="DC19:DE19"/>
    <mergeCell ref="I1:CU2"/>
    <mergeCell ref="CP7:CS7"/>
    <mergeCell ref="J7:L7"/>
    <mergeCell ref="BL7:BN7"/>
    <mergeCell ref="CT7:CV7"/>
    <mergeCell ref="DS19:DV19"/>
    <mergeCell ref="DF7:DH7"/>
    <mergeCell ref="FF7:FH7"/>
    <mergeCell ref="CM19:CO19"/>
    <mergeCell ref="BF4:CL4"/>
    <mergeCell ref="CM4:EY4"/>
    <mergeCell ref="J3:AA3"/>
    <mergeCell ref="FL5:FR6"/>
    <mergeCell ref="AE7:AG7"/>
    <mergeCell ref="AW7:AY7"/>
    <mergeCell ref="CG7:CI7"/>
    <mergeCell ref="DF19:DH19"/>
    <mergeCell ref="BC7:BE7"/>
    <mergeCell ref="BO7:BQ7"/>
    <mergeCell ref="EW7:EY7"/>
    <mergeCell ref="P7:R7"/>
    <mergeCell ref="AZ7:BB7"/>
    <mergeCell ref="A23:E24"/>
    <mergeCell ref="AQ19:AS19"/>
    <mergeCell ref="CD7:CF7"/>
    <mergeCell ref="AQ3:BA3"/>
    <mergeCell ref="V7:X7"/>
    <mergeCell ref="AN7:AP7"/>
    <mergeCell ref="BX7:BZ7"/>
    <mergeCell ref="AH7:AJ7"/>
    <mergeCell ref="M19:O19"/>
    <mergeCell ref="FI19:FK19"/>
    <mergeCell ref="CJ7:CL7"/>
    <mergeCell ref="DI19:DL19"/>
    <mergeCell ref="EN7:EP7"/>
    <mergeCell ref="G1:G2"/>
    <mergeCell ref="FT5:FW7"/>
    <mergeCell ref="EZ7:FB7"/>
    <mergeCell ref="EE19:EG19"/>
    <mergeCell ref="AH3:AP3"/>
    <mergeCell ref="BF7:BH7"/>
    <mergeCell ref="AK7:AM7"/>
    <mergeCell ref="I5:BH6"/>
    <mergeCell ref="BI5:FK6"/>
    <mergeCell ref="AQ7:AS7"/>
    <mergeCell ref="BI7:BK7"/>
    <mergeCell ref="S7:U7"/>
    <mergeCell ref="AH19:AJ19"/>
    <mergeCell ref="DC7:DE7"/>
    <mergeCell ref="M7:O7"/>
    <mergeCell ref="Y7:AA7"/>
    <mergeCell ref="DI7:DL7"/>
    <mergeCell ref="EZ19:FB19"/>
    <mergeCell ref="CA7:CC7"/>
    <mergeCell ref="CM7:CO7"/>
    <mergeCell ref="CW7:CY7"/>
    <mergeCell ref="DW7:DZ7"/>
    <mergeCell ref="EE7:EG7"/>
    <mergeCell ref="EZ4:FR4"/>
    <mergeCell ref="EQ7:ES7"/>
    <mergeCell ref="J4:BE4"/>
    <mergeCell ref="FI7:FK7"/>
    <mergeCell ref="AB7:AD7"/>
    <mergeCell ref="EA7:ED7"/>
    <mergeCell ref="BC19:BE19"/>
    <mergeCell ref="DM7:DO7"/>
    <mergeCell ref="FL19:FN19"/>
    <mergeCell ref="FO7:FQ7"/>
    <mergeCell ref="A7:G7"/>
    <mergeCell ref="AT7:AV7"/>
    <mergeCell ref="DP7:DR7"/>
    <mergeCell ref="DW19:DZ19"/>
    <mergeCell ref="AE3:AG3"/>
    <mergeCell ref="FL7:FN7"/>
    <mergeCell ref="BR7:BT7"/>
  </mergeCells>
  <conditionalFormatting sqref="I10:I18 L10 L12 L14 L16 L18 O10 O12 O14 O16 O18 R10 R12 R14 R16 R18 U10 U12 U14 U16 U18 X10 X12 X14 X16 X18 AA10 AA12 AA14 AA16 AA18 AD10 AD12 AD14 AD16 AD18 AG10 AG12 AG14 AG16 AG18 AJ10 AJ12 AJ14 AJ16 AJ18 AM10 AM12 AM14 AM16 AM18 AP10 AP12 AP14 AP16 AP18 AS10 AS12 AS14 AS16 AS18 AV10 AV12 AV14 AV16 AV18 AY10 AY12 AY14 AY16 AY18 BB10 BB12 BB14 BB16 BB18 BE10 BE12 BE14 BE16 BE18 BH10 BH12 BH14 BH16 BH18 BK10 BK12 BK14 BK16 BK18 BN10 BN12 BN14 BN16 BN18 BQ10 BQ12 BQ14 BQ16 BQ18 BT10 BT12 BT14 BT16 BT18 BW10 BW12 BW14 BW16 BW18 BZ10 BZ12 BZ14 BZ16 BZ18 CC10 CC12 CC14 CC16 CC18 CF10 CF12 CF14 CF16 CF18 CI10 CI12 CI14 CI16 CI18 CL10 CL12 CL14 CL16 CL18 CO10 CO12 CO14 CO16 CO18 CR10 CR12 CR14 CR16 CR18 CV10 CV12 CV14 CV16 CV18 CY10 CY12 CY14 CY16 CY18 DB10 DB12 DB14 DB16 DB18 DE10 DE12 DE14 DE16 DE18 DH10 DH12 DH14 DH16 DH18 DL10 DL12 DL14 DL16 DL18 DO10 DO12 DO14 DO16 DO18 DR10:DR18 DV10:DV18 DZ10:EA10 DZ12 DZ14 DZ16 DZ18 ED10 ED12 ED14 ED16 ED18 EG10 EG12 EG14 EG16 EG18 EJ10 EJ12 EJ14 EJ16 EJ18 EM10 EM12 EM14 EM16 EM18 EP10 EP12 EP14 EP16 EP18 ES10 ES12 ES14 ES16 ES18 EV10 EV12 EV14 EV16 EV18 EY10 EY12 EY14 EY16 EY18 FB10 FB12 FB14 FB16 FB18 FE10 FE12 FE14 FE16 FE18 FH10 FH12 FH14 FH16 FH18 FK10 FK12 FK14 FK16 FK18 FN10 FN12 FN14 FN16 FN18 FQ10 FQ12 FQ14 FQ16 FQ18">
    <cfRule type="notContainsBlanks" priority="34" dxfId="0">
      <formula>LEN(TRIM(I10))&gt;0</formula>
    </cfRule>
  </conditionalFormatting>
  <conditionalFormatting sqref="E1:E22 E25 E1048550:E1048576">
    <cfRule type="cellIs" priority="27" operator="equal" dxfId="44">
      <formula>"Red"</formula>
    </cfRule>
    <cfRule type="cellIs" priority="28" operator="equal" dxfId="43">
      <formula>"Unknown"</formula>
    </cfRule>
    <cfRule type="cellIs" priority="29" operator="equal" dxfId="42">
      <formula>"Covered"</formula>
    </cfRule>
    <cfRule type="cellIs" priority="30" operator="equal" dxfId="0">
      <formula>"Green"</formula>
    </cfRule>
    <cfRule type="cellIs" priority="31" operator="equal" dxfId="36">
      <formula>"Yellow"</formula>
    </cfRule>
  </conditionalFormatting>
  <conditionalFormatting sqref="FR10:FS10 FR12:FS12 FR14:FS14 FR16:FS16 FR18:FS18">
    <cfRule type="cellIs" priority="24" operator="equal" dxfId="39">
      <formula>"Missed TCD"</formula>
    </cfRule>
    <cfRule type="cellIs" priority="25" operator="equal" dxfId="0">
      <formula>"On-Track"</formula>
    </cfRule>
    <cfRule type="cellIs" priority="26" operator="equal" dxfId="36">
      <formula>"At Risk"</formula>
    </cfRule>
  </conditionalFormatting>
  <conditionalFormatting sqref="CS10 CS12 CS14 CS16 CS18">
    <cfRule type="cellIs" priority="22" operator="equal" dxfId="36">
      <formula>"Execution schedule has been re-baselined w/ FAIR PO Ack ACD. Validate your durations before publishing"</formula>
    </cfRule>
  </conditionalFormatting>
  <conditionalFormatting sqref="E127:E1048549">
    <cfRule type="cellIs" priority="17" operator="equal" dxfId="44">
      <formula>"Red"</formula>
    </cfRule>
    <cfRule type="cellIs" priority="18" operator="equal" dxfId="43">
      <formula>"Unknown"</formula>
    </cfRule>
    <cfRule type="cellIs" priority="19" operator="equal" dxfId="42">
      <formula>"Covered"</formula>
    </cfRule>
    <cfRule type="cellIs" priority="20" operator="equal" dxfId="0">
      <formula>"Green"</formula>
    </cfRule>
    <cfRule type="cellIs" priority="21" operator="equal" dxfId="36">
      <formula>"Yellow"</formula>
    </cfRule>
  </conditionalFormatting>
  <conditionalFormatting sqref="E34:E126">
    <cfRule type="cellIs" priority="12" operator="equal" dxfId="44">
      <formula>"Red"</formula>
    </cfRule>
    <cfRule type="cellIs" priority="13" operator="equal" dxfId="43">
      <formula>"Unknown"</formula>
    </cfRule>
    <cfRule type="cellIs" priority="14" operator="equal" dxfId="42">
      <formula>"Covered"</formula>
    </cfRule>
    <cfRule type="cellIs" priority="15" operator="equal" dxfId="0">
      <formula>"Green"</formula>
    </cfRule>
    <cfRule type="cellIs" priority="16" operator="equal" dxfId="36">
      <formula>"Yellow"</formula>
    </cfRule>
  </conditionalFormatting>
  <conditionalFormatting sqref="A37:E126 B34:E36">
    <cfRule type="notContainsBlanks" priority="11" dxfId="151">
      <formula>LEN(TRIM(A34))&gt;0</formula>
    </cfRule>
  </conditionalFormatting>
  <conditionalFormatting sqref="E27:E33">
    <cfRule type="cellIs" priority="6" operator="equal" dxfId="44">
      <formula>"Red"</formula>
    </cfRule>
    <cfRule type="cellIs" priority="7" operator="equal" dxfId="43">
      <formula>"Unknown"</formula>
    </cfRule>
    <cfRule type="cellIs" priority="8" operator="equal" dxfId="42">
      <formula>"Covered"</formula>
    </cfRule>
    <cfRule type="cellIs" priority="9" operator="equal" dxfId="0">
      <formula>"Green"</formula>
    </cfRule>
    <cfRule type="cellIs" priority="10" operator="equal" dxfId="36">
      <formula>"Yellow"</formula>
    </cfRule>
  </conditionalFormatting>
  <conditionalFormatting sqref="B27:E33">
    <cfRule type="notContainsBlanks" priority="5" dxfId="151">
      <formula>LEN(TRIM(B27))&gt;0</formula>
    </cfRule>
  </conditionalFormatting>
  <conditionalFormatting sqref="A27:A36">
    <cfRule type="duplicateValues" priority="1" dxfId="147"/>
    <cfRule type="duplicateValues" priority="2" dxfId="147"/>
    <cfRule type="duplicateValues" priority="3" dxfId="147"/>
    <cfRule type="duplicateValues" priority="4" dxfId="147"/>
  </conditionalFormatting>
  <dataValidations count="4">
    <dataValidation sqref="D9:D22 D25 I1:AB1048576 AC1:AD6 AC8:AD1048576 AE1:AZ1048576 BA1:BE6 BA8:BE1048576 BC7:BE7 BF1:BF1048576 BG1:BI3 BG5:BH1048576 BI5 BI7:BI1048576 BJ1:DF2 BJ7:BK18 BJ20:BK1048576 BL7:CP1048576 CM4 CQ8:CR18 CQ20:CS1048576 CS8 CT7:CT1048576 CU8:CV18 CU20:CV1048576 CW7:CZ1048576 DA8:DE1048576 DC7:DE7 DF7:DH1048576 DG1 DI1:DJ1 DI2:DK2 DI7 DI8:DL18 DI19 DI20:DL1048576 DM1:DP2 DM7:DP1048576 DQ1 DQ8:DS1048576 DS7 DT1 DT2:DU2 DT8:ED18 DT20:ED1048576 DV1:DW2 DW7 DW19 DX1 DX2:DY2 DZ1:EA2 EA7 EA19 EB1 EB2:EC2 ED1:FQ2 EE7:EM1048576 EN7 EN8:FB1048576 EQ7 ET7 EW7 EZ4 EZ7:FB7 FC7:FC1048576 FD8:FH1048576 FI7:FL1048576 FL5 FM8:FN1048576 FO7:FQ1048576" showDropDown="0" showInputMessage="1" showErrorMessage="1" allowBlank="1" type="whole" operator="greaterThan">
      <formula1>-9999</formula1>
    </dataValidation>
    <dataValidation sqref="CS9:CS18 FR1:FS2 FR7:FS1048576" showDropDown="0" showInputMessage="1" showErrorMessage="1" allowBlank="1" operator="greaterThan"/>
    <dataValidation sqref="H6:H1048576" showDropDown="0" showInputMessage="1" showErrorMessage="1" allowBlank="1" type="list">
      <formula1>"Pre-Execution,Execution"</formula1>
    </dataValidation>
    <dataValidation sqref="E9:E22" showDropDown="0" showInputMessage="1" showErrorMessage="1" allowBlank="1" type="list">
      <formula1>"Covered,Green,Yellow,Red,Unknown"</formula1>
    </dataValidation>
  </dataValidations>
  <pageMargins left="0.7" right="0.7" top="0.75" bottom="0.75" header="0.3" footer="0.3"/>
  <legacyDrawing xmlns:r="http://schemas.openxmlformats.org/officeDocument/2006/relationships" r:id="anysvml"/>
</worksheet>
</file>

<file path=xl/worksheets/sheet3.xml><?xml version="1.0" encoding="utf-8"?>
<worksheet xmlns="http://schemas.openxmlformats.org/spreadsheetml/2006/main">
  <sheetPr codeName="Sheet3">
    <tabColor rgb="FFC00000"/>
    <outlinePr summaryBelow="1" summaryRight="1"/>
    <pageSetUpPr/>
  </sheetPr>
  <dimension ref="A1:KY28"/>
  <sheetViews>
    <sheetView showGridLines="0" tabSelected="1" zoomScale="70" zoomScaleNormal="70" workbookViewId="0">
      <pane xSplit="7" ySplit="8" topLeftCell="H9" activePane="bottomRight" state="frozen"/>
      <selection pane="topRight" activeCell="H1" sqref="H1"/>
      <selection pane="bottomLeft" activeCell="A9" sqref="A9"/>
      <selection pane="bottomRight" activeCell="I9" sqref="I9"/>
    </sheetView>
  </sheetViews>
  <sheetFormatPr baseColWidth="8" defaultRowHeight="14.4" outlineLevelRow="1"/>
  <cols>
    <col width="24.33203125" customWidth="1" min="1" max="1"/>
    <col width="8.88671875" bestFit="1" customWidth="1" min="2" max="2"/>
    <col width="16.88671875" bestFit="1" customWidth="1" min="3" max="3"/>
    <col width="12.109375" customWidth="1" style="9" min="4" max="4"/>
    <col width="11.6640625" customWidth="1" min="5" max="5"/>
    <col width="23" customWidth="1" min="6" max="6"/>
    <col width="21" bestFit="1" customWidth="1" min="7" max="7"/>
    <col width="14.33203125" customWidth="1" min="8" max="8"/>
    <col width="17.88671875" bestFit="1" customWidth="1" min="9" max="9"/>
    <col outlineLevel="1" width="11.6640625" customWidth="1" min="10" max="10"/>
    <col outlineLevel="1" width="13.6640625" customWidth="1" min="11" max="11"/>
    <col width="13.6640625" customWidth="1" min="12" max="12"/>
    <col outlineLevel="1" width="13.6640625" customWidth="1" min="13" max="13"/>
    <col outlineLevel="1" width="13.33203125" customWidth="1" min="14" max="14"/>
    <col width="13.33203125" customWidth="1" min="15" max="15"/>
    <col outlineLevel="1" width="13" customWidth="1" min="16" max="16"/>
    <col outlineLevel="1" width="12.33203125" customWidth="1" min="17" max="17"/>
    <col width="12.33203125" customWidth="1" min="18" max="18"/>
    <col outlineLevel="1" width="10.6640625" customWidth="1" min="19" max="20"/>
    <col width="10.6640625" customWidth="1" min="21" max="21"/>
    <col outlineLevel="1" width="13" customWidth="1" min="22" max="22"/>
    <col outlineLevel="1" width="14.88671875" customWidth="1" min="23" max="23"/>
    <col width="14.88671875" customWidth="1" min="24" max="24"/>
    <col outlineLevel="1" width="18.109375" bestFit="1" customWidth="1" min="25" max="25"/>
    <col outlineLevel="1" width="13.44140625" customWidth="1" min="26" max="26"/>
    <col width="13.44140625" customWidth="1" min="27" max="27"/>
    <col outlineLevel="1" width="13.44140625" customWidth="1" min="28" max="29"/>
    <col width="13.44140625" customWidth="1" min="30" max="30"/>
    <col outlineLevel="1" width="13.44140625" customWidth="1" min="31" max="32"/>
    <col width="13.44140625" customWidth="1" min="33" max="33"/>
    <col outlineLevel="1" width="17.33203125" bestFit="1" customWidth="1" min="34" max="34"/>
    <col outlineLevel="1" width="16.6640625" bestFit="1" customWidth="1" min="35" max="35"/>
    <col width="17.109375" bestFit="1" customWidth="1" min="36" max="36"/>
    <col outlineLevel="1" width="22.44140625" bestFit="1" customWidth="1" min="37" max="38"/>
    <col width="10.6640625" customWidth="1" min="39" max="39"/>
    <col outlineLevel="1" width="17.109375" bestFit="1" customWidth="1" min="40" max="41"/>
    <col width="10.6640625" customWidth="1" min="42" max="42"/>
    <col outlineLevel="1" width="17.44140625" bestFit="1" customWidth="1" min="43" max="43"/>
    <col outlineLevel="1" width="17.88671875" bestFit="1" customWidth="1" min="44" max="44"/>
    <col width="19.33203125" bestFit="1" customWidth="1" min="45" max="45"/>
    <col outlineLevel="1" width="17.44140625" bestFit="1" customWidth="1" min="46" max="47"/>
    <col width="17.6640625" bestFit="1" customWidth="1" min="48" max="48"/>
    <col outlineLevel="1" width="10.6640625" customWidth="1" min="49" max="50"/>
    <col width="10.6640625" customWidth="1" min="51" max="51"/>
    <col outlineLevel="1" width="10.6640625" customWidth="1" min="52" max="53"/>
    <col width="10.6640625" customWidth="1" min="54" max="54"/>
    <col outlineLevel="1" width="10.6640625" customWidth="1" min="55" max="56"/>
    <col width="10.6640625" customWidth="1" min="57" max="57"/>
    <col outlineLevel="1" width="16.88671875" bestFit="1" customWidth="1" min="58" max="58"/>
    <col outlineLevel="1" width="17.6640625" bestFit="1" customWidth="1" min="59" max="59"/>
    <col width="11.33203125" customWidth="1" min="60" max="60"/>
    <col outlineLevel="1" width="16.6640625" bestFit="1" customWidth="1" min="61" max="62"/>
    <col width="17.44140625" bestFit="1" customWidth="1" min="63" max="63"/>
    <col outlineLevel="1" width="10.6640625" customWidth="1" min="64" max="65"/>
    <col width="10.6640625" customWidth="1" min="66" max="66"/>
    <col outlineLevel="1" width="10.6640625" customWidth="1" min="67" max="68"/>
    <col width="10.6640625" customWidth="1" min="69" max="69"/>
    <col outlineLevel="1" width="10.6640625" customWidth="1" min="70" max="71"/>
    <col width="10.6640625" customWidth="1" min="72" max="72"/>
    <col outlineLevel="1" width="10.6640625" customWidth="1" min="73" max="74"/>
    <col width="10.6640625" customWidth="1" min="75" max="75"/>
    <col outlineLevel="1" width="13.33203125" customWidth="1" min="76" max="76"/>
    <col outlineLevel="1" width="13.5546875" customWidth="1" min="77" max="77"/>
    <col width="13.5546875" customWidth="1" min="78" max="78"/>
    <col outlineLevel="1" width="10.6640625" customWidth="1" min="79" max="80"/>
    <col width="10.6640625" customWidth="1" min="81" max="81"/>
    <col outlineLevel="1" width="12.6640625" customWidth="1" min="82" max="82"/>
    <col outlineLevel="1" width="13.33203125" customWidth="1" min="83" max="83"/>
    <col width="13.33203125" customWidth="1" min="84" max="84"/>
    <col outlineLevel="1" width="10.6640625" customWidth="1" min="85" max="86"/>
    <col width="10.6640625" customWidth="1" min="87" max="87"/>
    <col outlineLevel="1" width="13.33203125" customWidth="1" min="88" max="88"/>
    <col outlineLevel="1" width="14" customWidth="1" min="89" max="89"/>
    <col width="14" customWidth="1" min="90" max="90"/>
    <col outlineLevel="1" width="17.33203125" bestFit="1" customWidth="1" min="91" max="91"/>
    <col outlineLevel="1" width="16.33203125" bestFit="1" customWidth="1" min="92" max="92"/>
    <col width="17.109375" bestFit="1" customWidth="1" min="93" max="93"/>
    <col outlineLevel="1" width="13" customWidth="1" min="94" max="94"/>
    <col outlineLevel="1" width="12.33203125" customWidth="1" min="95" max="95"/>
    <col width="12.33203125" customWidth="1" min="96" max="96"/>
    <col width="84" customWidth="1" min="97" max="97"/>
    <col outlineLevel="1" width="17.33203125" bestFit="1" customWidth="1" min="98" max="98"/>
    <col outlineLevel="1" width="16.88671875" bestFit="1" customWidth="1" min="99" max="99"/>
    <col width="21" customWidth="1" min="100" max="100"/>
    <col outlineLevel="1" width="21" customWidth="1" min="101" max="102"/>
    <col width="21" customWidth="1" min="103" max="103"/>
    <col outlineLevel="1" width="21" customWidth="1" min="104" max="105"/>
    <col width="21" customWidth="1" min="106" max="106"/>
    <col outlineLevel="1" width="21" customWidth="1" min="107" max="108"/>
    <col width="21" customWidth="1" min="109" max="109"/>
    <col outlineLevel="1" width="21" customWidth="1" min="110" max="111"/>
    <col width="21" customWidth="1" min="112" max="112"/>
    <col outlineLevel="1" width="21" customWidth="1" min="113" max="115"/>
    <col width="21" customWidth="1" min="116" max="116"/>
    <col outlineLevel="1" width="21" customWidth="1" min="117" max="118"/>
    <col width="21" customWidth="1" min="119" max="119"/>
    <col outlineLevel="1" width="21" customWidth="1" min="120" max="121"/>
    <col width="21" customWidth="1" min="122" max="122"/>
    <col outlineLevel="1" width="21" customWidth="1" min="123" max="125"/>
    <col width="21" customWidth="1" min="126" max="126"/>
    <col outlineLevel="1" width="21" customWidth="1" min="127" max="129"/>
    <col width="21" customWidth="1" min="130" max="130"/>
    <col outlineLevel="1" width="21" customWidth="1" min="131" max="133"/>
    <col width="21" customWidth="1" min="134" max="134"/>
    <col outlineLevel="1" width="21" customWidth="1" min="135" max="136"/>
    <col width="21" customWidth="1" min="137" max="137"/>
    <col outlineLevel="1" width="21" customWidth="1" min="138" max="139"/>
    <col width="21" customWidth="1" min="140" max="140"/>
    <col outlineLevel="1" width="21" customWidth="1" min="141" max="142"/>
    <col width="21" customWidth="1" min="143" max="143"/>
    <col outlineLevel="1" width="21" customWidth="1" min="144" max="145"/>
    <col width="21" customWidth="1" min="146" max="146"/>
    <col outlineLevel="1" width="21" customWidth="1" min="147" max="148"/>
    <col width="21" customWidth="1" min="149" max="149"/>
    <col outlineLevel="1" width="21" customWidth="1" min="150" max="151"/>
    <col width="21" customWidth="1" min="152" max="152"/>
    <col outlineLevel="1" width="21" customWidth="1" min="153" max="154"/>
    <col width="21" customWidth="1" min="155" max="155"/>
    <col outlineLevel="1" width="21" customWidth="1" min="156" max="157"/>
    <col width="21" customWidth="1" min="158" max="158"/>
    <col outlineLevel="1" width="21" customWidth="1" min="159" max="160"/>
    <col width="21" customWidth="1" min="161" max="161"/>
    <col outlineLevel="1" width="21" customWidth="1" min="162" max="163"/>
    <col width="21" customWidth="1" min="164" max="164"/>
    <col outlineLevel="1" width="21" customWidth="1" min="165" max="166"/>
    <col width="21" customWidth="1" min="167" max="167"/>
    <col outlineLevel="1" width="21" customWidth="1" min="168" max="169"/>
    <col width="21" customWidth="1" min="170" max="170"/>
    <col outlineLevel="1" width="21" customWidth="1" min="171" max="172"/>
    <col width="21" customWidth="1" min="173" max="174"/>
    <col width="21" customWidth="1" style="112" min="175" max="175"/>
    <col width="21" customWidth="1" min="176" max="179"/>
  </cols>
  <sheetData>
    <row r="1" ht="15.75" customHeight="1">
      <c r="A1" s="182" t="inlineStr">
        <is>
          <t>Default color coding</t>
        </is>
      </c>
      <c r="B1" s="13" t="n"/>
      <c r="C1" s="17" t="inlineStr">
        <is>
          <t>Date (Manual input)</t>
        </is>
      </c>
      <c r="D1" s="94" t="n"/>
      <c r="E1" s="17" t="n"/>
      <c r="F1" s="18" t="n"/>
      <c r="G1" s="182" t="n"/>
      <c r="H1" s="182" t="inlineStr">
        <is>
          <t>Assumptions:</t>
        </is>
      </c>
      <c r="I1" s="183" t="inlineStr">
        <is>
          <t>1. Dates are calculated based on work weeks (Monday - Friday)
2. Holidays are not accounted</t>
        </is>
      </c>
      <c r="CV1" s="184" t="n"/>
      <c r="CW1" s="39" t="n"/>
      <c r="CX1" s="39" t="n"/>
      <c r="CY1" s="39" t="n"/>
      <c r="CZ1" s="39" t="n"/>
      <c r="DA1" s="39" t="n"/>
      <c r="DB1" s="39" t="n"/>
      <c r="DC1" s="39" t="n"/>
      <c r="DD1" s="39" t="n"/>
      <c r="DE1" s="39" t="n"/>
      <c r="DF1" s="1" t="n"/>
      <c r="DG1" s="86" t="n"/>
      <c r="DH1" s="86" t="n"/>
      <c r="DI1" s="87" t="n"/>
      <c r="DJ1" s="87" t="n"/>
      <c r="DK1" s="87" t="n"/>
      <c r="DM1" s="1" t="n"/>
      <c r="DN1" s="1" t="n"/>
      <c r="DO1" s="1" t="n"/>
      <c r="DP1" s="1" t="n"/>
      <c r="DQ1" s="86" t="n"/>
      <c r="DR1" s="86" t="n"/>
      <c r="DS1" s="91" t="n"/>
      <c r="DT1" s="87" t="n"/>
      <c r="DU1" s="87" t="n"/>
      <c r="DV1" s="1" t="n"/>
      <c r="DW1" s="1" t="n"/>
      <c r="DX1" s="87" t="n"/>
      <c r="DY1" s="87" t="n"/>
      <c r="DZ1" s="1" t="n"/>
      <c r="EA1" s="1" t="n"/>
      <c r="EB1" s="87" t="n"/>
      <c r="EC1" s="87" t="n"/>
      <c r="ED1" s="1" t="n"/>
      <c r="EE1" s="1" t="n"/>
      <c r="EF1" s="1" t="n"/>
      <c r="EG1" s="1" t="n"/>
      <c r="EH1" s="1" t="n"/>
      <c r="EI1" s="1" t="n"/>
      <c r="EJ1" s="1" t="n"/>
      <c r="EK1" s="1" t="n"/>
      <c r="EL1" s="1" t="n"/>
      <c r="EM1" s="1" t="n"/>
      <c r="EN1" s="1" t="n"/>
      <c r="EO1" s="1" t="n"/>
      <c r="EP1" s="1" t="n"/>
      <c r="EQ1" s="1" t="n"/>
      <c r="ER1" s="1" t="n"/>
      <c r="ES1" s="1" t="n"/>
      <c r="ET1" s="1" t="n"/>
      <c r="EU1" s="1" t="n"/>
      <c r="EV1" s="1" t="n"/>
      <c r="EW1" s="1" t="n"/>
      <c r="EX1" s="1" t="n"/>
      <c r="EY1" s="1" t="n"/>
      <c r="EZ1" s="1" t="n"/>
      <c r="FA1" s="1" t="n"/>
      <c r="FB1" s="1" t="n"/>
      <c r="FC1" s="1" t="n"/>
      <c r="FD1" s="1" t="n"/>
      <c r="FE1" s="1" t="n"/>
      <c r="FF1" s="1" t="n"/>
      <c r="FG1" s="1" t="n"/>
      <c r="FH1" s="1" t="n"/>
      <c r="FI1" s="1" t="n"/>
      <c r="FJ1" s="1" t="n"/>
      <c r="FK1" s="1" t="n"/>
      <c r="FL1" s="1" t="n"/>
      <c r="FM1" s="1" t="n"/>
      <c r="FN1" s="1" t="n"/>
      <c r="FO1" s="1" t="n"/>
      <c r="FP1" s="1" t="n"/>
      <c r="FQ1" s="1" t="n"/>
      <c r="FR1" s="1" t="n"/>
      <c r="FS1" s="21" t="n"/>
      <c r="FT1" s="1" t="n"/>
      <c r="FU1" s="1" t="n"/>
      <c r="FV1" s="1" t="n"/>
      <c r="FW1" s="40" t="n"/>
    </row>
    <row r="2" ht="15.75" customHeight="1">
      <c r="A2" s="18" t="n"/>
      <c r="B2" s="4" t="n"/>
      <c r="C2" s="17" t="inlineStr">
        <is>
          <t>Duration in days (manual input)</t>
        </is>
      </c>
      <c r="D2" s="94" t="n"/>
      <c r="E2" s="17" t="n"/>
      <c r="F2" s="18" t="n"/>
      <c r="CV2" s="184" t="n"/>
      <c r="CW2" s="39" t="n"/>
      <c r="CX2" s="39" t="n"/>
      <c r="CY2" s="39" t="n"/>
      <c r="CZ2" s="39" t="n"/>
      <c r="DA2" s="39" t="n"/>
      <c r="DB2" s="39" t="n"/>
      <c r="DC2" s="39" t="n"/>
      <c r="DD2" s="39" t="n"/>
      <c r="DE2" s="39" t="n"/>
      <c r="DF2" s="1" t="n"/>
      <c r="DG2" s="86" t="n"/>
      <c r="DH2" s="86" t="n"/>
      <c r="DI2" s="88" t="n"/>
      <c r="DJ2" s="88" t="n"/>
      <c r="DK2" s="88" t="n"/>
      <c r="DM2" s="1" t="n"/>
      <c r="DN2" s="1" t="n"/>
      <c r="DO2" s="1" t="n"/>
      <c r="DP2" s="1" t="n"/>
      <c r="DQ2" s="86" t="n"/>
      <c r="DR2" s="86" t="n"/>
      <c r="DS2" s="91" t="n"/>
      <c r="DT2" s="88" t="n"/>
      <c r="DU2" s="88" t="n"/>
      <c r="DV2" s="1" t="n"/>
      <c r="DW2" s="1" t="n"/>
      <c r="DX2" s="88" t="n"/>
      <c r="DY2" s="88" t="n"/>
      <c r="DZ2" s="1" t="n"/>
      <c r="EA2" s="1" t="n"/>
      <c r="EB2" s="88" t="n"/>
      <c r="EC2" s="88" t="n"/>
      <c r="ED2" s="1" t="n"/>
      <c r="EE2" s="1" t="n"/>
      <c r="EF2" s="1" t="n"/>
      <c r="EG2" s="1" t="n"/>
      <c r="EH2" s="1" t="n"/>
      <c r="EI2" s="1" t="n"/>
      <c r="EJ2" s="1" t="n"/>
      <c r="EK2" s="1" t="n"/>
      <c r="EL2" s="1" t="n"/>
      <c r="EM2" s="1" t="n"/>
      <c r="EN2" s="1" t="n"/>
      <c r="EO2" s="1" t="n"/>
      <c r="EP2" s="1" t="n"/>
      <c r="EQ2" s="1" t="n"/>
      <c r="ER2" s="1" t="n"/>
      <c r="ES2" s="1" t="n"/>
      <c r="ET2" s="1" t="n"/>
      <c r="EU2" s="1" t="n"/>
      <c r="EV2" s="1" t="n"/>
      <c r="EW2" s="1" t="n"/>
      <c r="EX2" s="1" t="n"/>
      <c r="EY2" s="1" t="n"/>
      <c r="EZ2" s="1" t="n"/>
      <c r="FA2" s="1" t="n"/>
      <c r="FB2" s="1" t="n"/>
      <c r="FC2" s="1" t="n"/>
      <c r="FD2" s="1" t="n"/>
      <c r="FE2" s="1" t="n"/>
      <c r="FF2" s="1" t="n"/>
      <c r="FG2" s="1" t="n"/>
      <c r="FH2" s="1" t="n"/>
      <c r="FI2" s="1" t="n"/>
      <c r="FJ2" s="1" t="n"/>
      <c r="FK2" s="1" t="n"/>
      <c r="FL2" s="1" t="n"/>
      <c r="FM2" s="1" t="n"/>
      <c r="FN2" s="1" t="n"/>
      <c r="FO2" s="1" t="n"/>
      <c r="FP2" s="1" t="n"/>
      <c r="FQ2" s="1" t="n"/>
      <c r="FR2" s="1" t="n"/>
      <c r="FS2" s="21" t="n"/>
      <c r="FT2" s="2" t="n"/>
      <c r="FU2" s="2" t="n"/>
      <c r="FV2" s="2" t="n"/>
      <c r="FW2" s="41" t="n"/>
      <c r="FX2" s="36" t="n"/>
      <c r="FY2" s="36" t="n"/>
      <c r="FZ2" s="36" t="n"/>
      <c r="GA2" s="36" t="n"/>
      <c r="GB2" s="36" t="n"/>
      <c r="GC2" s="36" t="n"/>
      <c r="GD2" s="36" t="n"/>
    </row>
    <row r="3" ht="15.6" customHeight="1">
      <c r="A3" s="18" t="n"/>
      <c r="B3" s="10" t="n"/>
      <c r="C3" s="17" t="inlineStr">
        <is>
          <t>Date Calculation</t>
        </is>
      </c>
      <c r="D3" s="94" t="n"/>
      <c r="E3" s="17" t="n"/>
      <c r="F3" s="19" t="n"/>
      <c r="G3" s="20" t="n"/>
      <c r="H3" s="20" t="inlineStr">
        <is>
          <t>ST 2.0 Phase</t>
        </is>
      </c>
      <c r="I3" s="38" t="inlineStr">
        <is>
          <t>Phase I</t>
        </is>
      </c>
      <c r="J3" s="185" t="inlineStr">
        <is>
          <t>Phase IIA</t>
        </is>
      </c>
      <c r="AB3" s="185" t="n"/>
      <c r="AC3" s="185" t="n"/>
      <c r="AD3" s="185" t="n"/>
      <c r="AE3" s="186" t="inlineStr">
        <is>
          <t>Phase IIB</t>
        </is>
      </c>
      <c r="AH3" s="187" t="inlineStr">
        <is>
          <t>Phase IIC</t>
        </is>
      </c>
      <c r="AQ3" s="188" t="inlineStr">
        <is>
          <t>Phase IIIA</t>
        </is>
      </c>
      <c r="BB3" s="188" t="n"/>
      <c r="BC3" s="189" t="inlineStr">
        <is>
          <t>Phase IIIB</t>
        </is>
      </c>
      <c r="BI3" s="98" t="inlineStr">
        <is>
          <t>Phase IV</t>
        </is>
      </c>
      <c r="BJ3" s="98" t="n"/>
      <c r="BK3" s="98" t="n"/>
      <c r="BL3" s="98" t="n"/>
      <c r="BM3" s="98" t="n"/>
      <c r="BN3" s="98" t="n"/>
      <c r="BO3" s="98" t="n"/>
      <c r="BP3" s="98" t="n"/>
      <c r="BQ3" s="98" t="n"/>
      <c r="BR3" s="98" t="n"/>
      <c r="BS3" s="98" t="n"/>
      <c r="BT3" s="98" t="n"/>
      <c r="BU3" s="98" t="n"/>
      <c r="BV3" s="98" t="n"/>
      <c r="BW3" s="98" t="n"/>
      <c r="BX3" s="98" t="n"/>
      <c r="BY3" s="98" t="n"/>
      <c r="BZ3" s="98" t="n"/>
      <c r="CA3" s="98" t="n"/>
      <c r="CB3" s="98" t="n"/>
      <c r="CC3" s="98" t="n"/>
      <c r="CD3" s="98" t="n"/>
      <c r="CE3" s="98" t="n"/>
      <c r="CF3" s="98" t="n"/>
      <c r="CG3" s="98" t="n"/>
      <c r="CH3" s="98" t="n"/>
      <c r="CI3" s="98" t="n"/>
      <c r="CJ3" s="98" t="n"/>
      <c r="CK3" s="98" t="n"/>
      <c r="CL3" s="98" t="n"/>
      <c r="CM3" s="98" t="n"/>
      <c r="CN3" s="98" t="n"/>
      <c r="CO3" s="98" t="n"/>
      <c r="CP3" s="98" t="n"/>
      <c r="CQ3" s="98" t="n"/>
      <c r="CR3" s="98" t="n"/>
      <c r="CS3" s="98" t="n"/>
      <c r="CT3" s="98" t="n"/>
      <c r="CU3" s="98" t="n"/>
      <c r="CV3" s="98" t="n"/>
      <c r="CW3" s="98" t="n"/>
      <c r="CX3" s="98" t="n"/>
      <c r="CY3" s="98" t="n"/>
      <c r="CZ3" s="98" t="n"/>
      <c r="DA3" s="98" t="n"/>
      <c r="DB3" s="98" t="n"/>
      <c r="DC3" s="98" t="n"/>
      <c r="DD3" s="98" t="n"/>
      <c r="DE3" s="98" t="n"/>
      <c r="DF3" s="98" t="n"/>
      <c r="DG3" s="98" t="n"/>
      <c r="DH3" s="98" t="n"/>
      <c r="DI3" s="98" t="n"/>
      <c r="DJ3" s="98" t="n"/>
      <c r="DK3" s="98" t="n"/>
      <c r="DL3" s="98" t="n"/>
      <c r="DM3" s="98" t="n"/>
      <c r="DN3" s="98" t="n"/>
      <c r="DO3" s="98" t="n"/>
      <c r="DP3" s="98" t="n"/>
      <c r="DQ3" s="98" t="n"/>
      <c r="DR3" s="98" t="n"/>
      <c r="DS3" s="98" t="n"/>
      <c r="DT3" s="98" t="n"/>
      <c r="DU3" s="98" t="n"/>
      <c r="DV3" s="98" t="n"/>
      <c r="DW3" s="98" t="n"/>
      <c r="DX3" s="98" t="n"/>
      <c r="DY3" s="98" t="n"/>
      <c r="DZ3" s="98" t="n"/>
      <c r="EA3" s="98" t="n"/>
      <c r="EB3" s="98" t="n"/>
      <c r="EC3" s="98" t="n"/>
      <c r="ED3" s="98" t="n"/>
      <c r="EE3" s="98" t="n"/>
      <c r="EF3" s="98" t="n"/>
      <c r="EG3" s="98" t="n"/>
      <c r="EH3" s="98" t="n"/>
      <c r="EI3" s="98" t="n"/>
      <c r="EJ3" s="98" t="n"/>
      <c r="EK3" s="98" t="n"/>
      <c r="EL3" s="98" t="n"/>
      <c r="EM3" s="98" t="n"/>
      <c r="EN3" s="98" t="n"/>
      <c r="EO3" s="98" t="n"/>
      <c r="EP3" s="98" t="n"/>
      <c r="EQ3" s="98" t="n"/>
      <c r="ER3" s="98" t="n"/>
      <c r="ES3" s="98" t="n"/>
      <c r="ET3" s="98" t="n"/>
      <c r="EU3" s="98" t="n"/>
      <c r="EV3" s="98" t="n"/>
      <c r="EW3" s="98" t="n"/>
      <c r="EX3" s="98" t="n"/>
      <c r="EY3" s="98" t="n"/>
      <c r="EZ3" s="98" t="n"/>
      <c r="FA3" s="98" t="n"/>
      <c r="FB3" s="98" t="n"/>
      <c r="FC3" s="98" t="n"/>
      <c r="FD3" s="98" t="n"/>
      <c r="FE3" s="98" t="n"/>
      <c r="FF3" s="98" t="n"/>
      <c r="FG3" s="98" t="n"/>
      <c r="FH3" s="98" t="n"/>
      <c r="FI3" s="98" t="n"/>
      <c r="FJ3" s="98" t="n"/>
      <c r="FK3" s="98" t="n"/>
      <c r="FL3" s="98" t="n"/>
      <c r="FM3" s="98" t="n"/>
      <c r="FN3" s="98" t="n"/>
      <c r="FO3" s="98" t="n"/>
      <c r="FP3" s="98" t="n"/>
      <c r="FQ3" s="98" t="n"/>
      <c r="FR3" s="98" t="n"/>
      <c r="FS3" s="105" t="n"/>
      <c r="FT3" s="2" t="n"/>
      <c r="FU3" s="2" t="n"/>
      <c r="FV3" s="2" t="n"/>
      <c r="FW3" s="41" t="n"/>
      <c r="FX3" s="36" t="n"/>
      <c r="FY3" s="36" t="n"/>
      <c r="FZ3" s="36" t="n"/>
      <c r="GA3" s="36" t="n"/>
      <c r="GB3" s="36" t="n"/>
      <c r="GC3" s="36" t="n"/>
      <c r="GD3" s="36" t="n"/>
    </row>
    <row r="4">
      <c r="A4" s="21" t="n"/>
      <c r="B4" s="27" t="n"/>
      <c r="C4" s="17" t="inlineStr">
        <is>
          <t>Not Applicable</t>
        </is>
      </c>
      <c r="D4" s="94" t="n"/>
      <c r="E4" s="17" t="n"/>
      <c r="F4" s="19" t="n"/>
      <c r="G4" s="20" t="n"/>
      <c r="H4" s="20" t="inlineStr">
        <is>
          <t>APU CB Gate</t>
        </is>
      </c>
      <c r="I4" s="32" t="inlineStr">
        <is>
          <t>CB Gate 0</t>
        </is>
      </c>
      <c r="J4" s="192" t="inlineStr">
        <is>
          <t>CB Gate 1</t>
        </is>
      </c>
      <c r="BF4" s="191" t="inlineStr">
        <is>
          <t xml:space="preserve">CB Gate 2 </t>
        </is>
      </c>
      <c r="BG4" s="207" t="n"/>
      <c r="BH4" s="207" t="n"/>
      <c r="BI4" s="207" t="n"/>
      <c r="BJ4" s="207" t="n"/>
      <c r="BK4" s="207" t="n"/>
      <c r="BL4" s="207" t="n"/>
      <c r="BM4" s="207" t="n"/>
      <c r="BN4" s="207" t="n"/>
      <c r="BO4" s="207" t="n"/>
      <c r="BP4" s="207" t="n"/>
      <c r="BQ4" s="207" t="n"/>
      <c r="BR4" s="207" t="n"/>
      <c r="BS4" s="207" t="n"/>
      <c r="BT4" s="207" t="n"/>
      <c r="BU4" s="207" t="n"/>
      <c r="BV4" s="207" t="n"/>
      <c r="BW4" s="207" t="n"/>
      <c r="BX4" s="207" t="n"/>
      <c r="BY4" s="207" t="n"/>
      <c r="BZ4" s="207" t="n"/>
      <c r="CA4" s="207" t="n"/>
      <c r="CB4" s="207" t="n"/>
      <c r="CC4" s="207" t="n"/>
      <c r="CD4" s="207" t="n"/>
      <c r="CE4" s="207" t="n"/>
      <c r="CF4" s="207" t="n"/>
      <c r="CG4" s="207" t="n"/>
      <c r="CH4" s="207" t="n"/>
      <c r="CI4" s="207" t="n"/>
      <c r="CJ4" s="207" t="n"/>
      <c r="CK4" s="207" t="n"/>
      <c r="CL4" s="207" t="n"/>
      <c r="CM4" s="205" t="inlineStr">
        <is>
          <t>CB Gate 3</t>
        </is>
      </c>
      <c r="CN4" s="207" t="n"/>
      <c r="CO4" s="207" t="n"/>
      <c r="CP4" s="207" t="n"/>
      <c r="CQ4" s="207" t="n"/>
      <c r="CR4" s="207" t="n"/>
      <c r="CS4" s="207" t="n"/>
      <c r="CT4" s="207" t="n"/>
      <c r="CU4" s="207" t="n"/>
      <c r="CV4" s="207" t="n"/>
      <c r="CW4" s="207" t="n"/>
      <c r="CX4" s="207" t="n"/>
      <c r="CY4" s="207" t="n"/>
      <c r="CZ4" s="207" t="n"/>
      <c r="DA4" s="207" t="n"/>
      <c r="DB4" s="207" t="n"/>
      <c r="DC4" s="207" t="n"/>
      <c r="DD4" s="207" t="n"/>
      <c r="DE4" s="207" t="n"/>
      <c r="DF4" s="207" t="n"/>
      <c r="DG4" s="207" t="n"/>
      <c r="DH4" s="207" t="n"/>
      <c r="DI4" s="207" t="n"/>
      <c r="DJ4" s="207" t="n"/>
      <c r="DK4" s="207" t="n"/>
      <c r="DL4" s="207" t="n"/>
      <c r="DM4" s="207" t="n"/>
      <c r="DN4" s="207" t="n"/>
      <c r="DO4" s="207" t="n"/>
      <c r="DP4" s="207" t="n"/>
      <c r="DQ4" s="207" t="n"/>
      <c r="DR4" s="207" t="n"/>
      <c r="DS4" s="207" t="n"/>
      <c r="DT4" s="207" t="n"/>
      <c r="DU4" s="207" t="n"/>
      <c r="DV4" s="207" t="n"/>
      <c r="DW4" s="207" t="n"/>
      <c r="DX4" s="207" t="n"/>
      <c r="DY4" s="207" t="n"/>
      <c r="DZ4" s="207" t="n"/>
      <c r="EA4" s="207" t="n"/>
      <c r="EB4" s="207" t="n"/>
      <c r="EC4" s="207" t="n"/>
      <c r="ED4" s="207" t="n"/>
      <c r="EE4" s="207" t="n"/>
      <c r="EF4" s="207" t="n"/>
      <c r="EG4" s="207" t="n"/>
      <c r="EH4" s="207" t="n"/>
      <c r="EI4" s="207" t="n"/>
      <c r="EJ4" s="207" t="n"/>
      <c r="EK4" s="207" t="n"/>
      <c r="EL4" s="207" t="n"/>
      <c r="EM4" s="207" t="n"/>
      <c r="EN4" s="207" t="n"/>
      <c r="EO4" s="207" t="n"/>
      <c r="EP4" s="207" t="n"/>
      <c r="EQ4" s="207" t="n"/>
      <c r="ER4" s="207" t="n"/>
      <c r="ES4" s="207" t="n"/>
      <c r="ET4" s="207" t="n"/>
      <c r="EU4" s="207" t="n"/>
      <c r="EV4" s="207" t="n"/>
      <c r="EW4" s="207" t="n"/>
      <c r="EX4" s="207" t="n"/>
      <c r="EY4" s="207" t="n"/>
      <c r="EZ4" s="204" t="inlineStr">
        <is>
          <t>CB Gate 4</t>
        </is>
      </c>
      <c r="FA4" s="207" t="n"/>
      <c r="FB4" s="207" t="n"/>
      <c r="FC4" s="207" t="n"/>
      <c r="FD4" s="207" t="n"/>
      <c r="FE4" s="207" t="n"/>
      <c r="FF4" s="207" t="n"/>
      <c r="FG4" s="207" t="n"/>
      <c r="FH4" s="207" t="n"/>
      <c r="FI4" s="207" t="n"/>
      <c r="FJ4" s="207" t="n"/>
      <c r="FK4" s="207" t="n"/>
      <c r="FL4" s="207" t="n"/>
      <c r="FM4" s="207" t="n"/>
      <c r="FN4" s="207" t="n"/>
      <c r="FO4" s="207" t="n"/>
      <c r="FP4" s="207" t="n"/>
      <c r="FQ4" s="207" t="n"/>
      <c r="FR4" s="207" t="n"/>
      <c r="FS4" s="106" t="n"/>
      <c r="FT4" s="2" t="n"/>
      <c r="FU4" s="2" t="n"/>
      <c r="FV4" s="2" t="n"/>
      <c r="FW4" s="41" t="n"/>
      <c r="FX4" s="36" t="n"/>
      <c r="FY4" s="36" t="n"/>
      <c r="FZ4" s="36" t="n"/>
      <c r="GA4" s="36" t="n"/>
      <c r="GB4" s="36" t="n"/>
      <c r="GC4" s="36" t="n"/>
      <c r="GD4" s="36" t="n"/>
    </row>
    <row r="5">
      <c r="A5" s="21" t="n"/>
      <c r="B5" s="51" t="n"/>
      <c r="C5" s="17" t="inlineStr">
        <is>
          <t>Completed Task</t>
        </is>
      </c>
      <c r="D5" s="94" t="n"/>
      <c r="E5" s="17" t="n"/>
      <c r="F5" s="20" t="n"/>
      <c r="G5" s="20" t="n"/>
      <c r="H5" s="20" t="inlineStr">
        <is>
          <t>Accolade</t>
        </is>
      </c>
      <c r="I5" s="210" t="inlineStr">
        <is>
          <t>PRE-EXECUTION (Phase 2 &amp; 3)</t>
        </is>
      </c>
      <c r="J5" s="211" t="n"/>
      <c r="K5" s="211" t="n"/>
      <c r="L5" s="211" t="n"/>
      <c r="M5" s="211" t="n"/>
      <c r="N5" s="211" t="n"/>
      <c r="O5" s="211" t="n"/>
      <c r="P5" s="211" t="n"/>
      <c r="Q5" s="211" t="n"/>
      <c r="R5" s="211" t="n"/>
      <c r="S5" s="211" t="n"/>
      <c r="T5" s="211" t="n"/>
      <c r="U5" s="211" t="n"/>
      <c r="V5" s="211" t="n"/>
      <c r="W5" s="211" t="n"/>
      <c r="X5" s="211" t="n"/>
      <c r="Y5" s="211" t="n"/>
      <c r="Z5" s="211" t="n"/>
      <c r="AA5" s="211" t="n"/>
      <c r="AB5" s="211" t="n"/>
      <c r="AC5" s="211" t="n"/>
      <c r="AD5" s="211" t="n"/>
      <c r="AE5" s="211" t="n"/>
      <c r="AF5" s="211" t="n"/>
      <c r="AG5" s="211" t="n"/>
      <c r="AH5" s="211" t="n"/>
      <c r="AI5" s="211" t="n"/>
      <c r="AJ5" s="211" t="n"/>
      <c r="AK5" s="211" t="n"/>
      <c r="AL5" s="211" t="n"/>
      <c r="AM5" s="211" t="n"/>
      <c r="AN5" s="211" t="n"/>
      <c r="AO5" s="211" t="n"/>
      <c r="AP5" s="211" t="n"/>
      <c r="AQ5" s="211" t="n"/>
      <c r="AR5" s="211" t="n"/>
      <c r="AS5" s="211" t="n"/>
      <c r="AT5" s="211" t="n"/>
      <c r="AU5" s="211" t="n"/>
      <c r="AV5" s="211" t="n"/>
      <c r="AW5" s="211" t="n"/>
      <c r="AX5" s="211" t="n"/>
      <c r="AY5" s="211" t="n"/>
      <c r="AZ5" s="211" t="n"/>
      <c r="BA5" s="211" t="n"/>
      <c r="BB5" s="211" t="n"/>
      <c r="BC5" s="211" t="n"/>
      <c r="BD5" s="211" t="n"/>
      <c r="BE5" s="211" t="n"/>
      <c r="BF5" s="211" t="n"/>
      <c r="BG5" s="211" t="n"/>
      <c r="BH5" s="211" t="n"/>
      <c r="BI5" s="212" t="inlineStr">
        <is>
          <t>EXECUTION (Phase 4)</t>
        </is>
      </c>
      <c r="BJ5" s="211" t="n"/>
      <c r="BK5" s="211" t="n"/>
      <c r="BL5" s="211" t="n"/>
      <c r="BM5" s="211" t="n"/>
      <c r="BN5" s="211" t="n"/>
      <c r="BO5" s="211" t="n"/>
      <c r="BP5" s="211" t="n"/>
      <c r="BQ5" s="211" t="n"/>
      <c r="BR5" s="211" t="n"/>
      <c r="BS5" s="211" t="n"/>
      <c r="BT5" s="211" t="n"/>
      <c r="BU5" s="211" t="n"/>
      <c r="BV5" s="211" t="n"/>
      <c r="BW5" s="211" t="n"/>
      <c r="BX5" s="211" t="n"/>
      <c r="BY5" s="211" t="n"/>
      <c r="BZ5" s="211" t="n"/>
      <c r="CA5" s="211" t="n"/>
      <c r="CB5" s="211" t="n"/>
      <c r="CC5" s="211" t="n"/>
      <c r="CD5" s="211" t="n"/>
      <c r="CE5" s="211" t="n"/>
      <c r="CF5" s="211" t="n"/>
      <c r="CG5" s="211" t="n"/>
      <c r="CH5" s="211" t="n"/>
      <c r="CI5" s="211" t="n"/>
      <c r="CJ5" s="211" t="n"/>
      <c r="CK5" s="211" t="n"/>
      <c r="CL5" s="211" t="n"/>
      <c r="CM5" s="211" t="n"/>
      <c r="CN5" s="211" t="n"/>
      <c r="CO5" s="211" t="n"/>
      <c r="CP5" s="211" t="n"/>
      <c r="CQ5" s="211" t="n"/>
      <c r="CR5" s="211" t="n"/>
      <c r="CS5" s="211" t="n"/>
      <c r="CT5" s="211" t="n"/>
      <c r="CU5" s="211" t="n"/>
      <c r="CV5" s="211" t="n"/>
      <c r="CW5" s="211" t="n"/>
      <c r="CX5" s="211" t="n"/>
      <c r="CY5" s="211" t="n"/>
      <c r="CZ5" s="211" t="n"/>
      <c r="DA5" s="211" t="n"/>
      <c r="DB5" s="211" t="n"/>
      <c r="DC5" s="211" t="n"/>
      <c r="DD5" s="211" t="n"/>
      <c r="DE5" s="211" t="n"/>
      <c r="DF5" s="211" t="n"/>
      <c r="DG5" s="211" t="n"/>
      <c r="DH5" s="211" t="n"/>
      <c r="DI5" s="211" t="n"/>
      <c r="DJ5" s="211" t="n"/>
      <c r="DK5" s="211" t="n"/>
      <c r="DL5" s="211" t="n"/>
      <c r="DM5" s="211" t="n"/>
      <c r="DN5" s="211" t="n"/>
      <c r="DO5" s="211" t="n"/>
      <c r="DP5" s="211" t="n"/>
      <c r="DQ5" s="211" t="n"/>
      <c r="DR5" s="211" t="n"/>
      <c r="DS5" s="211" t="n"/>
      <c r="DT5" s="211" t="n"/>
      <c r="DU5" s="211" t="n"/>
      <c r="DV5" s="211" t="n"/>
      <c r="DW5" s="211" t="n"/>
      <c r="DX5" s="211" t="n"/>
      <c r="DY5" s="211" t="n"/>
      <c r="DZ5" s="211" t="n"/>
      <c r="EA5" s="211" t="n"/>
      <c r="EB5" s="211" t="n"/>
      <c r="EC5" s="211" t="n"/>
      <c r="ED5" s="211" t="n"/>
      <c r="EE5" s="211" t="n"/>
      <c r="EF5" s="211" t="n"/>
      <c r="EG5" s="211" t="n"/>
      <c r="EH5" s="211" t="n"/>
      <c r="EI5" s="211" t="n"/>
      <c r="EJ5" s="211" t="n"/>
      <c r="EK5" s="211" t="n"/>
      <c r="EL5" s="211" t="n"/>
      <c r="EM5" s="211" t="n"/>
      <c r="EN5" s="211" t="n"/>
      <c r="EO5" s="211" t="n"/>
      <c r="EP5" s="211" t="n"/>
      <c r="EQ5" s="211" t="n"/>
      <c r="ER5" s="211" t="n"/>
      <c r="ES5" s="211" t="n"/>
      <c r="ET5" s="211" t="n"/>
      <c r="EU5" s="211" t="n"/>
      <c r="EV5" s="211" t="n"/>
      <c r="EW5" s="211" t="n"/>
      <c r="EX5" s="211" t="n"/>
      <c r="EY5" s="211" t="n"/>
      <c r="EZ5" s="211" t="n"/>
      <c r="FA5" s="211" t="n"/>
      <c r="FB5" s="211" t="n"/>
      <c r="FC5" s="211" t="n"/>
      <c r="FD5" s="211" t="n"/>
      <c r="FE5" s="211" t="n"/>
      <c r="FF5" s="211" t="n"/>
      <c r="FG5" s="211" t="n"/>
      <c r="FH5" s="211" t="n"/>
      <c r="FI5" s="211" t="n"/>
      <c r="FJ5" s="211" t="n"/>
      <c r="FK5" s="213" t="n"/>
      <c r="FL5" s="214" t="inlineStr">
        <is>
          <t>Productivity Report Out Items</t>
        </is>
      </c>
      <c r="FM5" s="211" t="n"/>
      <c r="FN5" s="211" t="n"/>
      <c r="FO5" s="211" t="n"/>
      <c r="FP5" s="211" t="n"/>
      <c r="FQ5" s="211" t="n"/>
      <c r="FR5" s="213" t="n"/>
      <c r="FS5" s="107" t="n"/>
      <c r="FT5" s="161" t="inlineStr">
        <is>
          <t>Project Length Data Points</t>
        </is>
      </c>
      <c r="FU5" s="211" t="n"/>
      <c r="FV5" s="211" t="n"/>
      <c r="FW5" s="213" t="n"/>
      <c r="FX5" s="36" t="n"/>
      <c r="FY5" s="36" t="n"/>
      <c r="FZ5" s="36" t="n"/>
      <c r="GA5" s="36" t="n"/>
      <c r="GB5" s="36" t="n"/>
      <c r="GC5" s="36" t="n"/>
      <c r="GD5" s="36" t="n"/>
    </row>
    <row r="6">
      <c r="A6" s="22" t="n"/>
      <c r="B6" s="92" t="n"/>
      <c r="C6" s="17" t="inlineStr">
        <is>
          <t>Number of Cycles of Learning (manual input)</t>
        </is>
      </c>
      <c r="D6" s="94" t="n"/>
      <c r="E6" s="17" t="n"/>
      <c r="F6" s="20" t="n"/>
      <c r="G6" s="20" t="n"/>
      <c r="H6" s="20" t="n"/>
      <c r="I6" s="215" t="n"/>
      <c r="J6" s="207" t="n"/>
      <c r="K6" s="207" t="n"/>
      <c r="L6" s="207" t="n"/>
      <c r="M6" s="207" t="n"/>
      <c r="N6" s="207" t="n"/>
      <c r="O6" s="207" t="n"/>
      <c r="P6" s="207" t="n"/>
      <c r="Q6" s="207" t="n"/>
      <c r="R6" s="207" t="n"/>
      <c r="S6" s="207" t="n"/>
      <c r="T6" s="207" t="n"/>
      <c r="U6" s="207" t="n"/>
      <c r="V6" s="207" t="n"/>
      <c r="W6" s="207" t="n"/>
      <c r="X6" s="207" t="n"/>
      <c r="Y6" s="207" t="n"/>
      <c r="Z6" s="207" t="n"/>
      <c r="AA6" s="207" t="n"/>
      <c r="AB6" s="207" t="n"/>
      <c r="AC6" s="207" t="n"/>
      <c r="AD6" s="207" t="n"/>
      <c r="AE6" s="207" t="n"/>
      <c r="AF6" s="207" t="n"/>
      <c r="AG6" s="207" t="n"/>
      <c r="AH6" s="207" t="n"/>
      <c r="AI6" s="207" t="n"/>
      <c r="AJ6" s="207" t="n"/>
      <c r="AK6" s="207" t="n"/>
      <c r="AL6" s="207" t="n"/>
      <c r="AM6" s="207" t="n"/>
      <c r="AN6" s="207" t="n"/>
      <c r="AO6" s="207" t="n"/>
      <c r="AP6" s="207" t="n"/>
      <c r="AQ6" s="207" t="n"/>
      <c r="AR6" s="207" t="n"/>
      <c r="AS6" s="207" t="n"/>
      <c r="AT6" s="207" t="n"/>
      <c r="AU6" s="207" t="n"/>
      <c r="AV6" s="207" t="n"/>
      <c r="AW6" s="207" t="n"/>
      <c r="AX6" s="207" t="n"/>
      <c r="AY6" s="207" t="n"/>
      <c r="AZ6" s="207" t="n"/>
      <c r="BA6" s="207" t="n"/>
      <c r="BB6" s="207" t="n"/>
      <c r="BC6" s="207" t="n"/>
      <c r="BD6" s="207" t="n"/>
      <c r="BE6" s="207" t="n"/>
      <c r="BF6" s="207" t="n"/>
      <c r="BG6" s="207" t="n"/>
      <c r="BH6" s="207" t="n"/>
      <c r="BI6" s="215" t="n"/>
      <c r="BJ6" s="207" t="n"/>
      <c r="BK6" s="207" t="n"/>
      <c r="BL6" s="207" t="n"/>
      <c r="BM6" s="207" t="n"/>
      <c r="BN6" s="207" t="n"/>
      <c r="BO6" s="207" t="n"/>
      <c r="BP6" s="207" t="n"/>
      <c r="BQ6" s="207" t="n"/>
      <c r="BR6" s="207" t="n"/>
      <c r="BS6" s="207" t="n"/>
      <c r="BT6" s="207" t="n"/>
      <c r="BU6" s="207" t="n"/>
      <c r="BV6" s="207" t="n"/>
      <c r="BW6" s="207" t="n"/>
      <c r="BX6" s="207" t="n"/>
      <c r="BY6" s="207" t="n"/>
      <c r="BZ6" s="207" t="n"/>
      <c r="CA6" s="207" t="n"/>
      <c r="CB6" s="207" t="n"/>
      <c r="CC6" s="207" t="n"/>
      <c r="CD6" s="207" t="n"/>
      <c r="CE6" s="207" t="n"/>
      <c r="CF6" s="207" t="n"/>
      <c r="CG6" s="207" t="n"/>
      <c r="CH6" s="207" t="n"/>
      <c r="CI6" s="207" t="n"/>
      <c r="CJ6" s="207" t="n"/>
      <c r="CK6" s="207" t="n"/>
      <c r="CL6" s="207" t="n"/>
      <c r="CM6" s="207" t="n"/>
      <c r="CN6" s="207" t="n"/>
      <c r="CO6" s="207" t="n"/>
      <c r="CP6" s="207" t="n"/>
      <c r="CQ6" s="207" t="n"/>
      <c r="CR6" s="207" t="n"/>
      <c r="CS6" s="207" t="n"/>
      <c r="CT6" s="207" t="n"/>
      <c r="CU6" s="207" t="n"/>
      <c r="CV6" s="207" t="n"/>
      <c r="CW6" s="207" t="n"/>
      <c r="CX6" s="207" t="n"/>
      <c r="CY6" s="207" t="n"/>
      <c r="CZ6" s="207" t="n"/>
      <c r="DA6" s="207" t="n"/>
      <c r="DB6" s="207" t="n"/>
      <c r="DC6" s="207" t="n"/>
      <c r="DD6" s="207" t="n"/>
      <c r="DE6" s="207" t="n"/>
      <c r="DF6" s="207" t="n"/>
      <c r="DG6" s="207" t="n"/>
      <c r="DH6" s="207" t="n"/>
      <c r="DI6" s="207" t="n"/>
      <c r="DJ6" s="207" t="n"/>
      <c r="DK6" s="207" t="n"/>
      <c r="DL6" s="207" t="n"/>
      <c r="DM6" s="207" t="n"/>
      <c r="DN6" s="207" t="n"/>
      <c r="DO6" s="207" t="n"/>
      <c r="DP6" s="207" t="n"/>
      <c r="DQ6" s="207" t="n"/>
      <c r="DR6" s="207" t="n"/>
      <c r="DS6" s="207" t="n"/>
      <c r="DT6" s="207" t="n"/>
      <c r="DU6" s="207" t="n"/>
      <c r="DV6" s="207" t="n"/>
      <c r="DW6" s="207" t="n"/>
      <c r="DX6" s="207" t="n"/>
      <c r="DY6" s="207" t="n"/>
      <c r="DZ6" s="207" t="n"/>
      <c r="EA6" s="207" t="n"/>
      <c r="EB6" s="207" t="n"/>
      <c r="EC6" s="207" t="n"/>
      <c r="ED6" s="207" t="n"/>
      <c r="EE6" s="207" t="n"/>
      <c r="EF6" s="207" t="n"/>
      <c r="EG6" s="207" t="n"/>
      <c r="EH6" s="207" t="n"/>
      <c r="EI6" s="207" t="n"/>
      <c r="EJ6" s="207" t="n"/>
      <c r="EK6" s="207" t="n"/>
      <c r="EL6" s="207" t="n"/>
      <c r="EM6" s="207" t="n"/>
      <c r="EN6" s="207" t="n"/>
      <c r="EO6" s="207" t="n"/>
      <c r="EP6" s="207" t="n"/>
      <c r="EQ6" s="207" t="n"/>
      <c r="ER6" s="207" t="n"/>
      <c r="ES6" s="207" t="n"/>
      <c r="ET6" s="207" t="n"/>
      <c r="EU6" s="207" t="n"/>
      <c r="EV6" s="207" t="n"/>
      <c r="EW6" s="207" t="n"/>
      <c r="EX6" s="207" t="n"/>
      <c r="EY6" s="207" t="n"/>
      <c r="EZ6" s="207" t="n"/>
      <c r="FA6" s="207" t="n"/>
      <c r="FB6" s="207" t="n"/>
      <c r="FC6" s="207" t="n"/>
      <c r="FD6" s="207" t="n"/>
      <c r="FE6" s="207" t="n"/>
      <c r="FF6" s="207" t="n"/>
      <c r="FG6" s="207" t="n"/>
      <c r="FH6" s="207" t="n"/>
      <c r="FI6" s="207" t="n"/>
      <c r="FJ6" s="207" t="n"/>
      <c r="FK6" s="216" t="n"/>
      <c r="FL6" s="215" t="n"/>
      <c r="FM6" s="207" t="n"/>
      <c r="FN6" s="207" t="n"/>
      <c r="FO6" s="207" t="n"/>
      <c r="FP6" s="207" t="n"/>
      <c r="FQ6" s="207" t="n"/>
      <c r="FR6" s="216" t="n"/>
      <c r="FS6" s="108" t="n"/>
      <c r="FT6" s="217" t="n"/>
      <c r="FW6" s="218" t="n"/>
      <c r="FX6" s="36" t="n"/>
      <c r="FY6" s="36" t="n"/>
      <c r="FZ6" s="36" t="n"/>
      <c r="GA6" s="36" t="n"/>
      <c r="GB6" s="36" t="n"/>
      <c r="GC6" s="36" t="n"/>
      <c r="GD6" s="36" t="n"/>
    </row>
    <row r="7" ht="38.25" customFormat="1" customHeight="1" s="23">
      <c r="A7" s="179" t="inlineStr">
        <is>
          <t>Simplified IMS Required</t>
        </is>
      </c>
      <c r="H7" s="179" t="n"/>
      <c r="I7" s="37" t="inlineStr">
        <is>
          <t> Project Start</t>
        </is>
      </c>
      <c r="J7" s="156" t="inlineStr">
        <is>
          <t>Customer Rqmnts Analysis 
(PSC, etc)</t>
        </is>
      </c>
      <c r="K7" s="208" t="n"/>
      <c r="L7" s="209" t="n"/>
      <c r="M7" s="180" t="inlineStr">
        <is>
          <t>EPA/ECE Complete</t>
        </is>
      </c>
      <c r="N7" s="208" t="n"/>
      <c r="O7" s="209" t="n"/>
      <c r="P7" s="180" t="inlineStr">
        <is>
          <t>TDR/ECE Complete</t>
        </is>
      </c>
      <c r="Q7" s="208" t="n"/>
      <c r="R7" s="209" t="n"/>
      <c r="S7" s="156" t="inlineStr">
        <is>
          <t>BTS SOW Developed &amp; Approved</t>
        </is>
      </c>
      <c r="T7" s="208" t="n"/>
      <c r="U7" s="209" t="n"/>
      <c r="V7" s="156" t="inlineStr">
        <is>
          <t>RM Coverage Confirmed &amp; SubCon Complete</t>
        </is>
      </c>
      <c r="W7" s="208" t="n"/>
      <c r="X7" s="209" t="n"/>
      <c r="Y7" s="156" t="inlineStr">
        <is>
          <t>Revised/ Release
PSC/ Drawings</t>
        </is>
      </c>
      <c r="Z7" s="208" t="n"/>
      <c r="AA7" s="209" t="n"/>
      <c r="AB7" s="156" t="inlineStr">
        <is>
          <t>New Supplier Set Up</t>
        </is>
      </c>
      <c r="AC7" s="208" t="n"/>
      <c r="AD7" s="209" t="n"/>
      <c r="AE7" s="156" t="inlineStr">
        <is>
          <t>Pre RFQ DATT
Approved</t>
        </is>
      </c>
      <c r="AF7" s="208" t="n"/>
      <c r="AG7" s="209" t="n"/>
      <c r="AH7" s="154" t="inlineStr">
        <is>
          <t>Quote Received</t>
        </is>
      </c>
      <c r="AI7" s="208" t="n"/>
      <c r="AJ7" s="209" t="n"/>
      <c r="AK7" s="156" t="inlineStr">
        <is>
          <t xml:space="preserve">Down Select Suppliers &amp; PreAward DATT Approval </t>
        </is>
      </c>
      <c r="AL7" s="208" t="n"/>
      <c r="AM7" s="209" t="n"/>
      <c r="AN7" s="156" t="inlineStr">
        <is>
          <t>eAuction</t>
        </is>
      </c>
      <c r="AO7" s="208" t="n"/>
      <c r="AP7" s="209" t="n"/>
      <c r="AQ7" s="154" t="inlineStr">
        <is>
          <t>Capability &amp; Capacity Assessment Complete</t>
        </is>
      </c>
      <c r="AR7" s="208" t="n"/>
      <c r="AS7" s="209" t="n"/>
      <c r="AT7" s="156" t="inlineStr">
        <is>
          <t>ECE Update Complete</t>
        </is>
      </c>
      <c r="AU7" s="208" t="n"/>
      <c r="AV7" s="209" t="n"/>
      <c r="AW7" s="156" t="inlineStr">
        <is>
          <t>Award Eval Complete</t>
        </is>
      </c>
      <c r="AX7" s="208" t="n"/>
      <c r="AY7" s="209" t="n"/>
      <c r="AZ7" s="197" t="inlineStr">
        <is>
          <t>Capital Approved</t>
        </is>
      </c>
      <c r="BA7" s="208" t="n"/>
      <c r="BB7" s="209" t="n"/>
      <c r="BC7" s="154" t="inlineStr">
        <is>
          <t>TRB Approval Date</t>
        </is>
      </c>
      <c r="BD7" s="208" t="n"/>
      <c r="BE7" s="209" t="n"/>
      <c r="BF7" s="156" t="inlineStr">
        <is>
          <t>Go to Supplier Signed Award</t>
        </is>
      </c>
      <c r="BG7" s="208" t="n"/>
      <c r="BH7" s="209" t="n"/>
      <c r="BI7" s="156" t="inlineStr">
        <is>
          <t>Project Kickoff</t>
        </is>
      </c>
      <c r="BJ7" s="208" t="n"/>
      <c r="BK7" s="209" t="n"/>
      <c r="BL7" s="156" t="inlineStr">
        <is>
          <t>DREA  Complete</t>
        </is>
      </c>
      <c r="BM7" s="208" t="n"/>
      <c r="BN7" s="209" t="n"/>
      <c r="BO7" s="156" t="inlineStr">
        <is>
          <t>L1DR Complete</t>
        </is>
      </c>
      <c r="BP7" s="208" t="n"/>
      <c r="BQ7" s="209" t="n"/>
      <c r="BR7" s="156" t="inlineStr">
        <is>
          <t>ConDR Complete</t>
        </is>
      </c>
      <c r="BS7" s="208" t="n"/>
      <c r="BT7" s="209" t="n"/>
      <c r="BU7" s="156" t="inlineStr">
        <is>
          <t>PDR Complete</t>
        </is>
      </c>
      <c r="BV7" s="208" t="n"/>
      <c r="BW7" s="209" t="n"/>
      <c r="BX7" s="156" t="inlineStr">
        <is>
          <t>CDR Complete</t>
        </is>
      </c>
      <c r="BY7" s="208" t="n"/>
      <c r="BZ7" s="209" t="n"/>
      <c r="CA7" s="156" t="inlineStr">
        <is>
          <t>Internal HON Review (PTCD) Complete</t>
        </is>
      </c>
      <c r="CB7" s="208" t="n"/>
      <c r="CC7" s="209" t="n"/>
      <c r="CD7" s="156" t="inlineStr">
        <is>
          <t>HON Approval of Supplier Drawings</t>
        </is>
      </c>
      <c r="CE7" s="208" t="n"/>
      <c r="CF7" s="209" t="n"/>
      <c r="CG7" s="156" t="inlineStr">
        <is>
          <t>Approval of Qualification Test Plan (QTP)</t>
        </is>
      </c>
      <c r="CH7" s="208" t="n"/>
      <c r="CI7" s="209" t="n"/>
      <c r="CJ7" s="156" t="inlineStr">
        <is>
          <t>Add Supplier to SCS/ASL/AVL</t>
        </is>
      </c>
      <c r="CK7" s="208" t="n"/>
      <c r="CL7" s="209" t="n"/>
      <c r="CM7" s="152" t="inlineStr">
        <is>
          <t>FAIR Order Placed</t>
        </is>
      </c>
      <c r="CN7" s="208" t="n"/>
      <c r="CO7" s="209" t="n"/>
      <c r="CP7" s="152" t="inlineStr">
        <is>
          <t>FAIR Order Acknowledged</t>
        </is>
      </c>
      <c r="CQ7" s="208" t="n"/>
      <c r="CR7" s="208" t="n"/>
      <c r="CS7" s="209" t="n"/>
      <c r="CT7" s="154" t="inlineStr">
        <is>
          <t>Material Received at Supplier</t>
        </is>
      </c>
      <c r="CU7" s="208" t="n"/>
      <c r="CV7" s="209" t="n"/>
      <c r="CW7" s="148" t="inlineStr">
        <is>
          <t>Capital Tooling PO Placed</t>
        </is>
      </c>
      <c r="CX7" s="208" t="n"/>
      <c r="CY7" s="209" t="n"/>
      <c r="CZ7" s="156" t="inlineStr">
        <is>
          <t>Tooling Completed</t>
        </is>
      </c>
      <c r="DA7" s="208" t="n"/>
      <c r="DB7" s="209" t="n"/>
      <c r="DC7" s="157" t="inlineStr">
        <is>
          <t>Supplier Trials &amp; Substantiation
(Pre-Conditional FAIR)</t>
        </is>
      </c>
      <c r="DF7" s="206" t="inlineStr">
        <is>
          <t>Supplier FAIR Lot Build Complete</t>
        </is>
      </c>
      <c r="DI7" s="219" t="inlineStr">
        <is>
          <t>Dimensional Pre-Qualification</t>
        </is>
      </c>
      <c r="DJ7" s="208" t="n"/>
      <c r="DK7" s="208" t="n"/>
      <c r="DL7" s="209" t="n"/>
      <c r="DM7" s="148" t="inlineStr">
        <is>
          <t>Conditional FAIR Complete</t>
        </is>
      </c>
      <c r="DN7" s="208" t="n"/>
      <c r="DO7" s="209" t="n"/>
      <c r="DP7" s="156" t="inlineStr">
        <is>
          <t>TRR</t>
        </is>
      </c>
      <c r="DQ7" s="208" t="n"/>
      <c r="DR7" s="209" t="n"/>
      <c r="DS7" s="220" t="inlineStr">
        <is>
          <t>Supplier Qualification (post-Conditional FAIR)</t>
        </is>
      </c>
      <c r="DT7" s="208" t="n"/>
      <c r="DU7" s="208" t="n"/>
      <c r="DV7" s="209" t="n"/>
      <c r="DW7" s="220" t="inlineStr">
        <is>
          <t>Dimensional Qualification</t>
        </is>
      </c>
      <c r="DX7" s="208" t="n"/>
      <c r="DY7" s="208" t="n"/>
      <c r="DZ7" s="209" t="n"/>
      <c r="EA7" s="220" t="inlineStr">
        <is>
          <t xml:space="preserve">HON Qualification </t>
        </is>
      </c>
      <c r="EB7" s="208" t="n"/>
      <c r="EC7" s="208" t="n"/>
      <c r="ED7" s="209" t="n"/>
      <c r="EE7" s="180" t="inlineStr">
        <is>
          <t>Supplier &amp; HON STR/QTR Approved by HON Eng</t>
        </is>
      </c>
      <c r="EF7" s="208" t="n"/>
      <c r="EG7" s="209" t="n"/>
      <c r="EH7" s="180" t="inlineStr">
        <is>
          <t xml:space="preserve">Supplier Signed Contract </t>
        </is>
      </c>
      <c r="EI7" s="208" t="n"/>
      <c r="EJ7" s="209" t="n"/>
      <c r="EK7" s="148" t="inlineStr">
        <is>
          <t>Production Readiness Review (PRR)</t>
        </is>
      </c>
      <c r="EL7" s="208" t="n"/>
      <c r="EM7" s="209" t="n"/>
      <c r="EN7" s="156" t="inlineStr">
        <is>
          <t>External Approvals: FAA Approval (TSO/ETSO) Complete</t>
        </is>
      </c>
      <c r="EO7" s="208" t="n"/>
      <c r="EP7" s="209" t="n"/>
      <c r="EQ7" s="156" t="inlineStr">
        <is>
          <t>External Approvals: Customer Approval Complete</t>
        </is>
      </c>
      <c r="ER7" s="208" t="n"/>
      <c r="ES7" s="209" t="n"/>
      <c r="ET7" s="156" t="inlineStr">
        <is>
          <t>External Approvals: DCMA/ AMCON Approval</t>
        </is>
      </c>
      <c r="EU7" s="208" t="n"/>
      <c r="EV7" s="209" t="n"/>
      <c r="EW7" s="156" t="inlineStr">
        <is>
          <t>SS1 Elevation</t>
        </is>
      </c>
      <c r="EX7" s="208" t="n"/>
      <c r="EY7" s="209" t="n"/>
      <c r="EZ7" s="168" t="inlineStr">
        <is>
          <t>Final FAIR</t>
        </is>
      </c>
      <c r="FC7" s="156" t="inlineStr">
        <is>
          <t>Update Next Higher Assembly Drawings</t>
        </is>
      </c>
      <c r="FD7" s="208" t="n"/>
      <c r="FE7" s="209" t="n"/>
      <c r="FF7" s="175" t="inlineStr">
        <is>
          <t>Update Service Bulletin, Aftermarket Documents</t>
        </is>
      </c>
      <c r="FG7" s="208" t="n"/>
      <c r="FH7" s="208" t="n"/>
      <c r="FI7" s="177" t="inlineStr">
        <is>
          <t>IMS Part Complete Date (PCD)</t>
        </is>
      </c>
      <c r="FJ7" s="208" t="n"/>
      <c r="FK7" s="208" t="n"/>
      <c r="FL7" s="154" t="inlineStr">
        <is>
          <t>Production Cutover Date</t>
        </is>
      </c>
      <c r="FM7" s="208" t="n"/>
      <c r="FN7" s="209" t="n"/>
      <c r="FO7" s="178" t="inlineStr">
        <is>
          <t>Target Complete Date (TCD)</t>
        </is>
      </c>
      <c r="FP7" s="208" t="n"/>
      <c r="FQ7" s="209" t="n"/>
      <c r="FR7" s="178" t="inlineStr">
        <is>
          <t>TCD Status</t>
        </is>
      </c>
      <c r="FS7" s="178" t="inlineStr">
        <is>
          <t>Baseline Status</t>
        </is>
      </c>
      <c r="FT7" s="215" t="n"/>
      <c r="FU7" s="207" t="n"/>
      <c r="FV7" s="207" t="n"/>
      <c r="FW7" s="216" t="n"/>
    </row>
    <row r="8" ht="115.95" customFormat="1" customHeight="1" s="3">
      <c r="A8" s="33" t="inlineStr">
        <is>
          <t>Project Name</t>
        </is>
      </c>
      <c r="B8" s="33" t="inlineStr">
        <is>
          <t>AID</t>
        </is>
      </c>
      <c r="C8" s="33" t="inlineStr">
        <is>
          <t>Part Number</t>
        </is>
      </c>
      <c r="D8" s="35" t="inlineStr">
        <is>
          <t>Run Out Date</t>
        </is>
      </c>
      <c r="E8" s="33" t="inlineStr">
        <is>
          <t>Critical Part?</t>
        </is>
      </c>
      <c r="F8" s="34" t="inlineStr">
        <is>
          <t>Simplified IMS</t>
        </is>
      </c>
      <c r="G8" s="34" t="inlineStr">
        <is>
          <t>Notes</t>
        </is>
      </c>
      <c r="H8" s="53" t="inlineStr">
        <is>
          <t>Baseline Type</t>
        </is>
      </c>
      <c r="I8" s="33" t="inlineStr">
        <is>
          <t>Project Start IRB Approval Date</t>
        </is>
      </c>
      <c r="J8" s="34" t="inlineStr">
        <is>
          <t>Customer Rqmnts Analysis (PSC, etc) Baseline ECD</t>
        </is>
      </c>
      <c r="K8" s="34" t="inlineStr">
        <is>
          <t>Customer Rqmnts Analysis (PSC, etc) Current ECD (CECD)</t>
        </is>
      </c>
      <c r="L8" s="34" t="inlineStr">
        <is>
          <t>Customer Rqmnts Analysis 
(PSC, etc) Actual Completion Date (ACD)</t>
        </is>
      </c>
      <c r="M8" s="33" t="inlineStr">
        <is>
          <t>EPA/ECE Complete Baseline ECD</t>
        </is>
      </c>
      <c r="N8" s="33" t="inlineStr">
        <is>
          <t>EPA/ECE Complete Current ECD (CECD)</t>
        </is>
      </c>
      <c r="O8" s="33" t="inlineStr">
        <is>
          <t>EPA/ECE Complete Actual Completion Date (ACD)</t>
        </is>
      </c>
      <c r="P8" s="33" t="inlineStr">
        <is>
          <t>TDR/ECE Complete Baseline ECD</t>
        </is>
      </c>
      <c r="Q8" s="33" t="inlineStr">
        <is>
          <t>TDR/ECE Complete Current ECD (CECD)</t>
        </is>
      </c>
      <c r="R8" s="33" t="inlineStr">
        <is>
          <t>TDR/ECE Complete Actual Completion Date (ACD)</t>
        </is>
      </c>
      <c r="S8" s="34" t="inlineStr">
        <is>
          <t>BTS SOW Developed &amp; Approved Baseline ECD</t>
        </is>
      </c>
      <c r="T8" s="34" t="inlineStr">
        <is>
          <t>BTS SOW Developed &amp; Approved Current ECD (CECD)</t>
        </is>
      </c>
      <c r="U8" s="34" t="inlineStr">
        <is>
          <t>BTS SOW Developed &amp; Approved Actual Completion Date (ACD)</t>
        </is>
      </c>
      <c r="V8" s="34" t="inlineStr">
        <is>
          <t>RM Coverage Confirmed &amp; SubCon Complete Baseline ECD</t>
        </is>
      </c>
      <c r="W8" s="34" t="inlineStr">
        <is>
          <t>RM Coverage Confirmed &amp; SubCon Complete Current ECD (CECD)</t>
        </is>
      </c>
      <c r="X8" s="34" t="inlineStr">
        <is>
          <t>RM Coverage Confirmed &amp; SubCon Complete Actual Completion Date (ACD)</t>
        </is>
      </c>
      <c r="Y8" s="34" t="inlineStr">
        <is>
          <t>Revised/ Release PSC/ Drawings Baseline ECD</t>
        </is>
      </c>
      <c r="Z8" s="34" t="inlineStr">
        <is>
          <t>Revised/ Release PSC/ Drawings Current ECD (CECD)</t>
        </is>
      </c>
      <c r="AA8" s="34" t="inlineStr">
        <is>
          <t>Revised/ Release
PSC/ Drawings Actual Completion Date (ACD)</t>
        </is>
      </c>
      <c r="AB8" s="34" t="inlineStr">
        <is>
          <t>New Supplier Set Up Baseline ECD</t>
        </is>
      </c>
      <c r="AC8" s="34" t="inlineStr">
        <is>
          <t>New Supplier Set Up Current ECD (CECD)</t>
        </is>
      </c>
      <c r="AD8" s="34" t="inlineStr">
        <is>
          <t>New Supplier Set Up Actual Completion Date (ACD)</t>
        </is>
      </c>
      <c r="AE8" s="34" t="inlineStr">
        <is>
          <t>Pre RFQ DATT Approved Baseline ECD</t>
        </is>
      </c>
      <c r="AF8" s="34" t="inlineStr">
        <is>
          <t>Pre RFQ DATT Approved Current ECD (CECD)</t>
        </is>
      </c>
      <c r="AG8" s="34" t="inlineStr">
        <is>
          <t>Pre RFQ DATT
Approved Actual Completion Date (ACD)</t>
        </is>
      </c>
      <c r="AH8" s="33" t="inlineStr">
        <is>
          <t>Quote Received Baseline ECD</t>
        </is>
      </c>
      <c r="AI8" s="33" t="inlineStr">
        <is>
          <t>Quote Received Current ECD (CECD)</t>
        </is>
      </c>
      <c r="AJ8" s="33" t="inlineStr">
        <is>
          <t>Quote Received Actual Completion Date (ACD)</t>
        </is>
      </c>
      <c r="AK8" s="34" t="inlineStr">
        <is>
          <t>Down Select Suppliers &amp; PreAward DATT Approval Baseline ECD</t>
        </is>
      </c>
      <c r="AL8" s="34" t="inlineStr">
        <is>
          <t>Down Select Suppliers &amp; PreAward DATT Approval Current ECD (CECD)</t>
        </is>
      </c>
      <c r="AM8" s="34" t="inlineStr">
        <is>
          <t>Down Select Suppliers &amp; PreAward DATT Approval Actual Completion Date (ACD)</t>
        </is>
      </c>
      <c r="AN8" s="34" t="inlineStr">
        <is>
          <t>eAuction Baseline ECD</t>
        </is>
      </c>
      <c r="AO8" s="34" t="inlineStr">
        <is>
          <t>eAuction Current ECD (CECD)</t>
        </is>
      </c>
      <c r="AP8" s="34" t="inlineStr">
        <is>
          <t>eAuction Actual Completion Date (ACD)</t>
        </is>
      </c>
      <c r="AQ8" s="33" t="inlineStr">
        <is>
          <t>Capability &amp; Capacity Assessment Complete Baseline ECD</t>
        </is>
      </c>
      <c r="AR8" s="33" t="inlineStr">
        <is>
          <t>Capability &amp; Capacity Assessment Complete Current ECD (CECD)</t>
        </is>
      </c>
      <c r="AS8" s="33" t="inlineStr">
        <is>
          <t>Capability &amp; Capacity Assessment Complete Actual Completion Date (ACD)</t>
        </is>
      </c>
      <c r="AT8" s="34" t="inlineStr">
        <is>
          <t>ECE Update Complete Baseline ECD</t>
        </is>
      </c>
      <c r="AU8" s="34" t="inlineStr">
        <is>
          <t>ECE Update Complete Current ECD (CECD)</t>
        </is>
      </c>
      <c r="AV8" s="34" t="inlineStr">
        <is>
          <t>ECE Update Complete Actual Completion Date (ACD)</t>
        </is>
      </c>
      <c r="AW8" s="34" t="inlineStr">
        <is>
          <t>Award Eval Complete Baseline ECD</t>
        </is>
      </c>
      <c r="AX8" s="34" t="inlineStr">
        <is>
          <t>Award Eval Complete Current ECD (CECD)</t>
        </is>
      </c>
      <c r="AY8" s="34" t="inlineStr">
        <is>
          <t>Award Eval Complete Actual Completion Date (ACD)</t>
        </is>
      </c>
      <c r="AZ8" s="34" t="inlineStr">
        <is>
          <t>Capital Approved Baseline ECD</t>
        </is>
      </c>
      <c r="BA8" s="34" t="inlineStr">
        <is>
          <t>Capital Approved Current ECD (CECD)</t>
        </is>
      </c>
      <c r="BB8" s="34" t="inlineStr">
        <is>
          <t>Capital Approved Actual Completion Date (ACD)</t>
        </is>
      </c>
      <c r="BC8" s="33" t="inlineStr">
        <is>
          <t>TRB Approval Date Baseline ECD</t>
        </is>
      </c>
      <c r="BD8" s="33" t="inlineStr">
        <is>
          <t>TRB Approval Date Current ECD (CECD)</t>
        </is>
      </c>
      <c r="BE8" s="33" t="inlineStr">
        <is>
          <t>TRB Approval Date Actual Completion Date (ACD)</t>
        </is>
      </c>
      <c r="BF8" s="34" t="inlineStr">
        <is>
          <t>Go to Supplier Signed Award Baseline ECD</t>
        </is>
      </c>
      <c r="BG8" s="34" t="inlineStr">
        <is>
          <t>Go to Supplier Signed Award Current ECD (CECD)</t>
        </is>
      </c>
      <c r="BH8" s="34" t="inlineStr">
        <is>
          <t>Go to Supplier Signed Award Actual Completion Date (ACD)</t>
        </is>
      </c>
      <c r="BI8" s="34" t="inlineStr">
        <is>
          <t>Project Kickoff Baseline ECD</t>
        </is>
      </c>
      <c r="BJ8" s="34" t="inlineStr">
        <is>
          <t>Project Kickoff Current ECD (CECD)</t>
        </is>
      </c>
      <c r="BK8" s="34" t="inlineStr">
        <is>
          <t>Project Kickoff Actual Completion Date (ACD)</t>
        </is>
      </c>
      <c r="BL8" s="34" t="inlineStr">
        <is>
          <t>DREA Complete Baseline ECD</t>
        </is>
      </c>
      <c r="BM8" s="34" t="inlineStr">
        <is>
          <t>DREA Complete Current ECD (CECD)</t>
        </is>
      </c>
      <c r="BN8" s="34" t="inlineStr">
        <is>
          <t>DREA Complete Actual Completion Date (ACD)</t>
        </is>
      </c>
      <c r="BO8" s="34" t="inlineStr">
        <is>
          <t>L1DR Complete Baseline ECD</t>
        </is>
      </c>
      <c r="BP8" s="34" t="inlineStr">
        <is>
          <t>L1DR Complete Current ECD (CECD)</t>
        </is>
      </c>
      <c r="BQ8" s="34" t="inlineStr">
        <is>
          <t>L1DR Complete Actual Completion Date (ACD)</t>
        </is>
      </c>
      <c r="BR8" s="34" t="inlineStr">
        <is>
          <t>ConDR Complete Baseline ECD</t>
        </is>
      </c>
      <c r="BS8" s="34" t="inlineStr">
        <is>
          <t>ConDR Complete Current ECD (CECD)</t>
        </is>
      </c>
      <c r="BT8" s="34" t="inlineStr">
        <is>
          <t>ConDR Complete Actual Completion Date (ACD)</t>
        </is>
      </c>
      <c r="BU8" s="34" t="inlineStr">
        <is>
          <t>PDR Complete Baseline ECD</t>
        </is>
      </c>
      <c r="BV8" s="34" t="inlineStr">
        <is>
          <t>PDR Complete Current ECD (CECD)</t>
        </is>
      </c>
      <c r="BW8" s="34" t="inlineStr">
        <is>
          <t>PDR Complete Actual Completion Date (ACD)</t>
        </is>
      </c>
      <c r="BX8" s="34" t="inlineStr">
        <is>
          <t>CDR Complete Baseline ECD</t>
        </is>
      </c>
      <c r="BY8" s="34" t="inlineStr">
        <is>
          <t>CDR Complete Baseline ECD</t>
        </is>
      </c>
      <c r="BZ8" s="34" t="inlineStr">
        <is>
          <t>CDR Complete Actual Completion Date (ACD)</t>
        </is>
      </c>
      <c r="CA8" s="34" t="inlineStr">
        <is>
          <t>Internal HON Review (PTCD) Complete Baseline ECD</t>
        </is>
      </c>
      <c r="CB8" s="34" t="inlineStr">
        <is>
          <t>Internal HON Review (PTCD) Complete Baseline ECD</t>
        </is>
      </c>
      <c r="CC8" s="34" t="inlineStr">
        <is>
          <t>Internal HON Review (PTCD) Complete Actual Completion Date (ACD)</t>
        </is>
      </c>
      <c r="CD8" s="34" t="inlineStr">
        <is>
          <t>HON Approval of Supplier Drawings Baseline ECD</t>
        </is>
      </c>
      <c r="CE8" s="34" t="inlineStr">
        <is>
          <t>HON Approval of Supplier Drawings Current ECD (CECD)</t>
        </is>
      </c>
      <c r="CF8" s="34" t="inlineStr">
        <is>
          <t>HON Approval of Supplier Drawings Actual Completion Date (ACD)</t>
        </is>
      </c>
      <c r="CG8" s="34" t="inlineStr">
        <is>
          <t>Approval of Qualification Test Plan (QTP) Baseline ECD</t>
        </is>
      </c>
      <c r="CH8" s="34" t="inlineStr">
        <is>
          <t>Approval of Qualification Test Plan (QTP) Current ECD (CECD)</t>
        </is>
      </c>
      <c r="CI8" s="34" t="inlineStr">
        <is>
          <t>Approval of Qualification Test Plan (QTP) Actual Completion Date (ACD)</t>
        </is>
      </c>
      <c r="CJ8" s="34" t="inlineStr">
        <is>
          <t>Add Supplier to SCS/ASL/AVL Baseline ECD</t>
        </is>
      </c>
      <c r="CK8" s="34" t="inlineStr">
        <is>
          <t>Add Supplier to SCS/ASL/AVL Current ECD (CECD)</t>
        </is>
      </c>
      <c r="CL8" s="34" t="inlineStr">
        <is>
          <t>Add Supplier to SCS/ASL/AVL Actual Completion Date (ACD)</t>
        </is>
      </c>
      <c r="CM8" s="33" t="inlineStr">
        <is>
          <t>FAIR Order Placed Baseline ECD</t>
        </is>
      </c>
      <c r="CN8" s="33" t="inlineStr">
        <is>
          <t>FAIR Order Placed Current ECD (CECD)</t>
        </is>
      </c>
      <c r="CO8" s="33" t="inlineStr">
        <is>
          <t>FAIR Order Placed Actual Completion Date (ACD)</t>
        </is>
      </c>
      <c r="CP8" s="33" t="inlineStr">
        <is>
          <t>FAIR Order Acknowledged Baseline ECD</t>
        </is>
      </c>
      <c r="CQ8" s="33" t="inlineStr">
        <is>
          <t>FAIR Order Acknowledged Current ECD (CECD)</t>
        </is>
      </c>
      <c r="CR8" s="33" t="inlineStr">
        <is>
          <t>FAIR Order Acknowledged Actual Completion Date (ACD)</t>
        </is>
      </c>
      <c r="CS8" s="78" t="inlineStr">
        <is>
          <t>Execution Baseline Status</t>
        </is>
      </c>
      <c r="CT8" s="33" t="inlineStr">
        <is>
          <t>Material Received at Supplier Baseline ECD</t>
        </is>
      </c>
      <c r="CU8" s="33" t="inlineStr">
        <is>
          <t>Material Received at Supplier Current ECD (CECD)</t>
        </is>
      </c>
      <c r="CV8" s="33" t="inlineStr">
        <is>
          <t>Material Received at Supplier Actual Completion Date (ACD)</t>
        </is>
      </c>
      <c r="CW8" s="34" t="inlineStr">
        <is>
          <t>Capital Tooling PO Placed Baseline ECD</t>
        </is>
      </c>
      <c r="CX8" s="34" t="inlineStr">
        <is>
          <t>Capital Tooling PO Placed Current ECD (CECD)</t>
        </is>
      </c>
      <c r="CY8" s="34" t="inlineStr">
        <is>
          <t>Capital Tooling PO Placed Actual Completion Date (ACD)</t>
        </is>
      </c>
      <c r="CZ8" s="34" t="inlineStr">
        <is>
          <t>Tooling Completed Baseline ECD</t>
        </is>
      </c>
      <c r="DA8" s="34" t="inlineStr">
        <is>
          <t>Tooling Completed Current ECD (CECD)</t>
        </is>
      </c>
      <c r="DB8" s="34" t="inlineStr">
        <is>
          <t>Tooling Completed Actual Completion Date (ACD)</t>
        </is>
      </c>
      <c r="DC8" s="34" t="inlineStr">
        <is>
          <t>Supplier Trials &amp; Substantiation (Pre-Conditional FAIR) Baseline ECD</t>
        </is>
      </c>
      <c r="DD8" s="34" t="inlineStr">
        <is>
          <t>Supplier Trials &amp; Substantiation (Pre-Conditional FAIR) Current ECD (CECD)</t>
        </is>
      </c>
      <c r="DE8" s="34" t="inlineStr">
        <is>
          <t>Supplier Trials &amp; Substantiation
(Pre-Conditional FAIR) Actual Completion Date (ACD)</t>
        </is>
      </c>
      <c r="DF8" s="33" t="inlineStr">
        <is>
          <t>Supplier FAIR Lot Build Complete Baseline ECD</t>
        </is>
      </c>
      <c r="DG8" s="33" t="inlineStr">
        <is>
          <t>Supplier FAIR Lot Build Complete Current ECD (CECD)</t>
        </is>
      </c>
      <c r="DH8" s="33" t="inlineStr">
        <is>
          <t>Supplier FAIR Lot Build Complete Actual Completion Date (ACD)</t>
        </is>
      </c>
      <c r="DI8" s="34" t="inlineStr">
        <is>
          <t>Number of Cycles of Learning for Dimensional Pre-Qualification</t>
        </is>
      </c>
      <c r="DJ8" s="34" t="inlineStr">
        <is>
          <t>Dimensional Pre-Qualification Baseline ECD</t>
        </is>
      </c>
      <c r="DK8" s="34" t="inlineStr">
        <is>
          <t>Dimensional Pre-Qualification Current ECD (CECD)</t>
        </is>
      </c>
      <c r="DL8" s="34" t="inlineStr">
        <is>
          <t>Dimensional Pre-Qualification Actual Completion Date (ACD)</t>
        </is>
      </c>
      <c r="DM8" s="34" t="inlineStr">
        <is>
          <t>Conditional FAIR Complete Baseline ECD</t>
        </is>
      </c>
      <c r="DN8" s="34" t="inlineStr">
        <is>
          <t>Conditional FAIR Complete Current ECD (CECD)</t>
        </is>
      </c>
      <c r="DO8" s="34" t="inlineStr">
        <is>
          <t>Conditional FAIR Complete Actual Completion Date (ACD)</t>
        </is>
      </c>
      <c r="DP8" s="34" t="inlineStr">
        <is>
          <t>TRR Baseline ECD</t>
        </is>
      </c>
      <c r="DQ8" s="34" t="inlineStr">
        <is>
          <t>TRR Current ECD (CECD)</t>
        </is>
      </c>
      <c r="DR8" s="34" t="inlineStr">
        <is>
          <t>TRR Actual Completion Date (ACD)</t>
        </is>
      </c>
      <c r="DS8" s="34" t="inlineStr">
        <is>
          <t>Number of Cycles of Learning for Supplier Qualification (post-Conditional FAIR)</t>
        </is>
      </c>
      <c r="DT8" s="34" t="inlineStr">
        <is>
          <t>Supplier Qualification (post-Conditional FAIR) Baseline ECD</t>
        </is>
      </c>
      <c r="DU8" s="34" t="inlineStr">
        <is>
          <t>Supplier Qualification (post-Conditional FAIR) Current ECD (CECD)</t>
        </is>
      </c>
      <c r="DV8" s="34" t="inlineStr">
        <is>
          <t>Supplier Qualification (post-Conditional FAIR) Actual Completion Date (ACD)</t>
        </is>
      </c>
      <c r="DW8" s="34" t="inlineStr">
        <is>
          <t>Number of Cycles of Learning for Dimensional Qualification</t>
        </is>
      </c>
      <c r="DX8" s="34" t="inlineStr">
        <is>
          <t>Dimensional Qualification Baseline ECD</t>
        </is>
      </c>
      <c r="DY8" s="34" t="inlineStr">
        <is>
          <t>Dimensional Qualification Current ECD (CECD)</t>
        </is>
      </c>
      <c r="DZ8" s="34" t="inlineStr">
        <is>
          <t>Dimensional Qualification Actual Completion Date (ACD)</t>
        </is>
      </c>
      <c r="EA8" s="34" t="inlineStr">
        <is>
          <t>Number of Cycles of Learning for HON Qualification</t>
        </is>
      </c>
      <c r="EB8" s="34" t="inlineStr">
        <is>
          <t>HON Qualification Baseline ECD</t>
        </is>
      </c>
      <c r="EC8" s="34" t="inlineStr">
        <is>
          <t>HON Qualification Current ECD (CECD)</t>
        </is>
      </c>
      <c r="ED8" s="34" t="inlineStr">
        <is>
          <t>HON Qualification Actual Completion Date (ACD)</t>
        </is>
      </c>
      <c r="EE8" s="33" t="inlineStr">
        <is>
          <t>Supplier &amp; HON STR/QTR Approved by HON Eng Baseline ECD</t>
        </is>
      </c>
      <c r="EF8" s="33" t="inlineStr">
        <is>
          <t>Supplier &amp; HON STR/QTR Approved by HON Eng Current ECD (CECD)</t>
        </is>
      </c>
      <c r="EG8" s="33" t="inlineStr">
        <is>
          <t>Supplier &amp; HON STR/QTR Approved by HON Eng Actual Completion Date (ACD)</t>
        </is>
      </c>
      <c r="EH8" s="33" t="inlineStr">
        <is>
          <t>Supplier Signed Contract Baseline ECD</t>
        </is>
      </c>
      <c r="EI8" s="33" t="inlineStr">
        <is>
          <t>Supplier Signed Contract Current ECD (CECD)</t>
        </is>
      </c>
      <c r="EJ8" s="33" t="inlineStr">
        <is>
          <t>Supplier Signed Contract Actual Completion Date (ACD)</t>
        </is>
      </c>
      <c r="EK8" s="34" t="inlineStr">
        <is>
          <t>Production Readiness Review (PRR) Baseline ECD</t>
        </is>
      </c>
      <c r="EL8" s="34" t="inlineStr">
        <is>
          <t>Production Readiness Review (PRR) Current ECD (CECD)</t>
        </is>
      </c>
      <c r="EM8" s="34" t="inlineStr">
        <is>
          <t>Production Readiness Review (PRR) Actual Completion Date (ACD)</t>
        </is>
      </c>
      <c r="EN8" s="34" t="inlineStr">
        <is>
          <t>External Approvals: FAA Approval (TSO/ETSO) Complete Baseline ECD</t>
        </is>
      </c>
      <c r="EO8" s="34" t="inlineStr">
        <is>
          <t>External Approvals: FAA Approval (TSO/ETSO) Complete Current ECD (CECD)</t>
        </is>
      </c>
      <c r="EP8" s="34" t="inlineStr">
        <is>
          <t>External Approvals: FAA Approval (TSO/ETSO) Complete Actual Completion Date (ACD)</t>
        </is>
      </c>
      <c r="EQ8" s="34" t="inlineStr">
        <is>
          <t>External Approvals: Customer Approval Complete Baseline ECD</t>
        </is>
      </c>
      <c r="ER8" s="34" t="inlineStr">
        <is>
          <t>External Approvals: Customer Approval Complete Current ECD (CECD)</t>
        </is>
      </c>
      <c r="ES8" s="34" t="inlineStr">
        <is>
          <t>External Approvals: Customer Approval Complete Actual Completion Date (ACD)</t>
        </is>
      </c>
      <c r="ET8" s="34" t="inlineStr">
        <is>
          <t>External Approvals: DCMA/ AMCON Approval Baseline ECD</t>
        </is>
      </c>
      <c r="EU8" s="34" t="inlineStr">
        <is>
          <t>External Approvals: DCMA/ AMCON Approval Current ECD (CECD)</t>
        </is>
      </c>
      <c r="EV8" s="34" t="inlineStr">
        <is>
          <t>External Approvals: DCMA/ AMCON Approval Actual Completion Date (ACD)</t>
        </is>
      </c>
      <c r="EW8" s="34" t="inlineStr">
        <is>
          <t>SS1 Elevation Baseline ECD</t>
        </is>
      </c>
      <c r="EX8" s="34" t="inlineStr">
        <is>
          <t>SS1 Elevation Current ECD (CECD)</t>
        </is>
      </c>
      <c r="EY8" s="34" t="inlineStr">
        <is>
          <t>SS1 Elevation Actual Completion Date (ACD)</t>
        </is>
      </c>
      <c r="EZ8" s="33" t="inlineStr">
        <is>
          <t>Final FAIR Baseline ECD</t>
        </is>
      </c>
      <c r="FA8" s="33" t="inlineStr">
        <is>
          <t>Final FAIR Current ECD (CECD)</t>
        </is>
      </c>
      <c r="FB8" s="33" t="inlineStr">
        <is>
          <t>Final FAIR Actual Completion Date (ACD)</t>
        </is>
      </c>
      <c r="FC8" s="34" t="inlineStr">
        <is>
          <t>Update Next Higher Assembly Drawings Baseline ECD</t>
        </is>
      </c>
      <c r="FD8" s="34" t="inlineStr">
        <is>
          <t>Update Next Higher Assembly Drawings Current ECD (CECD)</t>
        </is>
      </c>
      <c r="FE8" s="34" t="inlineStr">
        <is>
          <t>Update Next Higher Assembly Drawings Actual Completion Date (ACD)</t>
        </is>
      </c>
      <c r="FF8" s="34" t="inlineStr">
        <is>
          <t>Update Service Bulletin, Aftermarket Documents Baseline ECD</t>
        </is>
      </c>
      <c r="FG8" s="34" t="inlineStr">
        <is>
          <t>Update Service Bulletin, Aftermarket Documents Current ECD (CECD)</t>
        </is>
      </c>
      <c r="FH8" s="34" t="inlineStr">
        <is>
          <t>Update Service Bulletin, Aftermarket Documents Actual Completion Date (ACD)</t>
        </is>
      </c>
      <c r="FI8" s="34" t="inlineStr">
        <is>
          <t>IMS Part Complete Date (PCD) Baseline ECD</t>
        </is>
      </c>
      <c r="FJ8" s="34" t="inlineStr">
        <is>
          <t>IMS Part Complete Date (PCD) Current ECD (CECD)</t>
        </is>
      </c>
      <c r="FK8" s="34" t="inlineStr">
        <is>
          <t>IMS Part Complete Date (PCD) Actual Completion Date (ACD)</t>
        </is>
      </c>
      <c r="FL8" s="33" t="inlineStr">
        <is>
          <t>Production Cutover Date Baseline ECD</t>
        </is>
      </c>
      <c r="FM8" s="33" t="inlineStr">
        <is>
          <t>Production Cutover Date Current ECD (CECD)</t>
        </is>
      </c>
      <c r="FN8" s="33" t="inlineStr">
        <is>
          <t>Production Cutover Date Actual Completion Date (ACD)</t>
        </is>
      </c>
      <c r="FO8" s="33" t="inlineStr">
        <is>
          <t>Target Complete Date (TCD) Baseline ECD</t>
        </is>
      </c>
      <c r="FP8" s="33" t="inlineStr">
        <is>
          <t>Target Complete Date (TCD) Current ECD (CECD)</t>
        </is>
      </c>
      <c r="FQ8" s="33" t="inlineStr">
        <is>
          <t>Target Complete Date (TCD) Actual Completion Date (ACD)</t>
        </is>
      </c>
      <c r="FR8" s="78" t="inlineStr">
        <is>
          <t>TCD Status</t>
        </is>
      </c>
      <c r="FS8" s="78" t="inlineStr">
        <is>
          <t>Baseline Status (Do not Update)</t>
        </is>
      </c>
      <c r="FT8" s="35" t="inlineStr">
        <is>
          <t>Project Length Baseline Forecast</t>
        </is>
      </c>
      <c r="FU8" s="35" t="inlineStr">
        <is>
          <t>Project Length Current Forecast</t>
        </is>
      </c>
      <c r="FV8" s="35" t="inlineStr">
        <is>
          <t>Project Length Actual</t>
        </is>
      </c>
      <c r="FW8" s="35" t="inlineStr">
        <is>
          <t>Project Length Area</t>
        </is>
      </c>
    </row>
    <row r="9" outlineLevel="1">
      <c r="A9" s="23" t="n"/>
      <c r="B9" s="23" t="n">
        <v>107134</v>
      </c>
      <c r="C9" s="24" t="inlineStr">
        <is>
          <t>019-02185-0000</t>
        </is>
      </c>
      <c r="D9" s="95" t="n"/>
      <c r="E9" s="24" t="n"/>
      <c r="F9" s="25" t="inlineStr">
        <is>
          <t>Durations in WD</t>
        </is>
      </c>
      <c r="G9" s="26" t="n"/>
      <c r="H9" s="26" t="n"/>
      <c r="I9" s="27" t="n"/>
      <c r="J9" s="27" t="n"/>
      <c r="K9" s="27" t="n"/>
      <c r="L9" s="27" t="n"/>
      <c r="M9" s="4" t="n">
        <v>27</v>
      </c>
      <c r="N9" s="4" t="n">
        <v>27</v>
      </c>
      <c r="O9" s="27" t="n"/>
      <c r="P9" s="4" t="n">
        <v>0</v>
      </c>
      <c r="Q9" s="4" t="n">
        <v>0</v>
      </c>
      <c r="R9" s="27" t="n"/>
      <c r="S9" s="27" t="n"/>
      <c r="T9" s="27" t="n"/>
      <c r="U9" s="27" t="n"/>
      <c r="V9" s="4" t="n">
        <v>30</v>
      </c>
      <c r="W9" s="4" t="n">
        <v>30</v>
      </c>
      <c r="X9" s="27" t="n"/>
      <c r="Y9" s="4" t="n">
        <v>70</v>
      </c>
      <c r="Z9" s="4" t="n">
        <v>70</v>
      </c>
      <c r="AA9" s="27" t="n"/>
      <c r="AB9" s="4" t="n">
        <v>0</v>
      </c>
      <c r="AC9" s="4" t="n">
        <v>0</v>
      </c>
      <c r="AD9" s="27" t="n"/>
      <c r="AE9" s="4" t="n">
        <v>75</v>
      </c>
      <c r="AF9" s="4" t="n">
        <v>75</v>
      </c>
      <c r="AG9" s="27" t="n"/>
      <c r="AH9" s="4" t="n">
        <v>5</v>
      </c>
      <c r="AI9" s="4" t="n">
        <v>5</v>
      </c>
      <c r="AJ9" s="27" t="n"/>
      <c r="AK9" s="4" t="n">
        <v>20</v>
      </c>
      <c r="AL9" s="4" t="n">
        <v>20</v>
      </c>
      <c r="AM9" s="27" t="n"/>
      <c r="AN9" s="4" t="n">
        <v>0</v>
      </c>
      <c r="AO9" s="4" t="n">
        <v>0</v>
      </c>
      <c r="AP9" s="27" t="n"/>
      <c r="AQ9" s="4" t="n">
        <v>20</v>
      </c>
      <c r="AR9" s="4" t="n">
        <v>20</v>
      </c>
      <c r="AS9" s="27" t="n"/>
      <c r="AT9" s="4" t="n">
        <v>5</v>
      </c>
      <c r="AU9" s="4" t="n">
        <v>5</v>
      </c>
      <c r="AV9" s="27" t="n"/>
      <c r="AW9" s="4" t="n">
        <v>10</v>
      </c>
      <c r="AX9" s="4" t="n">
        <v>10</v>
      </c>
      <c r="AY9" s="27" t="n"/>
      <c r="AZ9" s="4" t="n">
        <v>30</v>
      </c>
      <c r="BA9" s="4" t="n">
        <v>30</v>
      </c>
      <c r="BB9" s="27" t="n"/>
      <c r="BC9" s="4" t="n">
        <v>5</v>
      </c>
      <c r="BD9" s="4" t="n">
        <v>5</v>
      </c>
      <c r="BE9" s="27" t="n"/>
      <c r="BF9" s="4" t="n">
        <v>5</v>
      </c>
      <c r="BG9" s="4" t="n">
        <v>5</v>
      </c>
      <c r="BH9" s="27" t="n"/>
      <c r="BI9" s="4" t="n">
        <v>5</v>
      </c>
      <c r="BJ9" s="4" t="n">
        <v>5</v>
      </c>
      <c r="BK9" s="27" t="n"/>
      <c r="BL9" s="27" t="n"/>
      <c r="BM9" s="27" t="n"/>
      <c r="BN9" s="27" t="n"/>
      <c r="BO9" s="27" t="n"/>
      <c r="BP9" s="27" t="n"/>
      <c r="BQ9" s="27" t="n"/>
      <c r="BR9" s="27" t="n"/>
      <c r="BS9" s="27" t="n"/>
      <c r="BT9" s="27" t="n"/>
      <c r="BU9" s="27" t="n"/>
      <c r="BV9" s="27" t="n"/>
      <c r="BW9" s="27" t="n"/>
      <c r="BX9" s="27" t="n"/>
      <c r="BY9" s="27" t="n"/>
      <c r="BZ9" s="27" t="n"/>
      <c r="CA9" s="27" t="n"/>
      <c r="CB9" s="27" t="n"/>
      <c r="CC9" s="27" t="n"/>
      <c r="CD9" s="27" t="n"/>
      <c r="CE9" s="27" t="n"/>
      <c r="CF9" s="27" t="n"/>
      <c r="CG9" s="27" t="n"/>
      <c r="CH9" s="27" t="n"/>
      <c r="CI9" s="27" t="n"/>
      <c r="CJ9" s="27" t="n"/>
      <c r="CK9" s="27" t="n"/>
      <c r="CL9" s="27" t="n"/>
      <c r="CM9" s="4" t="n">
        <v>3</v>
      </c>
      <c r="CN9" s="4" t="n">
        <v>3</v>
      </c>
      <c r="CO9" s="27" t="n"/>
      <c r="CP9" s="4" t="n">
        <v>5</v>
      </c>
      <c r="CQ9" s="4" t="n">
        <v>5</v>
      </c>
      <c r="CR9" s="27" t="n"/>
      <c r="CS9" s="27" t="n"/>
      <c r="CT9" s="5" t="n">
        <v>120</v>
      </c>
      <c r="CU9" s="5" t="n">
        <v>120</v>
      </c>
      <c r="CV9" s="27" t="n"/>
      <c r="CW9" s="5" t="n">
        <v>10</v>
      </c>
      <c r="CX9" s="5" t="n">
        <v>10</v>
      </c>
      <c r="CY9" s="27" t="n"/>
      <c r="CZ9" s="5" t="n">
        <v>0</v>
      </c>
      <c r="DA9" s="5" t="n">
        <v>0</v>
      </c>
      <c r="DB9" s="27" t="n"/>
      <c r="DC9" s="31" t="n"/>
      <c r="DD9" s="31" t="n"/>
      <c r="DE9" s="31" t="n"/>
      <c r="DF9" s="4" t="n">
        <v>20</v>
      </c>
      <c r="DG9" s="4" t="n">
        <v>20</v>
      </c>
      <c r="DH9" s="27" t="n"/>
      <c r="DI9" s="89" t="n">
        <v>1</v>
      </c>
      <c r="DJ9" s="4" t="n">
        <v>20</v>
      </c>
      <c r="DK9" s="4" t="n">
        <v>20</v>
      </c>
      <c r="DL9" s="27" t="n"/>
      <c r="DM9" s="27" t="n"/>
      <c r="DN9" s="27" t="n"/>
      <c r="DO9" s="27" t="n"/>
      <c r="DP9" s="27" t="n"/>
      <c r="DQ9" s="27" t="n"/>
      <c r="DR9" s="27" t="n"/>
      <c r="DS9" s="27" t="n"/>
      <c r="DT9" s="27" t="n"/>
      <c r="DU9" s="27" t="n"/>
      <c r="DV9" s="27" t="n"/>
      <c r="DW9" s="27" t="n"/>
      <c r="DX9" s="27" t="n"/>
      <c r="DY9" s="27" t="n"/>
      <c r="DZ9" s="27" t="n"/>
      <c r="EA9" s="27" t="n"/>
      <c r="EB9" s="27" t="n"/>
      <c r="EC9" s="27" t="n"/>
      <c r="ED9" s="27" t="n"/>
      <c r="EE9" s="4" t="n">
        <v>0</v>
      </c>
      <c r="EF9" s="4" t="n">
        <v>0</v>
      </c>
      <c r="EG9" s="27" t="n"/>
      <c r="EH9" s="4" t="n">
        <v>30</v>
      </c>
      <c r="EI9" s="4" t="n">
        <v>30</v>
      </c>
      <c r="EJ9" s="27" t="n"/>
      <c r="EK9" s="27" t="n"/>
      <c r="EL9" s="27" t="n"/>
      <c r="EM9" s="27" t="n"/>
      <c r="EN9" s="27" t="n"/>
      <c r="EO9" s="27" t="n"/>
      <c r="EP9" s="27" t="n"/>
      <c r="EQ9" s="27" t="n"/>
      <c r="ER9" s="27" t="n"/>
      <c r="ES9" s="27" t="n"/>
      <c r="ET9" s="27" t="n"/>
      <c r="EU9" s="27" t="n"/>
      <c r="EV9" s="27" t="n"/>
      <c r="EW9" s="27" t="n"/>
      <c r="EX9" s="27" t="n"/>
      <c r="EY9" s="27" t="n"/>
      <c r="EZ9" s="4" t="n">
        <v>5</v>
      </c>
      <c r="FA9" s="4" t="n">
        <v>5</v>
      </c>
      <c r="FB9" s="27" t="n"/>
      <c r="FC9" s="27" t="n"/>
      <c r="FD9" s="27" t="n"/>
      <c r="FE9" s="27" t="n"/>
      <c r="FF9" s="27" t="n"/>
      <c r="FG9" s="27" t="n"/>
      <c r="FH9" s="27" t="n"/>
      <c r="FI9" s="4" t="n">
        <v>15</v>
      </c>
      <c r="FJ9" s="4" t="n">
        <v>15</v>
      </c>
      <c r="FK9" s="27" t="n"/>
      <c r="FL9" s="4" t="n">
        <v>0</v>
      </c>
      <c r="FM9" s="4" t="n">
        <v>0</v>
      </c>
      <c r="FN9" s="27" t="n"/>
      <c r="FO9" s="4" t="n">
        <v>40</v>
      </c>
      <c r="FP9" s="4" t="n">
        <v>40</v>
      </c>
      <c r="FQ9" s="27" t="n"/>
      <c r="FR9" s="27" t="n"/>
      <c r="FS9" s="109" t="n"/>
      <c r="FT9" s="54">
        <f>NETWORKDAYS($I10,FO10)</f>
        <v/>
      </c>
      <c r="FU9" s="54">
        <f>NETWORKDAYS($I10,FP10)</f>
        <v/>
      </c>
      <c r="FV9" s="54">
        <f>IF(FQ10="",NETWORKDAYS($I10,FP10),NETWORKDAYS($I10,FQ10))</f>
        <v/>
      </c>
      <c r="FW9" s="55" t="inlineStr">
        <is>
          <t>Total Project</t>
        </is>
      </c>
    </row>
    <row r="10">
      <c r="A10" s="23" t="inlineStr">
        <is>
          <t>Advanced Manufacturing</t>
        </is>
      </c>
      <c r="B10" s="23" t="n">
        <v>107134</v>
      </c>
      <c r="C10" s="24" t="inlineStr">
        <is>
          <t>019-02185-0000</t>
        </is>
      </c>
      <c r="D10" s="65" t="n"/>
      <c r="E10" s="23">
        <f>IF(D10="","Unknown",IF(D10&lt;=FM10+90,"Red",IF(AND(D10&gt;FM10+90,D10&lt;=FM10+180),"Yellow",IF(AND(D10&gt;FM10+180,D10&lt;=FM10+690),"Green","Covered"))))</f>
        <v/>
      </c>
      <c r="F10" s="25" t="inlineStr">
        <is>
          <t>BTP FAIR Only Part Number</t>
        </is>
      </c>
      <c r="G10" s="26" t="n"/>
      <c r="H10" s="26">
        <f>IF(CR10="","Pre-Execution","Execution")</f>
        <v/>
      </c>
      <c r="I10" s="13" t="n">
        <v>45814</v>
      </c>
      <c r="J10" s="28" t="n"/>
      <c r="K10" s="28" t="n"/>
      <c r="L10" s="28" t="n"/>
      <c r="M10" s="10" t="n">
        <v>45853</v>
      </c>
      <c r="N10" s="10">
        <f>WORKDAY(I10,N9)</f>
        <v/>
      </c>
      <c r="O10" s="56">
        <f>M10</f>
        <v/>
      </c>
      <c r="P10" s="10" t="n">
        <v>45853</v>
      </c>
      <c r="Q10" s="10">
        <f>IF(O10="",WORKDAY(N10,Q9),WORKDAY(O10,Q9))</f>
        <v/>
      </c>
      <c r="R10" s="56">
        <f>P10</f>
        <v/>
      </c>
      <c r="S10" s="28" t="n"/>
      <c r="T10" s="28" t="n"/>
      <c r="U10" s="28" t="n"/>
      <c r="V10" s="10" t="n">
        <v>45895</v>
      </c>
      <c r="W10" s="10">
        <f>IF(R10="",WORKDAY(Q10,W9),WORKDAY(R10,W9))</f>
        <v/>
      </c>
      <c r="X10" s="56" t="n"/>
      <c r="Y10" s="10" t="n">
        <v>45951</v>
      </c>
      <c r="Z10" s="10">
        <f>IF(R10="",WORKDAY(Q10,Z9),WORKDAY(R10,Z9))</f>
        <v/>
      </c>
      <c r="AA10" s="56" t="n"/>
      <c r="AB10" s="10" t="n">
        <v>45814</v>
      </c>
      <c r="AC10" s="10">
        <f>WORKDAY(I10,AC9)</f>
        <v/>
      </c>
      <c r="AD10" s="56" t="n"/>
      <c r="AE10" s="10" t="n">
        <v>45919</v>
      </c>
      <c r="AF10" s="10">
        <f>IF(AD10="",WORKDAY(AC10,AF9),WORKDAY(AD10,AF9))</f>
        <v/>
      </c>
      <c r="AG10" s="56" t="n"/>
      <c r="AH10" s="10" t="n">
        <v>45958</v>
      </c>
      <c r="AI10" s="10">
        <f>WORKDAY(IF(AA10="",IF(Z10&gt;AF10,Z10,AF10),IF(AA10&gt;AG10,AA10,AG10)),AI9)</f>
        <v/>
      </c>
      <c r="AJ10" s="56">
        <f>AH10</f>
        <v/>
      </c>
      <c r="AK10" s="10" t="n">
        <v>45986</v>
      </c>
      <c r="AL10" s="10">
        <f>IF(AJ10="",WORKDAY(AI10,AL9),WORKDAY(AJ10,AL9))</f>
        <v/>
      </c>
      <c r="AM10" s="56" t="n"/>
      <c r="AN10" s="10" t="n">
        <v>45986</v>
      </c>
      <c r="AO10" s="10">
        <f>IF(AM10="",WORKDAY(AL10,AO9),WORKDAY(AM10,AO9))</f>
        <v/>
      </c>
      <c r="AP10" s="56" t="n"/>
      <c r="AQ10" s="10" t="n">
        <v>46014</v>
      </c>
      <c r="AR10" s="10">
        <f>IF(AP10="",WORKDAY(AO10,AR9),WORKDAY(AP10,AR9))</f>
        <v/>
      </c>
      <c r="AS10" s="10">
        <f>AQ10</f>
        <v/>
      </c>
      <c r="AT10" s="10" t="n">
        <v>45993</v>
      </c>
      <c r="AU10" s="10" t="n">
        <v>45993</v>
      </c>
      <c r="AV10" s="10" t="n">
        <v>45993</v>
      </c>
      <c r="AW10" s="10" t="n">
        <v>46028</v>
      </c>
      <c r="AX10" s="10">
        <f>IF(AS10="",IF(AR10&gt;AU10,WORKDAY(AR10,AX9),WORKDAY(AU10,AX9)),IF(AS10&gt;AV10,WORKDAY(AS10,AX9),WORKDAY(AV10,AX9)))</f>
        <v/>
      </c>
      <c r="AY10" s="10" t="n">
        <v>46028</v>
      </c>
      <c r="AZ10" s="10" t="n">
        <v>46028</v>
      </c>
      <c r="BA10" s="10">
        <f>IF(AP10="",WORKDAY(AO10,BA9),WORKDAY(AP10,BA9))</f>
        <v/>
      </c>
      <c r="BB10" s="10" t="n">
        <v>46028</v>
      </c>
      <c r="BC10" s="10" t="n">
        <v>46035</v>
      </c>
      <c r="BD10" s="10">
        <f>IF(AY10="",IF(AX10&gt;BA10,WORKDAY(AX10,BD9),WORKDAY(BA10,BD9)),IF(AY10&gt;BB10,WORKDAY(AY10,BD9),WORKDAY(BB10,BD9)))</f>
        <v/>
      </c>
      <c r="BE10" s="10">
        <f>IF(AZ10="",IF(AY10&gt;BB10,WORKDAY(AY10,BE9),WORKDAY(BB10,BE9)),IF(AZ10&gt;BC10,WORKDAY(AZ10,BE9),WORKDAY(BC10,BE9)))</f>
        <v/>
      </c>
      <c r="BF10" s="10" t="n">
        <v>46042</v>
      </c>
      <c r="BG10" s="10">
        <f>IF(BE10="",WORKDAY(BD10,BG9),WORKDAY(BE10,BG9))</f>
        <v/>
      </c>
      <c r="BH10" s="56">
        <f>BF10</f>
        <v/>
      </c>
      <c r="BI10" s="10" t="n">
        <v>46049</v>
      </c>
      <c r="BJ10" s="10">
        <f>IF(BH10="",WORKDAY(BG10,BJ9),WORKDAY(BH10,BJ9))</f>
        <v/>
      </c>
      <c r="BK10" s="56">
        <f>BI10</f>
        <v/>
      </c>
      <c r="BL10" s="28" t="n"/>
      <c r="BM10" s="28" t="n"/>
      <c r="BN10" s="28" t="n"/>
      <c r="BO10" s="28" t="n"/>
      <c r="BP10" s="28" t="n"/>
      <c r="BQ10" s="28" t="n"/>
      <c r="BR10" s="28" t="n"/>
      <c r="BS10" s="28" t="n"/>
      <c r="BT10" s="28" t="n"/>
      <c r="BU10" s="28" t="n"/>
      <c r="BV10" s="28" t="n"/>
      <c r="BW10" s="28" t="n"/>
      <c r="BX10" s="46" t="n"/>
      <c r="BY10" s="28" t="n"/>
      <c r="BZ10" s="28" t="n"/>
      <c r="CA10" s="28" t="n"/>
      <c r="CB10" s="28" t="n"/>
      <c r="CC10" s="28" t="n"/>
      <c r="CD10" s="28" t="n"/>
      <c r="CE10" s="28" t="n"/>
      <c r="CF10" s="28" t="n"/>
      <c r="CG10" s="28" t="n"/>
      <c r="CH10" s="28" t="n"/>
      <c r="CI10" s="28" t="n"/>
      <c r="CJ10" s="28" t="n"/>
      <c r="CK10" s="28" t="n"/>
      <c r="CL10" s="28" t="n"/>
      <c r="CM10" s="10" t="n">
        <v>46052</v>
      </c>
      <c r="CN10" s="10">
        <f>IF(BK10="",WORKDAY(BJ10,CN9),WORKDAY(BK10,CN9))</f>
        <v/>
      </c>
      <c r="CO10" s="56">
        <f>CM10</f>
        <v/>
      </c>
      <c r="CP10" s="10" t="n">
        <v>46059</v>
      </c>
      <c r="CQ10" s="10">
        <f>IF(CO10="",WORKDAY(CN10,CQ9),WORKDAY(CO10,CQ9))</f>
        <v/>
      </c>
      <c r="CR10" s="56">
        <f>CP10</f>
        <v/>
      </c>
      <c r="CS10" s="77" t="inlineStr">
        <is>
          <t>Execution schedule has been re-baselined w/ FAIR PO Ack ACD. Validate your durations before publishing</t>
        </is>
      </c>
      <c r="CT10" s="10" t="n">
        <v>46227</v>
      </c>
      <c r="CU10" s="10">
        <f>IF(CR10="",WORKDAY(CQ10,CU9),WORKDAY(CR10,CU9))</f>
        <v/>
      </c>
      <c r="CV10" s="56">
        <f>CT10</f>
        <v/>
      </c>
      <c r="CW10" s="10" t="n">
        <v>46042</v>
      </c>
      <c r="CX10" s="10">
        <f>IF(BB10="",WORKDAY(BA10,CX9),WORKDAY(BB10,CX9))</f>
        <v/>
      </c>
      <c r="CY10" s="56">
        <f>CW10</f>
        <v/>
      </c>
      <c r="CZ10" s="10" t="n">
        <v>46042</v>
      </c>
      <c r="DA10" s="10">
        <f>IF(CY10="",WORKDAY(CX10,DA9),WORKDAY(CY10,DA9))</f>
        <v/>
      </c>
      <c r="DB10" s="56">
        <f>CZ10</f>
        <v/>
      </c>
      <c r="DC10" s="45" t="n"/>
      <c r="DD10" s="45" t="n"/>
      <c r="DE10" s="45" t="n"/>
      <c r="DF10" s="10" t="n">
        <v>46255</v>
      </c>
      <c r="DG10" s="10">
        <f>IF($CV10="",IF($CU10&gt;$DA10,WORKDAY($CU10,DG9),WORKDAY($DA10,DG9)),IF($CV10&gt;$DB10,WORKDAY($CV10,DG9),WORKDAY($DB10,DG9)))</f>
        <v/>
      </c>
      <c r="DH10" s="56" t="n"/>
      <c r="DI10" s="46" t="n"/>
      <c r="DJ10" s="10" t="n">
        <v>46283</v>
      </c>
      <c r="DK10" s="10">
        <f>IF(DH10="",WORKDAY(DG10,DK9*$DI9),WORKDAY(DH10,DK9*$DI9))</f>
        <v/>
      </c>
      <c r="DL10" s="56" t="n"/>
      <c r="DM10" s="46" t="n"/>
      <c r="DN10" s="46" t="n"/>
      <c r="DO10" s="46" t="n"/>
      <c r="DP10" s="46" t="n"/>
      <c r="DQ10" s="46" t="n"/>
      <c r="DR10" s="46" t="n"/>
      <c r="DS10" s="46" t="n"/>
      <c r="DT10" s="46" t="n"/>
      <c r="DU10" s="46" t="n"/>
      <c r="DV10" s="46" t="n"/>
      <c r="DW10" s="46" t="n"/>
      <c r="DX10" s="46" t="n"/>
      <c r="DY10" s="46" t="n"/>
      <c r="DZ10" s="46" t="n"/>
      <c r="EA10" s="46" t="n"/>
      <c r="EB10" s="46" t="n"/>
      <c r="EC10" s="46" t="n"/>
      <c r="ED10" s="46" t="n"/>
      <c r="EE10" s="10" t="n">
        <v>46283</v>
      </c>
      <c r="EF10" s="10">
        <f>IF(DL10="",WORKDAY(DK10,EF9),WORKDAY(DL10,EF9))</f>
        <v/>
      </c>
      <c r="EG10" s="56" t="n"/>
      <c r="EH10" s="10" t="n">
        <v>46084</v>
      </c>
      <c r="EI10" s="10">
        <f>IF(BH10="",WORKDAY(BG10,EI9),WORKDAY(BH10,EI9))</f>
        <v/>
      </c>
      <c r="EJ10" s="56" t="n"/>
      <c r="EK10" s="27" t="n"/>
      <c r="EL10" s="27" t="n"/>
      <c r="EM10" s="27" t="n"/>
      <c r="EN10" s="27" t="n"/>
      <c r="EO10" s="28" t="n"/>
      <c r="EP10" s="28" t="n"/>
      <c r="EQ10" s="28" t="n"/>
      <c r="ER10" s="28" t="n"/>
      <c r="ES10" s="28" t="n"/>
      <c r="ET10" s="28" t="n"/>
      <c r="EU10" s="28" t="n"/>
      <c r="EV10" s="28" t="n"/>
      <c r="EW10" s="28" t="n"/>
      <c r="EX10" s="28" t="n"/>
      <c r="EY10" s="28" t="n"/>
      <c r="EZ10" s="10" t="n">
        <v>46290</v>
      </c>
      <c r="FA10" s="10">
        <f>IF(EG10="",WORKDAY(EF10,FA9),WORKDAY(EG10,FA9))</f>
        <v/>
      </c>
      <c r="FB10" s="56" t="n"/>
      <c r="FC10" s="28" t="n"/>
      <c r="FD10" s="28" t="n"/>
      <c r="FE10" s="28" t="n"/>
      <c r="FF10" s="28" t="n"/>
      <c r="FG10" s="28" t="n"/>
      <c r="FH10" s="28" t="n"/>
      <c r="FI10" s="10" t="n">
        <v>46311</v>
      </c>
      <c r="FJ10" s="10">
        <f>IF(FB10="",WORKDAY(FA10,FJ9),WORKDAY(FB10,FJ9))</f>
        <v/>
      </c>
      <c r="FK10" s="56" t="n"/>
      <c r="FL10" s="10" t="n">
        <v>46311</v>
      </c>
      <c r="FM10" s="10">
        <f>IF(FK10="",WORKDAY(FJ10,FM9),WORKDAY(FK10,FM9))</f>
        <v/>
      </c>
      <c r="FN10" s="56" t="n"/>
      <c r="FO10" s="10" t="n">
        <v>46367</v>
      </c>
      <c r="FP10" s="10">
        <f>WORKDAY(FM10,FP9)</f>
        <v/>
      </c>
      <c r="FQ10" s="10" t="n"/>
      <c r="FR10" s="77">
        <f>IF(NETWORKDAYS(FJ10,FO10)&gt;=30,"On-Track",IF(AND(NETWORKDAYS(FJ10,FO10)&lt;30,FJ10&lt;=FO10),"At Risk","Missed TCD"))</f>
        <v/>
      </c>
      <c r="FS10" s="110" t="inlineStr">
        <is>
          <t>Execution Baseline Locked</t>
        </is>
      </c>
      <c r="FT10" s="57">
        <f>NETWORKDAYS(CP10,FI10)</f>
        <v/>
      </c>
      <c r="FU10" s="57">
        <f>NETWORKDAYS(CQ10,FJ10)</f>
        <v/>
      </c>
      <c r="FV10" s="57">
        <f>IF(BH10="",NETWORKDAYS(BG10,FJ10),IF(FK10="",NETWORKDAYS(BH10,FJ10),NETWORKDAYS(BH10,FK10)))</f>
        <v/>
      </c>
      <c r="FW10" s="58" t="inlineStr">
        <is>
          <t>Execution Only</t>
        </is>
      </c>
    </row>
    <row r="11" outlineLevel="1">
      <c r="A11" s="23" t="n"/>
      <c r="B11" s="23" t="n">
        <v>107135</v>
      </c>
      <c r="C11" s="24" t="inlineStr">
        <is>
          <t>019-06019-0000</t>
        </is>
      </c>
      <c r="D11" s="95" t="n"/>
      <c r="E11" s="24" t="n"/>
      <c r="F11" s="25" t="inlineStr">
        <is>
          <t>Durations in WD</t>
        </is>
      </c>
      <c r="G11" s="26" t="n"/>
      <c r="H11" s="26" t="n"/>
      <c r="I11" s="27" t="n"/>
      <c r="J11" s="27" t="n"/>
      <c r="K11" s="27" t="n"/>
      <c r="L11" s="27" t="n"/>
      <c r="M11" s="4" t="n">
        <v>27</v>
      </c>
      <c r="N11" s="4" t="n">
        <v>27</v>
      </c>
      <c r="O11" s="27" t="n"/>
      <c r="P11" s="4" t="n">
        <v>0</v>
      </c>
      <c r="Q11" s="4" t="n">
        <v>0</v>
      </c>
      <c r="R11" s="27" t="n"/>
      <c r="S11" s="27" t="n"/>
      <c r="T11" s="27" t="n"/>
      <c r="U11" s="27" t="n"/>
      <c r="V11" s="4" t="n">
        <v>30</v>
      </c>
      <c r="W11" s="4" t="n">
        <v>30</v>
      </c>
      <c r="X11" s="27" t="n"/>
      <c r="Y11" s="4" t="n">
        <v>70</v>
      </c>
      <c r="Z11" s="4" t="n">
        <v>70</v>
      </c>
      <c r="AA11" s="27" t="n"/>
      <c r="AB11" s="4" t="n">
        <v>0</v>
      </c>
      <c r="AC11" s="4" t="n">
        <v>0</v>
      </c>
      <c r="AD11" s="27" t="n"/>
      <c r="AE11" s="4" t="n">
        <v>75</v>
      </c>
      <c r="AF11" s="4" t="n">
        <v>75</v>
      </c>
      <c r="AG11" s="27" t="n"/>
      <c r="AH11" s="4" t="n">
        <v>5</v>
      </c>
      <c r="AI11" s="4" t="n">
        <v>5</v>
      </c>
      <c r="AJ11" s="27" t="n"/>
      <c r="AK11" s="4" t="n">
        <v>20</v>
      </c>
      <c r="AL11" s="4" t="n">
        <v>20</v>
      </c>
      <c r="AM11" s="27" t="n"/>
      <c r="AN11" s="4" t="n">
        <v>0</v>
      </c>
      <c r="AO11" s="4" t="n">
        <v>0</v>
      </c>
      <c r="AP11" s="27" t="n"/>
      <c r="AQ11" s="4" t="n">
        <v>20</v>
      </c>
      <c r="AR11" s="4" t="n">
        <v>20</v>
      </c>
      <c r="AS11" s="27" t="n"/>
      <c r="AT11" s="4" t="n">
        <v>5</v>
      </c>
      <c r="AU11" s="4" t="n">
        <v>5</v>
      </c>
      <c r="AV11" s="27" t="n"/>
      <c r="AW11" s="4" t="n">
        <v>10</v>
      </c>
      <c r="AX11" s="4" t="n">
        <v>10</v>
      </c>
      <c r="AY11" s="27" t="n"/>
      <c r="AZ11" s="4" t="n">
        <v>30</v>
      </c>
      <c r="BA11" s="4" t="n">
        <v>30</v>
      </c>
      <c r="BB11" s="27" t="n"/>
      <c r="BC11" s="4" t="n">
        <v>5</v>
      </c>
      <c r="BD11" s="4" t="n">
        <v>5</v>
      </c>
      <c r="BE11" s="27" t="n"/>
      <c r="BF11" s="4" t="n">
        <v>5</v>
      </c>
      <c r="BG11" s="4" t="n">
        <v>5</v>
      </c>
      <c r="BH11" s="27" t="n"/>
      <c r="BI11" s="4" t="n">
        <v>5</v>
      </c>
      <c r="BJ11" s="4" t="n">
        <v>5</v>
      </c>
      <c r="BK11" s="27" t="n"/>
      <c r="BL11" s="27" t="n"/>
      <c r="BM11" s="27" t="n"/>
      <c r="BN11" s="27" t="n"/>
      <c r="BO11" s="27" t="n"/>
      <c r="BP11" s="27" t="n"/>
      <c r="BQ11" s="27" t="n"/>
      <c r="BR11" s="27" t="n"/>
      <c r="BS11" s="27" t="n"/>
      <c r="BT11" s="27" t="n"/>
      <c r="BU11" s="27" t="n"/>
      <c r="BV11" s="27" t="n"/>
      <c r="BW11" s="27" t="n"/>
      <c r="BX11" s="27" t="n"/>
      <c r="BY11" s="27" t="n"/>
      <c r="BZ11" s="27" t="n"/>
      <c r="CA11" s="27" t="n"/>
      <c r="CB11" s="27" t="n"/>
      <c r="CC11" s="27" t="n"/>
      <c r="CD11" s="27" t="n"/>
      <c r="CE11" s="27" t="n"/>
      <c r="CF11" s="27" t="n"/>
      <c r="CG11" s="27" t="n"/>
      <c r="CH11" s="27" t="n"/>
      <c r="CI11" s="27" t="n"/>
      <c r="CJ11" s="27" t="n"/>
      <c r="CK11" s="27" t="n"/>
      <c r="CL11" s="27" t="n"/>
      <c r="CM11" s="4" t="n">
        <v>3</v>
      </c>
      <c r="CN11" s="4" t="n">
        <v>3</v>
      </c>
      <c r="CO11" s="27" t="n"/>
      <c r="CP11" s="4" t="n">
        <v>5</v>
      </c>
      <c r="CQ11" s="4" t="n">
        <v>5</v>
      </c>
      <c r="CR11" s="27" t="n"/>
      <c r="CS11" s="27" t="n"/>
      <c r="CT11" s="5" t="n">
        <v>120</v>
      </c>
      <c r="CU11" s="5" t="n">
        <v>120</v>
      </c>
      <c r="CV11" s="27" t="n"/>
      <c r="CW11" s="5" t="n">
        <v>10</v>
      </c>
      <c r="CX11" s="5" t="n">
        <v>10</v>
      </c>
      <c r="CY11" s="27" t="n"/>
      <c r="CZ11" s="5" t="n">
        <v>0</v>
      </c>
      <c r="DA11" s="5" t="n">
        <v>0</v>
      </c>
      <c r="DB11" s="27" t="n"/>
      <c r="DC11" s="31" t="n"/>
      <c r="DD11" s="31" t="n"/>
      <c r="DE11" s="31" t="n"/>
      <c r="DF11" s="4" t="n">
        <v>20</v>
      </c>
      <c r="DG11" s="4" t="n">
        <v>20</v>
      </c>
      <c r="DH11" s="27" t="n"/>
      <c r="DI11" s="89" t="n">
        <v>1</v>
      </c>
      <c r="DJ11" s="4" t="n">
        <v>20</v>
      </c>
      <c r="DK11" s="4" t="n">
        <v>20</v>
      </c>
      <c r="DL11" s="27" t="n"/>
      <c r="DM11" s="27" t="n"/>
      <c r="DN11" s="27" t="n"/>
      <c r="DO11" s="27" t="n"/>
      <c r="DP11" s="27" t="n"/>
      <c r="DQ11" s="27" t="n"/>
      <c r="DR11" s="27" t="n"/>
      <c r="DS11" s="27" t="n"/>
      <c r="DT11" s="27" t="n"/>
      <c r="DU11" s="27" t="n"/>
      <c r="DV11" s="27" t="n"/>
      <c r="DW11" s="27" t="n"/>
      <c r="DX11" s="27" t="n"/>
      <c r="DY11" s="27" t="n"/>
      <c r="DZ11" s="27" t="n"/>
      <c r="EA11" s="27" t="n"/>
      <c r="EB11" s="27" t="n"/>
      <c r="EC11" s="27" t="n"/>
      <c r="ED11" s="27" t="n"/>
      <c r="EE11" s="4" t="n">
        <v>0</v>
      </c>
      <c r="EF11" s="4" t="n">
        <v>0</v>
      </c>
      <c r="EG11" s="27" t="n"/>
      <c r="EH11" s="4" t="n">
        <v>30</v>
      </c>
      <c r="EI11" s="4" t="n">
        <v>30</v>
      </c>
      <c r="EJ11" s="27" t="n"/>
      <c r="EK11" s="27" t="n"/>
      <c r="EL11" s="27" t="n"/>
      <c r="EM11" s="27" t="n"/>
      <c r="EN11" s="27" t="n"/>
      <c r="EO11" s="27" t="n"/>
      <c r="EP11" s="27" t="n"/>
      <c r="EQ11" s="27" t="n"/>
      <c r="ER11" s="27" t="n"/>
      <c r="ES11" s="27" t="n"/>
      <c r="ET11" s="27" t="n"/>
      <c r="EU11" s="27" t="n"/>
      <c r="EV11" s="27" t="n"/>
      <c r="EW11" s="27" t="n"/>
      <c r="EX11" s="27" t="n"/>
      <c r="EY11" s="27" t="n"/>
      <c r="EZ11" s="4" t="n">
        <v>5</v>
      </c>
      <c r="FA11" s="4" t="n">
        <v>5</v>
      </c>
      <c r="FB11" s="27" t="n"/>
      <c r="FC11" s="27" t="n"/>
      <c r="FD11" s="27" t="n"/>
      <c r="FE11" s="27" t="n"/>
      <c r="FF11" s="27" t="n"/>
      <c r="FG11" s="27" t="n"/>
      <c r="FH11" s="27" t="n"/>
      <c r="FI11" s="4" t="n">
        <v>15</v>
      </c>
      <c r="FJ11" s="4" t="n">
        <v>15</v>
      </c>
      <c r="FK11" s="27" t="n"/>
      <c r="FL11" s="4" t="n">
        <v>0</v>
      </c>
      <c r="FM11" s="4" t="n">
        <v>0</v>
      </c>
      <c r="FN11" s="27" t="n"/>
      <c r="FO11" s="4" t="n">
        <v>40</v>
      </c>
      <c r="FP11" s="4" t="n">
        <v>40</v>
      </c>
      <c r="FQ11" s="27" t="n"/>
      <c r="FR11" s="27" t="n"/>
      <c r="FS11" s="109" t="n"/>
      <c r="FT11" s="54">
        <f>NETWORKDAYS($I12,FO12)</f>
        <v/>
      </c>
      <c r="FU11" s="54">
        <f>NETWORKDAYS($I12,FP12)</f>
        <v/>
      </c>
      <c r="FV11" s="54">
        <f>IF(FQ12="",NETWORKDAYS($I12,FP12),NETWORKDAYS($I12,FQ12))</f>
        <v/>
      </c>
      <c r="FW11" s="55" t="inlineStr">
        <is>
          <t>Total Project</t>
        </is>
      </c>
    </row>
    <row r="12">
      <c r="A12" s="23" t="inlineStr">
        <is>
          <t>Advanced Manufacturing</t>
        </is>
      </c>
      <c r="B12" s="23" t="n">
        <v>107135</v>
      </c>
      <c r="C12" s="24" t="inlineStr">
        <is>
          <t>019-06019-0000</t>
        </is>
      </c>
      <c r="D12" s="65" t="n"/>
      <c r="E12" s="23">
        <f>IF(D12="","Unknown",IF(D12&lt;=FM12+90,"Red",IF(AND(D12&gt;FM12+90,D12&lt;=FM12+180),"Yellow",IF(AND(D12&gt;FM12+180,D12&lt;=FM12+690),"Green","Covered"))))</f>
        <v/>
      </c>
      <c r="F12" s="25" t="inlineStr">
        <is>
          <t>BTP FAIR Only Part Number</t>
        </is>
      </c>
      <c r="G12" s="26" t="n"/>
      <c r="H12" s="26">
        <f>IF(CR12="","Pre-Execution","Execution")</f>
        <v/>
      </c>
      <c r="I12" s="13" t="n">
        <v>45814</v>
      </c>
      <c r="J12" s="28" t="n"/>
      <c r="K12" s="28" t="n"/>
      <c r="L12" s="28" t="n"/>
      <c r="M12" s="10" t="n">
        <v>45853</v>
      </c>
      <c r="N12" s="10">
        <f>WORKDAY(I12,N11)</f>
        <v/>
      </c>
      <c r="O12" s="56">
        <f>M12</f>
        <v/>
      </c>
      <c r="P12" s="10" t="n">
        <v>45853</v>
      </c>
      <c r="Q12" s="10">
        <f>IF(O12="",WORKDAY(N12,Q11),WORKDAY(O12,Q11))</f>
        <v/>
      </c>
      <c r="R12" s="56">
        <f>P12</f>
        <v/>
      </c>
      <c r="S12" s="28" t="n"/>
      <c r="T12" s="28" t="n"/>
      <c r="U12" s="28" t="n"/>
      <c r="V12" s="10" t="n">
        <v>45895</v>
      </c>
      <c r="W12" s="10">
        <f>IF(R12="",WORKDAY(Q12,W11),WORKDAY(R12,W11))</f>
        <v/>
      </c>
      <c r="X12" s="56" t="n"/>
      <c r="Y12" s="10" t="n">
        <v>45951</v>
      </c>
      <c r="Z12" s="10">
        <f>IF(R12="",WORKDAY(Q12,Z11),WORKDAY(R12,Z11))</f>
        <v/>
      </c>
      <c r="AA12" s="56" t="n"/>
      <c r="AB12" s="10" t="n">
        <v>45814</v>
      </c>
      <c r="AC12" s="10">
        <f>WORKDAY(I12,AC11)</f>
        <v/>
      </c>
      <c r="AD12" s="56" t="n"/>
      <c r="AE12" s="10" t="n">
        <v>45919</v>
      </c>
      <c r="AF12" s="10">
        <f>IF(AD12="",WORKDAY(AC12,AF11),WORKDAY(AD12,AF11))</f>
        <v/>
      </c>
      <c r="AG12" s="56" t="n"/>
      <c r="AH12" s="10" t="n">
        <v>45958</v>
      </c>
      <c r="AI12" s="10">
        <f>WORKDAY(IF(AA12="",IF(Z12&gt;AF12,Z12,AF12),IF(AA12&gt;AG12,AA12,AG12)),AI11)</f>
        <v/>
      </c>
      <c r="AJ12" s="56">
        <f>AH12</f>
        <v/>
      </c>
      <c r="AK12" s="10" t="n">
        <v>45986</v>
      </c>
      <c r="AL12" s="10">
        <f>IF(AJ12="",WORKDAY(AI12,AL11),WORKDAY(AJ12,AL11))</f>
        <v/>
      </c>
      <c r="AM12" s="56" t="n"/>
      <c r="AN12" s="10" t="n">
        <v>45986</v>
      </c>
      <c r="AO12" s="10">
        <f>IF(AM12="",WORKDAY(AL12,AO11),WORKDAY(AM12,AO11))</f>
        <v/>
      </c>
      <c r="AP12" s="56" t="n"/>
      <c r="AQ12" s="10" t="n">
        <v>46014</v>
      </c>
      <c r="AR12" s="10">
        <f>IF(AP12="",WORKDAY(AO12,AR11),WORKDAY(AP12,AR11))</f>
        <v/>
      </c>
      <c r="AS12" s="10">
        <f>AQ12</f>
        <v/>
      </c>
      <c r="AT12" s="10" t="n">
        <v>45993</v>
      </c>
      <c r="AU12" s="10" t="n">
        <v>45993</v>
      </c>
      <c r="AV12" s="10" t="n">
        <v>45993</v>
      </c>
      <c r="AW12" s="10" t="n">
        <v>46028</v>
      </c>
      <c r="AX12" s="10">
        <f>IF(AS12="",IF(AR12&gt;AU12,WORKDAY(AR12,AX11),WORKDAY(AU12,AX11)),IF(AS12&gt;AV12,WORKDAY(AS12,AX11),WORKDAY(AV12,AX11)))</f>
        <v/>
      </c>
      <c r="AY12" s="10" t="n">
        <v>46028</v>
      </c>
      <c r="AZ12" s="10" t="n">
        <v>46028</v>
      </c>
      <c r="BA12" s="10">
        <f>IF(AP12="",WORKDAY(AO12,BA11),WORKDAY(AP12,BA11))</f>
        <v/>
      </c>
      <c r="BB12" s="10" t="n">
        <v>46028</v>
      </c>
      <c r="BC12" s="10" t="n">
        <v>46035</v>
      </c>
      <c r="BD12" s="10">
        <f>IF(AY12="",IF(AX12&gt;BA12,WORKDAY(AX12,BD11),WORKDAY(BA12,BD11)),IF(AY12&gt;BB12,WORKDAY(AY12,BD11),WORKDAY(BB12,BD11)))</f>
        <v/>
      </c>
      <c r="BE12" s="10">
        <f>IF(AZ12="",IF(AY12&gt;BB12,WORKDAY(AY12,BE11),WORKDAY(BB12,BE11)),IF(AZ12&gt;BC12,WORKDAY(AZ12,BE11),WORKDAY(BC12,BE11)))</f>
        <v/>
      </c>
      <c r="BF12" s="10" t="n">
        <v>46042</v>
      </c>
      <c r="BG12" s="10">
        <f>IF(BE12="",WORKDAY(BD12,BG11),WORKDAY(BE12,BG11))</f>
        <v/>
      </c>
      <c r="BH12" s="56">
        <f>BF12</f>
        <v/>
      </c>
      <c r="BI12" s="10" t="n">
        <v>46049</v>
      </c>
      <c r="BJ12" s="10">
        <f>IF(BH12="",WORKDAY(BG12,BJ11),WORKDAY(BH12,BJ11))</f>
        <v/>
      </c>
      <c r="BK12" s="56">
        <f>BI12</f>
        <v/>
      </c>
      <c r="BL12" s="28" t="n"/>
      <c r="BM12" s="28" t="n"/>
      <c r="BN12" s="28" t="n"/>
      <c r="BO12" s="28" t="n"/>
      <c r="BP12" s="28" t="n"/>
      <c r="BQ12" s="28" t="n"/>
      <c r="BR12" s="28" t="n"/>
      <c r="BS12" s="28" t="n"/>
      <c r="BT12" s="28" t="n"/>
      <c r="BU12" s="28" t="n"/>
      <c r="BV12" s="28" t="n"/>
      <c r="BW12" s="28" t="n"/>
      <c r="BX12" s="46" t="n"/>
      <c r="BY12" s="28" t="n"/>
      <c r="BZ12" s="28" t="n"/>
      <c r="CA12" s="28" t="n"/>
      <c r="CB12" s="28" t="n"/>
      <c r="CC12" s="28" t="n"/>
      <c r="CD12" s="28" t="n"/>
      <c r="CE12" s="28" t="n"/>
      <c r="CF12" s="28" t="n"/>
      <c r="CG12" s="28" t="n"/>
      <c r="CH12" s="28" t="n"/>
      <c r="CI12" s="28" t="n"/>
      <c r="CJ12" s="28" t="n"/>
      <c r="CK12" s="28" t="n"/>
      <c r="CL12" s="28" t="n"/>
      <c r="CM12" s="10" t="n">
        <v>46052</v>
      </c>
      <c r="CN12" s="10">
        <f>IF(BK12="",WORKDAY(BJ12,CN11),WORKDAY(BK12,CN11))</f>
        <v/>
      </c>
      <c r="CO12" s="56">
        <f>CM12</f>
        <v/>
      </c>
      <c r="CP12" s="10" t="n">
        <v>46059</v>
      </c>
      <c r="CQ12" s="10">
        <f>IF(CO12="",WORKDAY(CN12,CQ11),WORKDAY(CO12,CQ11))</f>
        <v/>
      </c>
      <c r="CR12" s="56">
        <f>CP12</f>
        <v/>
      </c>
      <c r="CS12" s="77" t="inlineStr">
        <is>
          <t>Execution schedule has been re-baselined w/ FAIR PO Ack ACD. Validate your durations before publishing</t>
        </is>
      </c>
      <c r="CT12" s="10" t="n">
        <v>46227</v>
      </c>
      <c r="CU12" s="10">
        <f>IF(CR12="",WORKDAY(CQ12,CU11),WORKDAY(CR12,CU11))</f>
        <v/>
      </c>
      <c r="CV12" s="56">
        <f>CT12</f>
        <v/>
      </c>
      <c r="CW12" s="10" t="n">
        <v>46042</v>
      </c>
      <c r="CX12" s="10">
        <f>IF(BB12="",WORKDAY(BA12,CX11),WORKDAY(BB12,CX11))</f>
        <v/>
      </c>
      <c r="CY12" s="56">
        <f>CW12</f>
        <v/>
      </c>
      <c r="CZ12" s="10" t="n">
        <v>46042</v>
      </c>
      <c r="DA12" s="10">
        <f>IF(CY12="",WORKDAY(CX12,DA11),WORKDAY(CY12,DA11))</f>
        <v/>
      </c>
      <c r="DB12" s="56">
        <f>CZ12</f>
        <v/>
      </c>
      <c r="DC12" s="45" t="n"/>
      <c r="DD12" s="45" t="n"/>
      <c r="DE12" s="45" t="n"/>
      <c r="DF12" s="10" t="n">
        <v>46255</v>
      </c>
      <c r="DG12" s="10">
        <f>IF($CV12="",IF($CU12&gt;$DA12,WORKDAY($CU12,DG11),WORKDAY($DA12,DG11)),IF($CV12&gt;$DB12,WORKDAY($CV12,DG11),WORKDAY($DB12,DG11)))</f>
        <v/>
      </c>
      <c r="DH12" s="56" t="n"/>
      <c r="DI12" s="46" t="n"/>
      <c r="DJ12" s="10" t="n">
        <v>46283</v>
      </c>
      <c r="DK12" s="10">
        <f>IF(DH12="",WORKDAY(DG12,DK11*$DI11),WORKDAY(DH12,DK11*$DI11))</f>
        <v/>
      </c>
      <c r="DL12" s="56" t="n"/>
      <c r="DM12" s="46" t="n"/>
      <c r="DN12" s="46" t="n"/>
      <c r="DO12" s="46" t="n"/>
      <c r="DP12" s="46" t="n"/>
      <c r="DQ12" s="46" t="n"/>
      <c r="DR12" s="46" t="n"/>
      <c r="DS12" s="46" t="n"/>
      <c r="DT12" s="46" t="n"/>
      <c r="DU12" s="46" t="n"/>
      <c r="DV12" s="46" t="n"/>
      <c r="DW12" s="46" t="n"/>
      <c r="DX12" s="46" t="n"/>
      <c r="DY12" s="46" t="n"/>
      <c r="DZ12" s="46" t="n"/>
      <c r="EA12" s="46" t="n"/>
      <c r="EB12" s="46" t="n"/>
      <c r="EC12" s="46" t="n"/>
      <c r="ED12" s="46" t="n"/>
      <c r="EE12" s="10" t="n">
        <v>46283</v>
      </c>
      <c r="EF12" s="10">
        <f>IF(DL12="",WORKDAY(DK12,EF11),WORKDAY(DL12,EF11))</f>
        <v/>
      </c>
      <c r="EG12" s="56" t="n"/>
      <c r="EH12" s="10" t="n">
        <v>46084</v>
      </c>
      <c r="EI12" s="10">
        <f>IF(BH12="",WORKDAY(BG12,EI11),WORKDAY(BH12,EI11))</f>
        <v/>
      </c>
      <c r="EJ12" s="56" t="n"/>
      <c r="EK12" s="27" t="n"/>
      <c r="EL12" s="27" t="n"/>
      <c r="EM12" s="27" t="n"/>
      <c r="EN12" s="27" t="n"/>
      <c r="EO12" s="28" t="n"/>
      <c r="EP12" s="28" t="n"/>
      <c r="EQ12" s="28" t="n"/>
      <c r="ER12" s="28" t="n"/>
      <c r="ES12" s="28" t="n"/>
      <c r="ET12" s="28" t="n"/>
      <c r="EU12" s="28" t="n"/>
      <c r="EV12" s="28" t="n"/>
      <c r="EW12" s="28" t="n"/>
      <c r="EX12" s="28" t="n"/>
      <c r="EY12" s="28" t="n"/>
      <c r="EZ12" s="10" t="n">
        <v>46290</v>
      </c>
      <c r="FA12" s="10">
        <f>IF(EG12="",WORKDAY(EF12,FA11),WORKDAY(EG12,FA11))</f>
        <v/>
      </c>
      <c r="FB12" s="56" t="n"/>
      <c r="FC12" s="28" t="n"/>
      <c r="FD12" s="28" t="n"/>
      <c r="FE12" s="28" t="n"/>
      <c r="FF12" s="28" t="n"/>
      <c r="FG12" s="28" t="n"/>
      <c r="FH12" s="28" t="n"/>
      <c r="FI12" s="10" t="n">
        <v>46311</v>
      </c>
      <c r="FJ12" s="10">
        <f>IF(FB12="",WORKDAY(FA12,FJ11),WORKDAY(FB12,FJ11))</f>
        <v/>
      </c>
      <c r="FK12" s="56" t="n"/>
      <c r="FL12" s="10" t="n">
        <v>46311</v>
      </c>
      <c r="FM12" s="10">
        <f>IF(FK12="",WORKDAY(FJ12,FM11),WORKDAY(FK12,FM11))</f>
        <v/>
      </c>
      <c r="FN12" s="56" t="n"/>
      <c r="FO12" s="10" t="n">
        <v>46367</v>
      </c>
      <c r="FP12" s="10">
        <f>WORKDAY(FM12,FP11)</f>
        <v/>
      </c>
      <c r="FQ12" s="10" t="n"/>
      <c r="FR12" s="77">
        <f>IF(NETWORKDAYS(FJ12,FO12)&gt;=30,"On-Track",IF(AND(NETWORKDAYS(FJ12,FO12)&lt;30,FJ12&lt;=FO12),"At Risk","Missed TCD"))</f>
        <v/>
      </c>
      <c r="FS12" s="110" t="inlineStr">
        <is>
          <t>Execution Baseline Locked</t>
        </is>
      </c>
      <c r="FT12" s="57">
        <f>NETWORKDAYS(CP12,FI12)</f>
        <v/>
      </c>
      <c r="FU12" s="57">
        <f>NETWORKDAYS(CQ12,FJ12)</f>
        <v/>
      </c>
      <c r="FV12" s="57">
        <f>IF(BH12="",NETWORKDAYS(BG12,FJ12),IF(FK12="",NETWORKDAYS(BH12,FJ12),NETWORKDAYS(BH12,FK12)))</f>
        <v/>
      </c>
      <c r="FW12" s="58" t="inlineStr">
        <is>
          <t>Execution Only</t>
        </is>
      </c>
    </row>
    <row r="13" outlineLevel="1">
      <c r="A13" s="23" t="n"/>
      <c r="B13" s="23" t="n">
        <v>107136</v>
      </c>
      <c r="C13" s="24" t="inlineStr">
        <is>
          <t>019-06020-0000</t>
        </is>
      </c>
      <c r="D13" s="95" t="n"/>
      <c r="E13" s="24" t="n"/>
      <c r="F13" s="25" t="inlineStr">
        <is>
          <t>Durations in WD</t>
        </is>
      </c>
      <c r="G13" s="26" t="n"/>
      <c r="H13" s="26" t="n"/>
      <c r="I13" s="27" t="n"/>
      <c r="J13" s="27" t="n"/>
      <c r="K13" s="27" t="n"/>
      <c r="L13" s="27" t="n"/>
      <c r="M13" s="4" t="n">
        <v>27</v>
      </c>
      <c r="N13" s="4" t="n">
        <v>27</v>
      </c>
      <c r="O13" s="27" t="n"/>
      <c r="P13" s="4" t="n">
        <v>0</v>
      </c>
      <c r="Q13" s="4" t="n">
        <v>0</v>
      </c>
      <c r="R13" s="27" t="n"/>
      <c r="S13" s="27" t="n"/>
      <c r="T13" s="27" t="n"/>
      <c r="U13" s="27" t="n"/>
      <c r="V13" s="4" t="n">
        <v>30</v>
      </c>
      <c r="W13" s="4" t="n">
        <v>30</v>
      </c>
      <c r="X13" s="27" t="n"/>
      <c r="Y13" s="4" t="n">
        <v>70</v>
      </c>
      <c r="Z13" s="4" t="n">
        <v>70</v>
      </c>
      <c r="AA13" s="27" t="n"/>
      <c r="AB13" s="4" t="n">
        <v>0</v>
      </c>
      <c r="AC13" s="4" t="n">
        <v>0</v>
      </c>
      <c r="AD13" s="27" t="n"/>
      <c r="AE13" s="4" t="n">
        <v>75</v>
      </c>
      <c r="AF13" s="4" t="n">
        <v>75</v>
      </c>
      <c r="AG13" s="27" t="n"/>
      <c r="AH13" s="4" t="n">
        <v>5</v>
      </c>
      <c r="AI13" s="4" t="n">
        <v>5</v>
      </c>
      <c r="AJ13" s="27" t="n"/>
      <c r="AK13" s="4" t="n">
        <v>20</v>
      </c>
      <c r="AL13" s="4" t="n">
        <v>20</v>
      </c>
      <c r="AM13" s="27" t="n"/>
      <c r="AN13" s="4" t="n">
        <v>0</v>
      </c>
      <c r="AO13" s="4" t="n">
        <v>0</v>
      </c>
      <c r="AP13" s="27" t="n"/>
      <c r="AQ13" s="4" t="n">
        <v>20</v>
      </c>
      <c r="AR13" s="4" t="n">
        <v>20</v>
      </c>
      <c r="AS13" s="27" t="n"/>
      <c r="AT13" s="4" t="n">
        <v>5</v>
      </c>
      <c r="AU13" s="4" t="n">
        <v>5</v>
      </c>
      <c r="AV13" s="27" t="n"/>
      <c r="AW13" s="4" t="n">
        <v>10</v>
      </c>
      <c r="AX13" s="4" t="n">
        <v>10</v>
      </c>
      <c r="AY13" s="27" t="n"/>
      <c r="AZ13" s="4" t="n">
        <v>30</v>
      </c>
      <c r="BA13" s="4" t="n">
        <v>30</v>
      </c>
      <c r="BB13" s="27" t="n"/>
      <c r="BC13" s="4" t="n">
        <v>5</v>
      </c>
      <c r="BD13" s="4" t="n">
        <v>5</v>
      </c>
      <c r="BE13" s="27" t="n"/>
      <c r="BF13" s="4" t="n">
        <v>5</v>
      </c>
      <c r="BG13" s="4" t="n">
        <v>5</v>
      </c>
      <c r="BH13" s="27" t="n"/>
      <c r="BI13" s="4" t="n">
        <v>5</v>
      </c>
      <c r="BJ13" s="4" t="n">
        <v>5</v>
      </c>
      <c r="BK13" s="27" t="n"/>
      <c r="BL13" s="27" t="n"/>
      <c r="BM13" s="27" t="n"/>
      <c r="BN13" s="27" t="n"/>
      <c r="BO13" s="27" t="n"/>
      <c r="BP13" s="27" t="n"/>
      <c r="BQ13" s="27" t="n"/>
      <c r="BR13" s="27" t="n"/>
      <c r="BS13" s="27" t="n"/>
      <c r="BT13" s="27" t="n"/>
      <c r="BU13" s="27" t="n"/>
      <c r="BV13" s="27" t="n"/>
      <c r="BW13" s="27" t="n"/>
      <c r="BX13" s="27" t="n"/>
      <c r="BY13" s="27" t="n"/>
      <c r="BZ13" s="27" t="n"/>
      <c r="CA13" s="27" t="n"/>
      <c r="CB13" s="27" t="n"/>
      <c r="CC13" s="27" t="n"/>
      <c r="CD13" s="27" t="n"/>
      <c r="CE13" s="27" t="n"/>
      <c r="CF13" s="27" t="n"/>
      <c r="CG13" s="27" t="n"/>
      <c r="CH13" s="27" t="n"/>
      <c r="CI13" s="27" t="n"/>
      <c r="CJ13" s="27" t="n"/>
      <c r="CK13" s="27" t="n"/>
      <c r="CL13" s="27" t="n"/>
      <c r="CM13" s="4" t="n">
        <v>3</v>
      </c>
      <c r="CN13" s="4" t="n">
        <v>3</v>
      </c>
      <c r="CO13" s="27" t="n"/>
      <c r="CP13" s="4" t="n">
        <v>5</v>
      </c>
      <c r="CQ13" s="4" t="n">
        <v>5</v>
      </c>
      <c r="CR13" s="27" t="n"/>
      <c r="CS13" s="27" t="n"/>
      <c r="CT13" s="5" t="n">
        <v>120</v>
      </c>
      <c r="CU13" s="5" t="n">
        <v>120</v>
      </c>
      <c r="CV13" s="27" t="n"/>
      <c r="CW13" s="5" t="n">
        <v>10</v>
      </c>
      <c r="CX13" s="5" t="n">
        <v>10</v>
      </c>
      <c r="CY13" s="27" t="n"/>
      <c r="CZ13" s="5" t="n">
        <v>0</v>
      </c>
      <c r="DA13" s="5" t="n">
        <v>0</v>
      </c>
      <c r="DB13" s="27" t="n"/>
      <c r="DC13" s="31" t="n"/>
      <c r="DD13" s="31" t="n"/>
      <c r="DE13" s="31" t="n"/>
      <c r="DF13" s="4" t="n">
        <v>20</v>
      </c>
      <c r="DG13" s="4" t="n">
        <v>20</v>
      </c>
      <c r="DH13" s="27" t="n"/>
      <c r="DI13" s="89" t="n">
        <v>1</v>
      </c>
      <c r="DJ13" s="4" t="n">
        <v>20</v>
      </c>
      <c r="DK13" s="4" t="n">
        <v>20</v>
      </c>
      <c r="DL13" s="27" t="n"/>
      <c r="DM13" s="27" t="n"/>
      <c r="DN13" s="27" t="n"/>
      <c r="DO13" s="27" t="n"/>
      <c r="DP13" s="27" t="n"/>
      <c r="DQ13" s="27" t="n"/>
      <c r="DR13" s="27" t="n"/>
      <c r="DS13" s="27" t="n"/>
      <c r="DT13" s="27" t="n"/>
      <c r="DU13" s="27" t="n"/>
      <c r="DV13" s="27" t="n"/>
      <c r="DW13" s="27" t="n"/>
      <c r="DX13" s="27" t="n"/>
      <c r="DY13" s="27" t="n"/>
      <c r="DZ13" s="27" t="n"/>
      <c r="EA13" s="27" t="n"/>
      <c r="EB13" s="27" t="n"/>
      <c r="EC13" s="27" t="n"/>
      <c r="ED13" s="27" t="n"/>
      <c r="EE13" s="4" t="n">
        <v>0</v>
      </c>
      <c r="EF13" s="4" t="n">
        <v>0</v>
      </c>
      <c r="EG13" s="27" t="n"/>
      <c r="EH13" s="4" t="n">
        <v>30</v>
      </c>
      <c r="EI13" s="4" t="n">
        <v>30</v>
      </c>
      <c r="EJ13" s="27" t="n"/>
      <c r="EK13" s="27" t="n"/>
      <c r="EL13" s="27" t="n"/>
      <c r="EM13" s="27" t="n"/>
      <c r="EN13" s="27" t="n"/>
      <c r="EO13" s="27" t="n"/>
      <c r="EP13" s="27" t="n"/>
      <c r="EQ13" s="27" t="n"/>
      <c r="ER13" s="27" t="n"/>
      <c r="ES13" s="27" t="n"/>
      <c r="ET13" s="27" t="n"/>
      <c r="EU13" s="27" t="n"/>
      <c r="EV13" s="27" t="n"/>
      <c r="EW13" s="27" t="n"/>
      <c r="EX13" s="27" t="n"/>
      <c r="EY13" s="27" t="n"/>
      <c r="EZ13" s="4" t="n">
        <v>5</v>
      </c>
      <c r="FA13" s="4" t="n">
        <v>5</v>
      </c>
      <c r="FB13" s="27" t="n"/>
      <c r="FC13" s="27" t="n"/>
      <c r="FD13" s="27" t="n"/>
      <c r="FE13" s="27" t="n"/>
      <c r="FF13" s="27" t="n"/>
      <c r="FG13" s="27" t="n"/>
      <c r="FH13" s="27" t="n"/>
      <c r="FI13" s="4" t="n">
        <v>15</v>
      </c>
      <c r="FJ13" s="4" t="n">
        <v>15</v>
      </c>
      <c r="FK13" s="27" t="n"/>
      <c r="FL13" s="4" t="n">
        <v>0</v>
      </c>
      <c r="FM13" s="4" t="n">
        <v>0</v>
      </c>
      <c r="FN13" s="27" t="n"/>
      <c r="FO13" s="4" t="n">
        <v>40</v>
      </c>
      <c r="FP13" s="4" t="n">
        <v>40</v>
      </c>
      <c r="FQ13" s="27" t="n"/>
      <c r="FR13" s="27" t="n"/>
      <c r="FS13" s="109" t="n"/>
      <c r="FT13" s="54">
        <f>NETWORKDAYS($I14,FO14)</f>
        <v/>
      </c>
      <c r="FU13" s="54">
        <f>NETWORKDAYS($I14,FP14)</f>
        <v/>
      </c>
      <c r="FV13" s="54">
        <f>IF(FQ14="",NETWORKDAYS($I14,FP14),NETWORKDAYS($I14,FQ14))</f>
        <v/>
      </c>
      <c r="FW13" s="55" t="inlineStr">
        <is>
          <t>Total Project</t>
        </is>
      </c>
    </row>
    <row r="14">
      <c r="A14" s="23" t="inlineStr">
        <is>
          <t>Advanced Manufacturing</t>
        </is>
      </c>
      <c r="B14" s="23" t="n">
        <v>107136</v>
      </c>
      <c r="C14" s="24" t="inlineStr">
        <is>
          <t>019-06020-0000</t>
        </is>
      </c>
      <c r="D14" s="65" t="n"/>
      <c r="E14" s="23">
        <f>IF(D14="","Unknown",IF(D14&lt;=FM14+90,"Red",IF(AND(D14&gt;FM14+90,D14&lt;=FM14+180),"Yellow",IF(AND(D14&gt;FM14+180,D14&lt;=FM14+690),"Green","Covered"))))</f>
        <v/>
      </c>
      <c r="F14" s="25" t="inlineStr">
        <is>
          <t>BTP FAIR Only Part Number</t>
        </is>
      </c>
      <c r="G14" s="26" t="n"/>
      <c r="H14" s="26">
        <f>IF(CR14="","Pre-Execution","Execution")</f>
        <v/>
      </c>
      <c r="I14" s="13" t="n">
        <v>45814</v>
      </c>
      <c r="J14" s="28" t="n"/>
      <c r="K14" s="28" t="n"/>
      <c r="L14" s="28" t="n"/>
      <c r="M14" s="10" t="n">
        <v>45853</v>
      </c>
      <c r="N14" s="10">
        <f>WORKDAY(I14,N13)</f>
        <v/>
      </c>
      <c r="O14" s="56">
        <f>M14</f>
        <v/>
      </c>
      <c r="P14" s="10" t="n">
        <v>45853</v>
      </c>
      <c r="Q14" s="10">
        <f>IF(O14="",WORKDAY(N14,Q13),WORKDAY(O14,Q13))</f>
        <v/>
      </c>
      <c r="R14" s="56">
        <f>P14</f>
        <v/>
      </c>
      <c r="S14" s="28" t="n"/>
      <c r="T14" s="28" t="n"/>
      <c r="U14" s="28" t="n"/>
      <c r="V14" s="10" t="n">
        <v>45895</v>
      </c>
      <c r="W14" s="10">
        <f>IF(R14="",WORKDAY(Q14,W13),WORKDAY(R14,W13))</f>
        <v/>
      </c>
      <c r="X14" s="56" t="n"/>
      <c r="Y14" s="10" t="n">
        <v>45951</v>
      </c>
      <c r="Z14" s="10">
        <f>IF(R14="",WORKDAY(Q14,Z13),WORKDAY(R14,Z13))</f>
        <v/>
      </c>
      <c r="AA14" s="56" t="n"/>
      <c r="AB14" s="10" t="n">
        <v>45814</v>
      </c>
      <c r="AC14" s="10">
        <f>WORKDAY(I14,AC13)</f>
        <v/>
      </c>
      <c r="AD14" s="56" t="n"/>
      <c r="AE14" s="10" t="n">
        <v>45919</v>
      </c>
      <c r="AF14" s="10">
        <f>IF(AD14="",WORKDAY(AC14,AF13),WORKDAY(AD14,AF13))</f>
        <v/>
      </c>
      <c r="AG14" s="56" t="n"/>
      <c r="AH14" s="10" t="n">
        <v>45958</v>
      </c>
      <c r="AI14" s="10">
        <f>WORKDAY(IF(AA14="",IF(Z14&gt;AF14,Z14,AF14),IF(AA14&gt;AG14,AA14,AG14)),AI13)</f>
        <v/>
      </c>
      <c r="AJ14" s="56">
        <f>AH14</f>
        <v/>
      </c>
      <c r="AK14" s="10" t="n">
        <v>45986</v>
      </c>
      <c r="AL14" s="10">
        <f>IF(AJ14="",WORKDAY(AI14,AL13),WORKDAY(AJ14,AL13))</f>
        <v/>
      </c>
      <c r="AM14" s="56" t="n"/>
      <c r="AN14" s="10" t="n">
        <v>45986</v>
      </c>
      <c r="AO14" s="10">
        <f>IF(AM14="",WORKDAY(AL14,AO13),WORKDAY(AM14,AO13))</f>
        <v/>
      </c>
      <c r="AP14" s="56" t="n"/>
      <c r="AQ14" s="10" t="n">
        <v>46014</v>
      </c>
      <c r="AR14" s="10">
        <f>IF(AP14="",WORKDAY(AO14,AR13),WORKDAY(AP14,AR13))</f>
        <v/>
      </c>
      <c r="AS14" s="10">
        <f>AQ14</f>
        <v/>
      </c>
      <c r="AT14" s="10" t="n">
        <v>45993</v>
      </c>
      <c r="AU14" s="10" t="n">
        <v>45993</v>
      </c>
      <c r="AV14" s="10" t="n">
        <v>45993</v>
      </c>
      <c r="AW14" s="10" t="n">
        <v>46028</v>
      </c>
      <c r="AX14" s="10">
        <f>IF(AS14="",IF(AR14&gt;AU14,WORKDAY(AR14,AX13),WORKDAY(AU14,AX13)),IF(AS14&gt;AV14,WORKDAY(AS14,AX13),WORKDAY(AV14,AX13)))</f>
        <v/>
      </c>
      <c r="AY14" s="10" t="n">
        <v>46028</v>
      </c>
      <c r="AZ14" s="10" t="n">
        <v>46028</v>
      </c>
      <c r="BA14" s="10">
        <f>IF(AP14="",WORKDAY(AO14,BA13),WORKDAY(AP14,BA13))</f>
        <v/>
      </c>
      <c r="BB14" s="10" t="n">
        <v>46028</v>
      </c>
      <c r="BC14" s="10" t="n">
        <v>46035</v>
      </c>
      <c r="BD14" s="10">
        <f>IF(AY14="",IF(AX14&gt;BA14,WORKDAY(AX14,BD13),WORKDAY(BA14,BD13)),IF(AY14&gt;BB14,WORKDAY(AY14,BD13),WORKDAY(BB14,BD13)))</f>
        <v/>
      </c>
      <c r="BE14" s="10">
        <f>IF(AZ14="",IF(AY14&gt;BB14,WORKDAY(AY14,BE13),WORKDAY(BB14,BE13)),IF(AZ14&gt;BC14,WORKDAY(AZ14,BE13),WORKDAY(BC14,BE13)))</f>
        <v/>
      </c>
      <c r="BF14" s="10" t="n">
        <v>46042</v>
      </c>
      <c r="BG14" s="10">
        <f>IF(BE14="",WORKDAY(BD14,BG13),WORKDAY(BE14,BG13))</f>
        <v/>
      </c>
      <c r="BH14" s="56">
        <f>BF14</f>
        <v/>
      </c>
      <c r="BI14" s="10" t="n">
        <v>46049</v>
      </c>
      <c r="BJ14" s="10">
        <f>IF(BH14="",WORKDAY(BG14,BJ13),WORKDAY(BH14,BJ13))</f>
        <v/>
      </c>
      <c r="BK14" s="56">
        <f>BI14</f>
        <v/>
      </c>
      <c r="BL14" s="28" t="n"/>
      <c r="BM14" s="28" t="n"/>
      <c r="BN14" s="28" t="n"/>
      <c r="BO14" s="28" t="n"/>
      <c r="BP14" s="28" t="n"/>
      <c r="BQ14" s="28" t="n"/>
      <c r="BR14" s="28" t="n"/>
      <c r="BS14" s="28" t="n"/>
      <c r="BT14" s="28" t="n"/>
      <c r="BU14" s="28" t="n"/>
      <c r="BV14" s="28" t="n"/>
      <c r="BW14" s="28" t="n"/>
      <c r="BX14" s="46" t="n"/>
      <c r="BY14" s="28" t="n"/>
      <c r="BZ14" s="28" t="n"/>
      <c r="CA14" s="28" t="n"/>
      <c r="CB14" s="28" t="n"/>
      <c r="CC14" s="28" t="n"/>
      <c r="CD14" s="28" t="n"/>
      <c r="CE14" s="28" t="n"/>
      <c r="CF14" s="28" t="n"/>
      <c r="CG14" s="28" t="n"/>
      <c r="CH14" s="28" t="n"/>
      <c r="CI14" s="28" t="n"/>
      <c r="CJ14" s="28" t="n"/>
      <c r="CK14" s="28" t="n"/>
      <c r="CL14" s="28" t="n"/>
      <c r="CM14" s="10" t="n">
        <v>46052</v>
      </c>
      <c r="CN14" s="10">
        <f>IF(BK14="",WORKDAY(BJ14,CN13),WORKDAY(BK14,CN13))</f>
        <v/>
      </c>
      <c r="CO14" s="56">
        <f>CM14</f>
        <v/>
      </c>
      <c r="CP14" s="10" t="n">
        <v>46059</v>
      </c>
      <c r="CQ14" s="10">
        <f>IF(CO14="",WORKDAY(CN14,CQ13),WORKDAY(CO14,CQ13))</f>
        <v/>
      </c>
      <c r="CR14" s="56">
        <f>CP14</f>
        <v/>
      </c>
      <c r="CS14" s="77" t="inlineStr">
        <is>
          <t>Execution schedule has been re-baselined w/ FAIR PO Ack ACD. Validate your durations before publishing</t>
        </is>
      </c>
      <c r="CT14" s="10" t="n">
        <v>46227</v>
      </c>
      <c r="CU14" s="10">
        <f>IF(CR14="",WORKDAY(CQ14,CU13),WORKDAY(CR14,CU13))</f>
        <v/>
      </c>
      <c r="CV14" s="56">
        <f>CT14</f>
        <v/>
      </c>
      <c r="CW14" s="10" t="n">
        <v>46042</v>
      </c>
      <c r="CX14" s="10">
        <f>IF(BB14="",WORKDAY(BA14,CX13),WORKDAY(BB14,CX13))</f>
        <v/>
      </c>
      <c r="CY14" s="56">
        <f>CW14</f>
        <v/>
      </c>
      <c r="CZ14" s="10" t="n">
        <v>46042</v>
      </c>
      <c r="DA14" s="10">
        <f>IF(CY14="",WORKDAY(CX14,DA13),WORKDAY(CY14,DA13))</f>
        <v/>
      </c>
      <c r="DB14" s="56">
        <f>CZ14</f>
        <v/>
      </c>
      <c r="DC14" s="45" t="n"/>
      <c r="DD14" s="45" t="n"/>
      <c r="DE14" s="45" t="n"/>
      <c r="DF14" s="10" t="n">
        <v>46255</v>
      </c>
      <c r="DG14" s="10">
        <f>IF($CV14="",IF($CU14&gt;$DA14,WORKDAY($CU14,DG13),WORKDAY($DA14,DG13)),IF($CV14&gt;$DB14,WORKDAY($CV14,DG13),WORKDAY($DB14,DG13)))</f>
        <v/>
      </c>
      <c r="DH14" s="56" t="n"/>
      <c r="DI14" s="46" t="n"/>
      <c r="DJ14" s="10" t="n">
        <v>46283</v>
      </c>
      <c r="DK14" s="10">
        <f>IF(DH14="",WORKDAY(DG14,DK13*$DI13),WORKDAY(DH14,DK13*$DI13))</f>
        <v/>
      </c>
      <c r="DL14" s="56" t="n"/>
      <c r="DM14" s="46" t="n"/>
      <c r="DN14" s="46" t="n"/>
      <c r="DO14" s="46" t="n"/>
      <c r="DP14" s="46" t="n"/>
      <c r="DQ14" s="46" t="n"/>
      <c r="DR14" s="46" t="n"/>
      <c r="DS14" s="46" t="n"/>
      <c r="DT14" s="46" t="n"/>
      <c r="DU14" s="46" t="n"/>
      <c r="DV14" s="46" t="n"/>
      <c r="DW14" s="46" t="n"/>
      <c r="DX14" s="46" t="n"/>
      <c r="DY14" s="46" t="n"/>
      <c r="DZ14" s="46" t="n"/>
      <c r="EA14" s="46" t="n"/>
      <c r="EB14" s="46" t="n"/>
      <c r="EC14" s="46" t="n"/>
      <c r="ED14" s="46" t="n"/>
      <c r="EE14" s="10" t="n">
        <v>46283</v>
      </c>
      <c r="EF14" s="10">
        <f>IF(DL14="",WORKDAY(DK14,EF13),WORKDAY(DL14,EF13))</f>
        <v/>
      </c>
      <c r="EG14" s="56" t="n"/>
      <c r="EH14" s="10" t="n">
        <v>46084</v>
      </c>
      <c r="EI14" s="10">
        <f>IF(BH14="",WORKDAY(BG14,EI13),WORKDAY(BH14,EI13))</f>
        <v/>
      </c>
      <c r="EJ14" s="56" t="n"/>
      <c r="EK14" s="27" t="n"/>
      <c r="EL14" s="27" t="n"/>
      <c r="EM14" s="27" t="n"/>
      <c r="EN14" s="27" t="n"/>
      <c r="EO14" s="28" t="n"/>
      <c r="EP14" s="28" t="n"/>
      <c r="EQ14" s="28" t="n"/>
      <c r="ER14" s="28" t="n"/>
      <c r="ES14" s="28" t="n"/>
      <c r="ET14" s="28" t="n"/>
      <c r="EU14" s="28" t="n"/>
      <c r="EV14" s="28" t="n"/>
      <c r="EW14" s="28" t="n"/>
      <c r="EX14" s="28" t="n"/>
      <c r="EY14" s="28" t="n"/>
      <c r="EZ14" s="10" t="n">
        <v>46290</v>
      </c>
      <c r="FA14" s="10">
        <f>IF(EG14="",WORKDAY(EF14,FA13),WORKDAY(EG14,FA13))</f>
        <v/>
      </c>
      <c r="FB14" s="56" t="n"/>
      <c r="FC14" s="28" t="n"/>
      <c r="FD14" s="28" t="n"/>
      <c r="FE14" s="28" t="n"/>
      <c r="FF14" s="28" t="n"/>
      <c r="FG14" s="28" t="n"/>
      <c r="FH14" s="28" t="n"/>
      <c r="FI14" s="10" t="n">
        <v>46311</v>
      </c>
      <c r="FJ14" s="10">
        <f>IF(FB14="",WORKDAY(FA14,FJ13),WORKDAY(FB14,FJ13))</f>
        <v/>
      </c>
      <c r="FK14" s="56" t="n"/>
      <c r="FL14" s="10" t="n">
        <v>46311</v>
      </c>
      <c r="FM14" s="10">
        <f>IF(FK14="",WORKDAY(FJ14,FM13),WORKDAY(FK14,FM13))</f>
        <v/>
      </c>
      <c r="FN14" s="56" t="n"/>
      <c r="FO14" s="10" t="n">
        <v>46367</v>
      </c>
      <c r="FP14" s="10">
        <f>WORKDAY(FM14,FP13)</f>
        <v/>
      </c>
      <c r="FQ14" s="10" t="n"/>
      <c r="FR14" s="77">
        <f>IF(NETWORKDAYS(FJ14,FO14)&gt;=30,"On-Track",IF(AND(NETWORKDAYS(FJ14,FO14)&lt;30,FJ14&lt;=FO14),"At Risk","Missed TCD"))</f>
        <v/>
      </c>
      <c r="FS14" s="110" t="inlineStr">
        <is>
          <t>Execution Baseline Locked</t>
        </is>
      </c>
      <c r="FT14" s="57">
        <f>NETWORKDAYS(CP14,FI14)</f>
        <v/>
      </c>
      <c r="FU14" s="57">
        <f>NETWORKDAYS(CQ14,FJ14)</f>
        <v/>
      </c>
      <c r="FV14" s="57">
        <f>IF(BH14="",NETWORKDAYS(BG14,FJ14),IF(FK14="",NETWORKDAYS(BH14,FJ14),NETWORKDAYS(BH14,FK14)))</f>
        <v/>
      </c>
      <c r="FW14" s="58" t="inlineStr">
        <is>
          <t>Execution Only</t>
        </is>
      </c>
    </row>
    <row r="15" outlineLevel="1">
      <c r="A15" s="23" t="n"/>
      <c r="B15" s="23" t="n">
        <v>107137</v>
      </c>
      <c r="C15" s="24" t="inlineStr">
        <is>
          <t>019-07090-0000</t>
        </is>
      </c>
      <c r="D15" s="95" t="n"/>
      <c r="E15" s="24" t="n"/>
      <c r="F15" s="25" t="inlineStr">
        <is>
          <t>Durations in WD</t>
        </is>
      </c>
      <c r="G15" s="26" t="n"/>
      <c r="H15" s="26" t="n"/>
      <c r="I15" s="27" t="n"/>
      <c r="J15" s="27" t="n"/>
      <c r="K15" s="27" t="n"/>
      <c r="L15" s="27" t="n"/>
      <c r="M15" s="4" t="n">
        <v>27</v>
      </c>
      <c r="N15" s="4" t="n">
        <v>27</v>
      </c>
      <c r="O15" s="27" t="n"/>
      <c r="P15" s="4" t="n">
        <v>0</v>
      </c>
      <c r="Q15" s="4" t="n">
        <v>0</v>
      </c>
      <c r="R15" s="27" t="n"/>
      <c r="S15" s="27" t="n"/>
      <c r="T15" s="27" t="n"/>
      <c r="U15" s="27" t="n"/>
      <c r="V15" s="4" t="n">
        <v>30</v>
      </c>
      <c r="W15" s="4" t="n">
        <v>30</v>
      </c>
      <c r="X15" s="27" t="n"/>
      <c r="Y15" s="4" t="n">
        <v>70</v>
      </c>
      <c r="Z15" s="4" t="n">
        <v>70</v>
      </c>
      <c r="AA15" s="27" t="n"/>
      <c r="AB15" s="4" t="n">
        <v>0</v>
      </c>
      <c r="AC15" s="4" t="n">
        <v>0</v>
      </c>
      <c r="AD15" s="27" t="n"/>
      <c r="AE15" s="4" t="n">
        <v>75</v>
      </c>
      <c r="AF15" s="4" t="n">
        <v>75</v>
      </c>
      <c r="AG15" s="27" t="n"/>
      <c r="AH15" s="4" t="n">
        <v>5</v>
      </c>
      <c r="AI15" s="4" t="n">
        <v>5</v>
      </c>
      <c r="AJ15" s="27" t="n"/>
      <c r="AK15" s="4" t="n">
        <v>20</v>
      </c>
      <c r="AL15" s="4" t="n">
        <v>20</v>
      </c>
      <c r="AM15" s="27" t="n"/>
      <c r="AN15" s="4" t="n">
        <v>0</v>
      </c>
      <c r="AO15" s="4" t="n">
        <v>0</v>
      </c>
      <c r="AP15" s="27" t="n"/>
      <c r="AQ15" s="4" t="n">
        <v>20</v>
      </c>
      <c r="AR15" s="4" t="n">
        <v>20</v>
      </c>
      <c r="AS15" s="27" t="n"/>
      <c r="AT15" s="4" t="n">
        <v>5</v>
      </c>
      <c r="AU15" s="4" t="n">
        <v>5</v>
      </c>
      <c r="AV15" s="27" t="n"/>
      <c r="AW15" s="4" t="n">
        <v>10</v>
      </c>
      <c r="AX15" s="4" t="n">
        <v>10</v>
      </c>
      <c r="AY15" s="27" t="n"/>
      <c r="AZ15" s="4" t="n">
        <v>30</v>
      </c>
      <c r="BA15" s="4" t="n">
        <v>30</v>
      </c>
      <c r="BB15" s="27" t="n"/>
      <c r="BC15" s="4" t="n">
        <v>5</v>
      </c>
      <c r="BD15" s="4" t="n">
        <v>5</v>
      </c>
      <c r="BE15" s="27" t="n"/>
      <c r="BF15" s="4" t="n">
        <v>5</v>
      </c>
      <c r="BG15" s="4" t="n">
        <v>5</v>
      </c>
      <c r="BH15" s="27" t="n"/>
      <c r="BI15" s="4" t="n">
        <v>5</v>
      </c>
      <c r="BJ15" s="4" t="n">
        <v>5</v>
      </c>
      <c r="BK15" s="27" t="n"/>
      <c r="BL15" s="27" t="n"/>
      <c r="BM15" s="27" t="n"/>
      <c r="BN15" s="27" t="n"/>
      <c r="BO15" s="27" t="n"/>
      <c r="BP15" s="27" t="n"/>
      <c r="BQ15" s="27" t="n"/>
      <c r="BR15" s="27" t="n"/>
      <c r="BS15" s="27" t="n"/>
      <c r="BT15" s="27" t="n"/>
      <c r="BU15" s="27" t="n"/>
      <c r="BV15" s="27" t="n"/>
      <c r="BW15" s="27" t="n"/>
      <c r="BX15" s="27" t="n"/>
      <c r="BY15" s="27" t="n"/>
      <c r="BZ15" s="27" t="n"/>
      <c r="CA15" s="27" t="n"/>
      <c r="CB15" s="27" t="n"/>
      <c r="CC15" s="27" t="n"/>
      <c r="CD15" s="27" t="n"/>
      <c r="CE15" s="27" t="n"/>
      <c r="CF15" s="27" t="n"/>
      <c r="CG15" s="27" t="n"/>
      <c r="CH15" s="27" t="n"/>
      <c r="CI15" s="27" t="n"/>
      <c r="CJ15" s="27" t="n"/>
      <c r="CK15" s="27" t="n"/>
      <c r="CL15" s="27" t="n"/>
      <c r="CM15" s="4" t="n">
        <v>3</v>
      </c>
      <c r="CN15" s="4" t="n">
        <v>3</v>
      </c>
      <c r="CO15" s="27" t="n"/>
      <c r="CP15" s="4" t="n">
        <v>5</v>
      </c>
      <c r="CQ15" s="4" t="n">
        <v>5</v>
      </c>
      <c r="CR15" s="27" t="n"/>
      <c r="CS15" s="27" t="n"/>
      <c r="CT15" s="5" t="n">
        <v>120</v>
      </c>
      <c r="CU15" s="5" t="n">
        <v>120</v>
      </c>
      <c r="CV15" s="27" t="n"/>
      <c r="CW15" s="5" t="n">
        <v>10</v>
      </c>
      <c r="CX15" s="5" t="n">
        <v>10</v>
      </c>
      <c r="CY15" s="27" t="n"/>
      <c r="CZ15" s="5" t="n">
        <v>0</v>
      </c>
      <c r="DA15" s="5" t="n">
        <v>0</v>
      </c>
      <c r="DB15" s="27" t="n"/>
      <c r="DC15" s="31" t="n"/>
      <c r="DD15" s="31" t="n"/>
      <c r="DE15" s="31" t="n"/>
      <c r="DF15" s="4" t="n">
        <v>20</v>
      </c>
      <c r="DG15" s="4" t="n">
        <v>20</v>
      </c>
      <c r="DH15" s="27" t="n"/>
      <c r="DI15" s="89" t="n">
        <v>1</v>
      </c>
      <c r="DJ15" s="4" t="n">
        <v>20</v>
      </c>
      <c r="DK15" s="4" t="n">
        <v>20</v>
      </c>
      <c r="DL15" s="27" t="n"/>
      <c r="DM15" s="27" t="n"/>
      <c r="DN15" s="27" t="n"/>
      <c r="DO15" s="27" t="n"/>
      <c r="DP15" s="27" t="n"/>
      <c r="DQ15" s="27" t="n"/>
      <c r="DR15" s="27" t="n"/>
      <c r="DS15" s="27" t="n"/>
      <c r="DT15" s="27" t="n"/>
      <c r="DU15" s="27" t="n"/>
      <c r="DV15" s="27" t="n"/>
      <c r="DW15" s="27" t="n"/>
      <c r="DX15" s="27" t="n"/>
      <c r="DY15" s="27" t="n"/>
      <c r="DZ15" s="27" t="n"/>
      <c r="EA15" s="27" t="n"/>
      <c r="EB15" s="27" t="n"/>
      <c r="EC15" s="27" t="n"/>
      <c r="ED15" s="27" t="n"/>
      <c r="EE15" s="4" t="n">
        <v>0</v>
      </c>
      <c r="EF15" s="4" t="n">
        <v>0</v>
      </c>
      <c r="EG15" s="27" t="n"/>
      <c r="EH15" s="4" t="n">
        <v>30</v>
      </c>
      <c r="EI15" s="4" t="n">
        <v>30</v>
      </c>
      <c r="EJ15" s="27" t="n"/>
      <c r="EK15" s="27" t="n"/>
      <c r="EL15" s="27" t="n"/>
      <c r="EM15" s="27" t="n"/>
      <c r="EN15" s="27" t="n"/>
      <c r="EO15" s="27" t="n"/>
      <c r="EP15" s="27" t="n"/>
      <c r="EQ15" s="27" t="n"/>
      <c r="ER15" s="27" t="n"/>
      <c r="ES15" s="27" t="n"/>
      <c r="ET15" s="27" t="n"/>
      <c r="EU15" s="27" t="n"/>
      <c r="EV15" s="27" t="n"/>
      <c r="EW15" s="27" t="n"/>
      <c r="EX15" s="27" t="n"/>
      <c r="EY15" s="27" t="n"/>
      <c r="EZ15" s="4" t="n">
        <v>5</v>
      </c>
      <c r="FA15" s="4" t="n">
        <v>5</v>
      </c>
      <c r="FB15" s="27" t="n"/>
      <c r="FC15" s="27" t="n"/>
      <c r="FD15" s="27" t="n"/>
      <c r="FE15" s="27" t="n"/>
      <c r="FF15" s="27" t="n"/>
      <c r="FG15" s="27" t="n"/>
      <c r="FH15" s="27" t="n"/>
      <c r="FI15" s="4" t="n">
        <v>15</v>
      </c>
      <c r="FJ15" s="4" t="n">
        <v>15</v>
      </c>
      <c r="FK15" s="27" t="n"/>
      <c r="FL15" s="4" t="n">
        <v>0</v>
      </c>
      <c r="FM15" s="4" t="n">
        <v>0</v>
      </c>
      <c r="FN15" s="27" t="n"/>
      <c r="FO15" s="4" t="n">
        <v>40</v>
      </c>
      <c r="FP15" s="4" t="n">
        <v>40</v>
      </c>
      <c r="FQ15" s="27" t="n"/>
      <c r="FR15" s="27" t="n"/>
      <c r="FS15" s="109" t="n"/>
      <c r="FT15" s="54">
        <f>NETWORKDAYS($I16,FO16)</f>
        <v/>
      </c>
      <c r="FU15" s="54">
        <f>NETWORKDAYS($I16,FP16)</f>
        <v/>
      </c>
      <c r="FV15" s="54">
        <f>IF(FQ16="",NETWORKDAYS($I16,FP16),NETWORKDAYS($I16,FQ16))</f>
        <v/>
      </c>
      <c r="FW15" s="55" t="inlineStr">
        <is>
          <t>Total Project</t>
        </is>
      </c>
    </row>
    <row r="16">
      <c r="A16" s="23" t="inlineStr">
        <is>
          <t>Advanced Manufacturing</t>
        </is>
      </c>
      <c r="B16" s="23" t="n">
        <v>107137</v>
      </c>
      <c r="C16" s="24" t="inlineStr">
        <is>
          <t>019-07090-0000</t>
        </is>
      </c>
      <c r="D16" s="65" t="n"/>
      <c r="E16" s="23">
        <f>IF(D16="","Unknown",IF(D16&lt;=FM16+90,"Red",IF(AND(D16&gt;FM16+90,D16&lt;=FM16+180),"Yellow",IF(AND(D16&gt;FM16+180,D16&lt;=FM16+690),"Green","Covered"))))</f>
        <v/>
      </c>
      <c r="F16" s="25" t="inlineStr">
        <is>
          <t>BTP FAIR Only Part Number</t>
        </is>
      </c>
      <c r="G16" s="26" t="n"/>
      <c r="H16" s="26">
        <f>IF(CR16="","Pre-Execution","Execution")</f>
        <v/>
      </c>
      <c r="I16" s="13" t="n">
        <v>45814</v>
      </c>
      <c r="J16" s="28" t="n"/>
      <c r="K16" s="28" t="n"/>
      <c r="L16" s="28" t="n"/>
      <c r="M16" s="10" t="n">
        <v>45853</v>
      </c>
      <c r="N16" s="10">
        <f>WORKDAY(I16,N15)</f>
        <v/>
      </c>
      <c r="O16" s="56">
        <f>M16</f>
        <v/>
      </c>
      <c r="P16" s="10" t="n">
        <v>45853</v>
      </c>
      <c r="Q16" s="10">
        <f>IF(O16="",WORKDAY(N16,Q15),WORKDAY(O16,Q15))</f>
        <v/>
      </c>
      <c r="R16" s="56">
        <f>P16</f>
        <v/>
      </c>
      <c r="S16" s="28" t="n"/>
      <c r="T16" s="28" t="n"/>
      <c r="U16" s="28" t="n"/>
      <c r="V16" s="10" t="n">
        <v>45895</v>
      </c>
      <c r="W16" s="10">
        <f>IF(R16="",WORKDAY(Q16,W15),WORKDAY(R16,W15))</f>
        <v/>
      </c>
      <c r="X16" s="56" t="n"/>
      <c r="Y16" s="10" t="n">
        <v>45951</v>
      </c>
      <c r="Z16" s="10">
        <f>IF(R16="",WORKDAY(Q16,Z15),WORKDAY(R16,Z15))</f>
        <v/>
      </c>
      <c r="AA16" s="56" t="n"/>
      <c r="AB16" s="10" t="n">
        <v>45814</v>
      </c>
      <c r="AC16" s="10">
        <f>WORKDAY(I16,AC15)</f>
        <v/>
      </c>
      <c r="AD16" s="56" t="n"/>
      <c r="AE16" s="10" t="n">
        <v>45919</v>
      </c>
      <c r="AF16" s="10">
        <f>IF(AD16="",WORKDAY(AC16,AF15),WORKDAY(AD16,AF15))</f>
        <v/>
      </c>
      <c r="AG16" s="56" t="n"/>
      <c r="AH16" s="10" t="n">
        <v>45958</v>
      </c>
      <c r="AI16" s="10">
        <f>WORKDAY(IF(AA16="",IF(Z16&gt;AF16,Z16,AF16),IF(AA16&gt;AG16,AA16,AG16)),AI15)</f>
        <v/>
      </c>
      <c r="AJ16" s="56">
        <f>AH16</f>
        <v/>
      </c>
      <c r="AK16" s="10" t="n">
        <v>45986</v>
      </c>
      <c r="AL16" s="10">
        <f>IF(AJ16="",WORKDAY(AI16,AL15),WORKDAY(AJ16,AL15))</f>
        <v/>
      </c>
      <c r="AM16" s="56" t="n"/>
      <c r="AN16" s="10" t="n">
        <v>45986</v>
      </c>
      <c r="AO16" s="10">
        <f>IF(AM16="",WORKDAY(AL16,AO15),WORKDAY(AM16,AO15))</f>
        <v/>
      </c>
      <c r="AP16" s="56" t="n"/>
      <c r="AQ16" s="10" t="n">
        <v>46014</v>
      </c>
      <c r="AR16" s="10">
        <f>IF(AP16="",WORKDAY(AO16,AR15),WORKDAY(AP16,AR15))</f>
        <v/>
      </c>
      <c r="AS16" s="10">
        <f>AQ16</f>
        <v/>
      </c>
      <c r="AT16" s="10" t="n">
        <v>45993</v>
      </c>
      <c r="AU16" s="10" t="n">
        <v>45993</v>
      </c>
      <c r="AV16" s="10" t="n">
        <v>45993</v>
      </c>
      <c r="AW16" s="10" t="n">
        <v>46028</v>
      </c>
      <c r="AX16" s="10">
        <f>IF(AS16="",IF(AR16&gt;AU16,WORKDAY(AR16,AX15),WORKDAY(AU16,AX15)),IF(AS16&gt;AV16,WORKDAY(AS16,AX15),WORKDAY(AV16,AX15)))</f>
        <v/>
      </c>
      <c r="AY16" s="10" t="n">
        <v>46028</v>
      </c>
      <c r="AZ16" s="10" t="n">
        <v>46028</v>
      </c>
      <c r="BA16" s="10">
        <f>IF(AP16="",WORKDAY(AO16,BA15),WORKDAY(AP16,BA15))</f>
        <v/>
      </c>
      <c r="BB16" s="10" t="n">
        <v>46028</v>
      </c>
      <c r="BC16" s="10" t="n">
        <v>46035</v>
      </c>
      <c r="BD16" s="10">
        <f>IF(AY16="",IF(AX16&gt;BA16,WORKDAY(AX16,BD15),WORKDAY(BA16,BD15)),IF(AY16&gt;BB16,WORKDAY(AY16,BD15),WORKDAY(BB16,BD15)))</f>
        <v/>
      </c>
      <c r="BE16" s="10">
        <f>IF(AZ16="",IF(AY16&gt;BB16,WORKDAY(AY16,BE15),WORKDAY(BB16,BE15)),IF(AZ16&gt;BC16,WORKDAY(AZ16,BE15),WORKDAY(BC16,BE15)))</f>
        <v/>
      </c>
      <c r="BF16" s="10" t="n">
        <v>46042</v>
      </c>
      <c r="BG16" s="10">
        <f>IF(BE16="",WORKDAY(BD16,BG15),WORKDAY(BE16,BG15))</f>
        <v/>
      </c>
      <c r="BH16" s="56">
        <f>BF16</f>
        <v/>
      </c>
      <c r="BI16" s="10" t="n">
        <v>46049</v>
      </c>
      <c r="BJ16" s="10">
        <f>IF(BH16="",WORKDAY(BG16,BJ15),WORKDAY(BH16,BJ15))</f>
        <v/>
      </c>
      <c r="BK16" s="56">
        <f>BI16</f>
        <v/>
      </c>
      <c r="BL16" s="28" t="n"/>
      <c r="BM16" s="28" t="n"/>
      <c r="BN16" s="28" t="n"/>
      <c r="BO16" s="28" t="n"/>
      <c r="BP16" s="28" t="n"/>
      <c r="BQ16" s="28" t="n"/>
      <c r="BR16" s="28" t="n"/>
      <c r="BS16" s="28" t="n"/>
      <c r="BT16" s="28" t="n"/>
      <c r="BU16" s="28" t="n"/>
      <c r="BV16" s="28" t="n"/>
      <c r="BW16" s="28" t="n"/>
      <c r="BX16" s="46" t="n"/>
      <c r="BY16" s="28" t="n"/>
      <c r="BZ16" s="28" t="n"/>
      <c r="CA16" s="28" t="n"/>
      <c r="CB16" s="28" t="n"/>
      <c r="CC16" s="28" t="n"/>
      <c r="CD16" s="28" t="n"/>
      <c r="CE16" s="28" t="n"/>
      <c r="CF16" s="28" t="n"/>
      <c r="CG16" s="28" t="n"/>
      <c r="CH16" s="28" t="n"/>
      <c r="CI16" s="28" t="n"/>
      <c r="CJ16" s="28" t="n"/>
      <c r="CK16" s="28" t="n"/>
      <c r="CL16" s="28" t="n"/>
      <c r="CM16" s="10" t="n">
        <v>46052</v>
      </c>
      <c r="CN16" s="10">
        <f>IF(BK16="",WORKDAY(BJ16,CN15),WORKDAY(BK16,CN15))</f>
        <v/>
      </c>
      <c r="CO16" s="56">
        <f>CM16</f>
        <v/>
      </c>
      <c r="CP16" s="10" t="n">
        <v>46059</v>
      </c>
      <c r="CQ16" s="10">
        <f>IF(CO16="",WORKDAY(CN16,CQ15),WORKDAY(CO16,CQ15))</f>
        <v/>
      </c>
      <c r="CR16" s="56">
        <f>CP16</f>
        <v/>
      </c>
      <c r="CS16" s="77" t="inlineStr">
        <is>
          <t>Execution schedule has been re-baselined w/ FAIR PO Ack ACD. Validate your durations before publishing</t>
        </is>
      </c>
      <c r="CT16" s="10" t="n">
        <v>46227</v>
      </c>
      <c r="CU16" s="10">
        <f>IF(CR16="",WORKDAY(CQ16,CU15),WORKDAY(CR16,CU15))</f>
        <v/>
      </c>
      <c r="CV16" s="56">
        <f>CT16</f>
        <v/>
      </c>
      <c r="CW16" s="10" t="n">
        <v>46042</v>
      </c>
      <c r="CX16" s="10">
        <f>IF(BB16="",WORKDAY(BA16,CX15),WORKDAY(BB16,CX15))</f>
        <v/>
      </c>
      <c r="CY16" s="56">
        <f>CW16</f>
        <v/>
      </c>
      <c r="CZ16" s="10" t="n">
        <v>46042</v>
      </c>
      <c r="DA16" s="10">
        <f>IF(CY16="",WORKDAY(CX16,DA15),WORKDAY(CY16,DA15))</f>
        <v/>
      </c>
      <c r="DB16" s="56">
        <f>CZ16</f>
        <v/>
      </c>
      <c r="DC16" s="45" t="n"/>
      <c r="DD16" s="45" t="n"/>
      <c r="DE16" s="45" t="n"/>
      <c r="DF16" s="10" t="n">
        <v>46255</v>
      </c>
      <c r="DG16" s="10">
        <f>IF($CV16="",IF($CU16&gt;$DA16,WORKDAY($CU16,DG15),WORKDAY($DA16,DG15)),IF($CV16&gt;$DB16,WORKDAY($CV16,DG15),WORKDAY($DB16,DG15)))</f>
        <v/>
      </c>
      <c r="DH16" s="56" t="n"/>
      <c r="DI16" s="46" t="n"/>
      <c r="DJ16" s="10" t="n">
        <v>46283</v>
      </c>
      <c r="DK16" s="10">
        <f>IF(DH16="",WORKDAY(DG16,DK15*$DI15),WORKDAY(DH16,DK15*$DI15))</f>
        <v/>
      </c>
      <c r="DL16" s="56" t="n"/>
      <c r="DM16" s="46" t="n"/>
      <c r="DN16" s="46" t="n"/>
      <c r="DO16" s="46" t="n"/>
      <c r="DP16" s="46" t="n"/>
      <c r="DQ16" s="46" t="n"/>
      <c r="DR16" s="46" t="n"/>
      <c r="DS16" s="46" t="n"/>
      <c r="DT16" s="46" t="n"/>
      <c r="DU16" s="46" t="n"/>
      <c r="DV16" s="46" t="n"/>
      <c r="DW16" s="46" t="n"/>
      <c r="DX16" s="46" t="n"/>
      <c r="DY16" s="46" t="n"/>
      <c r="DZ16" s="46" t="n"/>
      <c r="EA16" s="46" t="n"/>
      <c r="EB16" s="46" t="n"/>
      <c r="EC16" s="46" t="n"/>
      <c r="ED16" s="46" t="n"/>
      <c r="EE16" s="10" t="n">
        <v>46283</v>
      </c>
      <c r="EF16" s="10">
        <f>IF(DL16="",WORKDAY(DK16,EF15),WORKDAY(DL16,EF15))</f>
        <v/>
      </c>
      <c r="EG16" s="56" t="n"/>
      <c r="EH16" s="10" t="n">
        <v>46084</v>
      </c>
      <c r="EI16" s="10">
        <f>IF(BH16="",WORKDAY(BG16,EI15),WORKDAY(BH16,EI15))</f>
        <v/>
      </c>
      <c r="EJ16" s="56" t="n"/>
      <c r="EK16" s="27" t="n"/>
      <c r="EL16" s="27" t="n"/>
      <c r="EM16" s="27" t="n"/>
      <c r="EN16" s="27" t="n"/>
      <c r="EO16" s="28" t="n"/>
      <c r="EP16" s="28" t="n"/>
      <c r="EQ16" s="28" t="n"/>
      <c r="ER16" s="28" t="n"/>
      <c r="ES16" s="28" t="n"/>
      <c r="ET16" s="28" t="n"/>
      <c r="EU16" s="28" t="n"/>
      <c r="EV16" s="28" t="n"/>
      <c r="EW16" s="28" t="n"/>
      <c r="EX16" s="28" t="n"/>
      <c r="EY16" s="28" t="n"/>
      <c r="EZ16" s="10" t="n">
        <v>46290</v>
      </c>
      <c r="FA16" s="10">
        <f>IF(EG16="",WORKDAY(EF16,FA15),WORKDAY(EG16,FA15))</f>
        <v/>
      </c>
      <c r="FB16" s="56" t="n"/>
      <c r="FC16" s="28" t="n"/>
      <c r="FD16" s="28" t="n"/>
      <c r="FE16" s="28" t="n"/>
      <c r="FF16" s="28" t="n"/>
      <c r="FG16" s="28" t="n"/>
      <c r="FH16" s="28" t="n"/>
      <c r="FI16" s="10" t="n">
        <v>46311</v>
      </c>
      <c r="FJ16" s="10">
        <f>IF(FB16="",WORKDAY(FA16,FJ15),WORKDAY(FB16,FJ15))</f>
        <v/>
      </c>
      <c r="FK16" s="56" t="n"/>
      <c r="FL16" s="10" t="n">
        <v>46311</v>
      </c>
      <c r="FM16" s="10">
        <f>IF(FK16="",WORKDAY(FJ16,FM15),WORKDAY(FK16,FM15))</f>
        <v/>
      </c>
      <c r="FN16" s="56" t="n"/>
      <c r="FO16" s="10" t="n">
        <v>46367</v>
      </c>
      <c r="FP16" s="10">
        <f>WORKDAY(FM16,FP15)</f>
        <v/>
      </c>
      <c r="FQ16" s="10" t="n"/>
      <c r="FR16" s="77">
        <f>IF(NETWORKDAYS(FJ16,FO16)&gt;=30,"On-Track",IF(AND(NETWORKDAYS(FJ16,FO16)&lt;30,FJ16&lt;=FO16),"At Risk","Missed TCD"))</f>
        <v/>
      </c>
      <c r="FS16" s="110" t="inlineStr">
        <is>
          <t>Execution Baseline Locked</t>
        </is>
      </c>
      <c r="FT16" s="57">
        <f>NETWORKDAYS(CP16,FI16)</f>
        <v/>
      </c>
      <c r="FU16" s="57">
        <f>NETWORKDAYS(CQ16,FJ16)</f>
        <v/>
      </c>
      <c r="FV16" s="57">
        <f>IF(BH16="",NETWORKDAYS(BG16,FJ16),IF(FK16="",NETWORKDAYS(BH16,FJ16),NETWORKDAYS(BH16,FK16)))</f>
        <v/>
      </c>
      <c r="FW16" s="58" t="inlineStr">
        <is>
          <t>Execution Only</t>
        </is>
      </c>
    </row>
    <row r="17" outlineLevel="1">
      <c r="A17" s="23" t="n"/>
      <c r="B17" s="23" t="n">
        <v>107138</v>
      </c>
      <c r="C17" s="24" t="inlineStr">
        <is>
          <t>019-07094-0000</t>
        </is>
      </c>
      <c r="D17" s="95" t="n"/>
      <c r="E17" s="24" t="n"/>
      <c r="F17" s="25" t="inlineStr">
        <is>
          <t>Durations in WD</t>
        </is>
      </c>
      <c r="G17" s="26" t="n"/>
      <c r="H17" s="26" t="n"/>
      <c r="I17" s="27" t="n"/>
      <c r="J17" s="27" t="n"/>
      <c r="K17" s="27" t="n"/>
      <c r="L17" s="27" t="n"/>
      <c r="M17" s="4" t="n">
        <v>27</v>
      </c>
      <c r="N17" s="4" t="n">
        <v>27</v>
      </c>
      <c r="O17" s="27" t="n"/>
      <c r="P17" s="4" t="n">
        <v>0</v>
      </c>
      <c r="Q17" s="4" t="n">
        <v>0</v>
      </c>
      <c r="R17" s="27" t="n"/>
      <c r="S17" s="27" t="n"/>
      <c r="T17" s="27" t="n"/>
      <c r="U17" s="27" t="n"/>
      <c r="V17" s="4" t="n">
        <v>30</v>
      </c>
      <c r="W17" s="4" t="n">
        <v>30</v>
      </c>
      <c r="X17" s="27" t="n"/>
      <c r="Y17" s="4" t="n">
        <v>70</v>
      </c>
      <c r="Z17" s="4" t="n">
        <v>70</v>
      </c>
      <c r="AA17" s="27" t="n"/>
      <c r="AB17" s="4" t="n">
        <v>0</v>
      </c>
      <c r="AC17" s="4" t="n">
        <v>0</v>
      </c>
      <c r="AD17" s="27" t="n"/>
      <c r="AE17" s="4" t="n">
        <v>75</v>
      </c>
      <c r="AF17" s="4" t="n">
        <v>75</v>
      </c>
      <c r="AG17" s="27" t="n"/>
      <c r="AH17" s="4" t="n">
        <v>5</v>
      </c>
      <c r="AI17" s="4" t="n">
        <v>5</v>
      </c>
      <c r="AJ17" s="27" t="n"/>
      <c r="AK17" s="4" t="n">
        <v>20</v>
      </c>
      <c r="AL17" s="4" t="n">
        <v>20</v>
      </c>
      <c r="AM17" s="27" t="n"/>
      <c r="AN17" s="4" t="n">
        <v>0</v>
      </c>
      <c r="AO17" s="4" t="n">
        <v>0</v>
      </c>
      <c r="AP17" s="27" t="n"/>
      <c r="AQ17" s="4" t="n">
        <v>20</v>
      </c>
      <c r="AR17" s="4" t="n">
        <v>20</v>
      </c>
      <c r="AS17" s="27" t="n"/>
      <c r="AT17" s="4" t="n">
        <v>5</v>
      </c>
      <c r="AU17" s="4" t="n">
        <v>5</v>
      </c>
      <c r="AV17" s="27" t="n"/>
      <c r="AW17" s="4" t="n">
        <v>10</v>
      </c>
      <c r="AX17" s="4" t="n">
        <v>10</v>
      </c>
      <c r="AY17" s="27" t="n"/>
      <c r="AZ17" s="4" t="n">
        <v>30</v>
      </c>
      <c r="BA17" s="4" t="n">
        <v>30</v>
      </c>
      <c r="BB17" s="27" t="n"/>
      <c r="BC17" s="4" t="n">
        <v>5</v>
      </c>
      <c r="BD17" s="4" t="n">
        <v>5</v>
      </c>
      <c r="BE17" s="27" t="n"/>
      <c r="BF17" s="4" t="n">
        <v>5</v>
      </c>
      <c r="BG17" s="4" t="n">
        <v>5</v>
      </c>
      <c r="BH17" s="27" t="n"/>
      <c r="BI17" s="4" t="n">
        <v>5</v>
      </c>
      <c r="BJ17" s="4" t="n">
        <v>5</v>
      </c>
      <c r="BK17" s="27" t="n"/>
      <c r="BL17" s="27" t="n"/>
      <c r="BM17" s="27" t="n"/>
      <c r="BN17" s="27" t="n"/>
      <c r="BO17" s="27" t="n"/>
      <c r="BP17" s="27" t="n"/>
      <c r="BQ17" s="27" t="n"/>
      <c r="BR17" s="27" t="n"/>
      <c r="BS17" s="27" t="n"/>
      <c r="BT17" s="27" t="n"/>
      <c r="BU17" s="27" t="n"/>
      <c r="BV17" s="27" t="n"/>
      <c r="BW17" s="27" t="n"/>
      <c r="BX17" s="27" t="n"/>
      <c r="BY17" s="27" t="n"/>
      <c r="BZ17" s="27" t="n"/>
      <c r="CA17" s="27" t="n"/>
      <c r="CB17" s="27" t="n"/>
      <c r="CC17" s="27" t="n"/>
      <c r="CD17" s="27" t="n"/>
      <c r="CE17" s="27" t="n"/>
      <c r="CF17" s="27" t="n"/>
      <c r="CG17" s="27" t="n"/>
      <c r="CH17" s="27" t="n"/>
      <c r="CI17" s="27" t="n"/>
      <c r="CJ17" s="27" t="n"/>
      <c r="CK17" s="27" t="n"/>
      <c r="CL17" s="27" t="n"/>
      <c r="CM17" s="4" t="n">
        <v>3</v>
      </c>
      <c r="CN17" s="4" t="n">
        <v>3</v>
      </c>
      <c r="CO17" s="27" t="n"/>
      <c r="CP17" s="4" t="n">
        <v>5</v>
      </c>
      <c r="CQ17" s="4" t="n">
        <v>5</v>
      </c>
      <c r="CR17" s="27" t="n"/>
      <c r="CS17" s="27" t="n"/>
      <c r="CT17" s="5" t="n">
        <v>120</v>
      </c>
      <c r="CU17" s="5" t="n">
        <v>120</v>
      </c>
      <c r="CV17" s="27" t="n"/>
      <c r="CW17" s="5" t="n">
        <v>10</v>
      </c>
      <c r="CX17" s="5" t="n">
        <v>10</v>
      </c>
      <c r="CY17" s="27" t="n"/>
      <c r="CZ17" s="5" t="n">
        <v>0</v>
      </c>
      <c r="DA17" s="5" t="n">
        <v>0</v>
      </c>
      <c r="DB17" s="27" t="n"/>
      <c r="DC17" s="31" t="n"/>
      <c r="DD17" s="31" t="n"/>
      <c r="DE17" s="31" t="n"/>
      <c r="DF17" s="4" t="n">
        <v>20</v>
      </c>
      <c r="DG17" s="4" t="n">
        <v>20</v>
      </c>
      <c r="DH17" s="27" t="n"/>
      <c r="DI17" s="89" t="n">
        <v>1</v>
      </c>
      <c r="DJ17" s="4" t="n">
        <v>20</v>
      </c>
      <c r="DK17" s="4" t="n">
        <v>20</v>
      </c>
      <c r="DL17" s="27" t="n"/>
      <c r="DM17" s="27" t="n"/>
      <c r="DN17" s="27" t="n"/>
      <c r="DO17" s="27" t="n"/>
      <c r="DP17" s="27" t="n"/>
      <c r="DQ17" s="27" t="n"/>
      <c r="DR17" s="27" t="n"/>
      <c r="DS17" s="27" t="n"/>
      <c r="DT17" s="27" t="n"/>
      <c r="DU17" s="27" t="n"/>
      <c r="DV17" s="27" t="n"/>
      <c r="DW17" s="27" t="n"/>
      <c r="DX17" s="27" t="n"/>
      <c r="DY17" s="27" t="n"/>
      <c r="DZ17" s="27" t="n"/>
      <c r="EA17" s="27" t="n"/>
      <c r="EB17" s="27" t="n"/>
      <c r="EC17" s="27" t="n"/>
      <c r="ED17" s="27" t="n"/>
      <c r="EE17" s="4" t="n">
        <v>0</v>
      </c>
      <c r="EF17" s="4" t="n">
        <v>0</v>
      </c>
      <c r="EG17" s="27" t="n"/>
      <c r="EH17" s="4" t="n">
        <v>30</v>
      </c>
      <c r="EI17" s="4" t="n">
        <v>30</v>
      </c>
      <c r="EJ17" s="27" t="n"/>
      <c r="EK17" s="27" t="n"/>
      <c r="EL17" s="27" t="n"/>
      <c r="EM17" s="27" t="n"/>
      <c r="EN17" s="27" t="n"/>
      <c r="EO17" s="27" t="n"/>
      <c r="EP17" s="27" t="n"/>
      <c r="EQ17" s="27" t="n"/>
      <c r="ER17" s="27" t="n"/>
      <c r="ES17" s="27" t="n"/>
      <c r="ET17" s="27" t="n"/>
      <c r="EU17" s="27" t="n"/>
      <c r="EV17" s="27" t="n"/>
      <c r="EW17" s="27" t="n"/>
      <c r="EX17" s="27" t="n"/>
      <c r="EY17" s="27" t="n"/>
      <c r="EZ17" s="4" t="n">
        <v>5</v>
      </c>
      <c r="FA17" s="4" t="n">
        <v>5</v>
      </c>
      <c r="FB17" s="27" t="n"/>
      <c r="FC17" s="27" t="n"/>
      <c r="FD17" s="27" t="n"/>
      <c r="FE17" s="27" t="n"/>
      <c r="FF17" s="27" t="n"/>
      <c r="FG17" s="27" t="n"/>
      <c r="FH17" s="27" t="n"/>
      <c r="FI17" s="4" t="n">
        <v>15</v>
      </c>
      <c r="FJ17" s="4" t="n">
        <v>15</v>
      </c>
      <c r="FK17" s="27" t="n"/>
      <c r="FL17" s="4" t="n">
        <v>0</v>
      </c>
      <c r="FM17" s="4" t="n">
        <v>0</v>
      </c>
      <c r="FN17" s="27" t="n"/>
      <c r="FO17" s="4" t="n">
        <v>40</v>
      </c>
      <c r="FP17" s="4" t="n">
        <v>40</v>
      </c>
      <c r="FQ17" s="27" t="n"/>
      <c r="FR17" s="27" t="n"/>
      <c r="FS17" s="109" t="n"/>
      <c r="FT17" s="54">
        <f>NETWORKDAYS($I18,FO18)</f>
        <v/>
      </c>
      <c r="FU17" s="54">
        <f>NETWORKDAYS($I18,FP18)</f>
        <v/>
      </c>
      <c r="FV17" s="54">
        <f>IF(FQ18="",NETWORKDAYS($I18,FP18),NETWORKDAYS($I18,FQ18))</f>
        <v/>
      </c>
      <c r="FW17" s="55" t="inlineStr">
        <is>
          <t>Total Project</t>
        </is>
      </c>
    </row>
    <row r="18">
      <c r="A18" s="23" t="inlineStr">
        <is>
          <t>Advanced Manufacturing</t>
        </is>
      </c>
      <c r="B18" s="23" t="n">
        <v>107138</v>
      </c>
      <c r="C18" s="24" t="inlineStr">
        <is>
          <t>019-07094-0000</t>
        </is>
      </c>
      <c r="D18" s="65" t="n"/>
      <c r="E18" s="23">
        <f>IF(D18="","Unknown",IF(D18&lt;=FM18+90,"Red",IF(AND(D18&gt;FM18+90,D18&lt;=FM18+180),"Yellow",IF(AND(D18&gt;FM18+180,D18&lt;=FM18+690),"Green","Covered"))))</f>
        <v/>
      </c>
      <c r="F18" s="25" t="inlineStr">
        <is>
          <t>BTP FAIR Only Part Number</t>
        </is>
      </c>
      <c r="G18" s="26" t="n"/>
      <c r="H18" s="26">
        <f>IF(CR18="","Pre-Execution","Execution")</f>
        <v/>
      </c>
      <c r="I18" s="13" t="n">
        <v>45814</v>
      </c>
      <c r="J18" s="28" t="n"/>
      <c r="K18" s="28" t="n"/>
      <c r="L18" s="28" t="n"/>
      <c r="M18" s="10" t="n">
        <v>45853</v>
      </c>
      <c r="N18" s="10">
        <f>WORKDAY(I18,N17)</f>
        <v/>
      </c>
      <c r="O18" s="56">
        <f>M18</f>
        <v/>
      </c>
      <c r="P18" s="10" t="n">
        <v>45853</v>
      </c>
      <c r="Q18" s="10">
        <f>IF(O18="",WORKDAY(N18,Q17),WORKDAY(O18,Q17))</f>
        <v/>
      </c>
      <c r="R18" s="56">
        <f>P18</f>
        <v/>
      </c>
      <c r="S18" s="28" t="n"/>
      <c r="T18" s="28" t="n"/>
      <c r="U18" s="28" t="n"/>
      <c r="V18" s="10" t="n">
        <v>45895</v>
      </c>
      <c r="W18" s="10">
        <f>IF(R18="",WORKDAY(Q18,W17),WORKDAY(R18,W17))</f>
        <v/>
      </c>
      <c r="X18" s="56" t="n"/>
      <c r="Y18" s="10" t="n">
        <v>45951</v>
      </c>
      <c r="Z18" s="10">
        <f>IF(R18="",WORKDAY(Q18,Z17),WORKDAY(R18,Z17))</f>
        <v/>
      </c>
      <c r="AA18" s="56" t="n"/>
      <c r="AB18" s="10" t="n">
        <v>45814</v>
      </c>
      <c r="AC18" s="10">
        <f>WORKDAY(I18,AC17)</f>
        <v/>
      </c>
      <c r="AD18" s="56" t="n"/>
      <c r="AE18" s="10" t="n">
        <v>45919</v>
      </c>
      <c r="AF18" s="10">
        <f>IF(AD18="",WORKDAY(AC18,AF17),WORKDAY(AD18,AF17))</f>
        <v/>
      </c>
      <c r="AG18" s="56" t="n"/>
      <c r="AH18" s="10" t="n">
        <v>45958</v>
      </c>
      <c r="AI18" s="10">
        <f>WORKDAY(IF(AA18="",IF(Z18&gt;AF18,Z18,AF18),IF(AA18&gt;AG18,AA18,AG18)),AI17)</f>
        <v/>
      </c>
      <c r="AJ18" s="56">
        <f>AH18</f>
        <v/>
      </c>
      <c r="AK18" s="10" t="n">
        <v>45986</v>
      </c>
      <c r="AL18" s="10">
        <f>IF(AJ18="",WORKDAY(AI18,AL17),WORKDAY(AJ18,AL17))</f>
        <v/>
      </c>
      <c r="AM18" s="56" t="n"/>
      <c r="AN18" s="10" t="n">
        <v>45986</v>
      </c>
      <c r="AO18" s="10">
        <f>IF(AM18="",WORKDAY(AL18,AO17),WORKDAY(AM18,AO17))</f>
        <v/>
      </c>
      <c r="AP18" s="56" t="n"/>
      <c r="AQ18" s="10" t="n">
        <v>46014</v>
      </c>
      <c r="AR18" s="10">
        <f>IF(AP18="",WORKDAY(AO18,AR17),WORKDAY(AP18,AR17))</f>
        <v/>
      </c>
      <c r="AS18" s="10">
        <f>AQ18</f>
        <v/>
      </c>
      <c r="AT18" s="10" t="n">
        <v>45993</v>
      </c>
      <c r="AU18" s="10" t="n">
        <v>45993</v>
      </c>
      <c r="AV18" s="10" t="n">
        <v>45993</v>
      </c>
      <c r="AW18" s="10" t="n">
        <v>46028</v>
      </c>
      <c r="AX18" s="10">
        <f>IF(AS18="",IF(AR18&gt;AU18,WORKDAY(AR18,AX17),WORKDAY(AU18,AX17)),IF(AS18&gt;AV18,WORKDAY(AS18,AX17),WORKDAY(AV18,AX17)))</f>
        <v/>
      </c>
      <c r="AY18" s="10" t="n">
        <v>46028</v>
      </c>
      <c r="AZ18" s="10" t="n">
        <v>46028</v>
      </c>
      <c r="BA18" s="10">
        <f>IF(AP18="",WORKDAY(AO18,BA17),WORKDAY(AP18,BA17))</f>
        <v/>
      </c>
      <c r="BB18" s="10" t="n">
        <v>46028</v>
      </c>
      <c r="BC18" s="10" t="n">
        <v>46035</v>
      </c>
      <c r="BD18" s="10">
        <f>IF(AY18="",IF(AX18&gt;BA18,WORKDAY(AX18,BD17),WORKDAY(BA18,BD17)),IF(AY18&gt;BB18,WORKDAY(AY18,BD17),WORKDAY(BB18,BD17)))</f>
        <v/>
      </c>
      <c r="BE18" s="10">
        <f>IF(AZ18="",IF(AY18&gt;BB18,WORKDAY(AY18,BE17),WORKDAY(BB18,BE17)),IF(AZ18&gt;BC18,WORKDAY(AZ18,BE17),WORKDAY(BC18,BE17)))</f>
        <v/>
      </c>
      <c r="BF18" s="10" t="n">
        <v>46042</v>
      </c>
      <c r="BG18" s="10">
        <f>IF(BE18="",WORKDAY(BD18,BG17),WORKDAY(BE18,BG17))</f>
        <v/>
      </c>
      <c r="BH18" s="56">
        <f>BF18</f>
        <v/>
      </c>
      <c r="BI18" s="10" t="n">
        <v>46049</v>
      </c>
      <c r="BJ18" s="10">
        <f>IF(BH18="",WORKDAY(BG18,BJ17),WORKDAY(BH18,BJ17))</f>
        <v/>
      </c>
      <c r="BK18" s="56">
        <f>BI18</f>
        <v/>
      </c>
      <c r="BL18" s="28" t="n"/>
      <c r="BM18" s="28" t="n"/>
      <c r="BN18" s="28" t="n"/>
      <c r="BO18" s="28" t="n"/>
      <c r="BP18" s="28" t="n"/>
      <c r="BQ18" s="28" t="n"/>
      <c r="BR18" s="28" t="n"/>
      <c r="BS18" s="28" t="n"/>
      <c r="BT18" s="28" t="n"/>
      <c r="BU18" s="28" t="n"/>
      <c r="BV18" s="28" t="n"/>
      <c r="BW18" s="28" t="n"/>
      <c r="BX18" s="46" t="n"/>
      <c r="BY18" s="28" t="n"/>
      <c r="BZ18" s="28" t="n"/>
      <c r="CA18" s="28" t="n"/>
      <c r="CB18" s="28" t="n"/>
      <c r="CC18" s="28" t="n"/>
      <c r="CD18" s="28" t="n"/>
      <c r="CE18" s="28" t="n"/>
      <c r="CF18" s="28" t="n"/>
      <c r="CG18" s="28" t="n"/>
      <c r="CH18" s="28" t="n"/>
      <c r="CI18" s="28" t="n"/>
      <c r="CJ18" s="28" t="n"/>
      <c r="CK18" s="28" t="n"/>
      <c r="CL18" s="28" t="n"/>
      <c r="CM18" s="10" t="n">
        <v>46052</v>
      </c>
      <c r="CN18" s="10">
        <f>IF(BK18="",WORKDAY(BJ18,CN17),WORKDAY(BK18,CN17))</f>
        <v/>
      </c>
      <c r="CO18" s="56">
        <f>CM18</f>
        <v/>
      </c>
      <c r="CP18" s="10" t="n">
        <v>46059</v>
      </c>
      <c r="CQ18" s="10">
        <f>IF(CO18="",WORKDAY(CN18,CQ17),WORKDAY(CO18,CQ17))</f>
        <v/>
      </c>
      <c r="CR18" s="56">
        <f>CP18</f>
        <v/>
      </c>
      <c r="CS18" s="77" t="inlineStr">
        <is>
          <t>Execution schedule has been re-baselined w/ FAIR PO Ack ACD. Validate your durations before publishing</t>
        </is>
      </c>
      <c r="CT18" s="10" t="n">
        <v>46227</v>
      </c>
      <c r="CU18" s="10">
        <f>IF(CR18="",WORKDAY(CQ18,CU17),WORKDAY(CR18,CU17))</f>
        <v/>
      </c>
      <c r="CV18" s="56">
        <f>CT18</f>
        <v/>
      </c>
      <c r="CW18" s="10" t="n">
        <v>46042</v>
      </c>
      <c r="CX18" s="10">
        <f>IF(BB18="",WORKDAY(BA18,CX17),WORKDAY(BB18,CX17))</f>
        <v/>
      </c>
      <c r="CY18" s="56">
        <f>CW18</f>
        <v/>
      </c>
      <c r="CZ18" s="10" t="n">
        <v>46042</v>
      </c>
      <c r="DA18" s="10">
        <f>IF(CY18="",WORKDAY(CX18,DA17),WORKDAY(CY18,DA17))</f>
        <v/>
      </c>
      <c r="DB18" s="56">
        <f>CZ18</f>
        <v/>
      </c>
      <c r="DC18" s="45" t="n"/>
      <c r="DD18" s="45" t="n"/>
      <c r="DE18" s="45" t="n"/>
      <c r="DF18" s="10" t="n">
        <v>46255</v>
      </c>
      <c r="DG18" s="10">
        <f>IF($CV18="",IF($CU18&gt;$DA18,WORKDAY($CU18,DG17),WORKDAY($DA18,DG17)),IF($CV18&gt;$DB18,WORKDAY($CV18,DG17),WORKDAY($DB18,DG17)))</f>
        <v/>
      </c>
      <c r="DH18" s="56" t="n"/>
      <c r="DI18" s="46" t="n"/>
      <c r="DJ18" s="10" t="n">
        <v>46283</v>
      </c>
      <c r="DK18" s="10">
        <f>IF(DH18="",WORKDAY(DG18,DK17*$DI17),WORKDAY(DH18,DK17*$DI17))</f>
        <v/>
      </c>
      <c r="DL18" s="56" t="n"/>
      <c r="DM18" s="46" t="n"/>
      <c r="DN18" s="46" t="n"/>
      <c r="DO18" s="46" t="n"/>
      <c r="DP18" s="46" t="n"/>
      <c r="DQ18" s="46" t="n"/>
      <c r="DR18" s="46" t="n"/>
      <c r="DS18" s="46" t="n"/>
      <c r="DT18" s="46" t="n"/>
      <c r="DU18" s="46" t="n"/>
      <c r="DV18" s="46" t="n"/>
      <c r="DW18" s="46" t="n"/>
      <c r="DX18" s="46" t="n"/>
      <c r="DY18" s="46" t="n"/>
      <c r="DZ18" s="46" t="n"/>
      <c r="EA18" s="46" t="n"/>
      <c r="EB18" s="46" t="n"/>
      <c r="EC18" s="46" t="n"/>
      <c r="ED18" s="46" t="n"/>
      <c r="EE18" s="10" t="n">
        <v>46283</v>
      </c>
      <c r="EF18" s="10">
        <f>IF(DL18="",WORKDAY(DK18,EF17),WORKDAY(DL18,EF17))</f>
        <v/>
      </c>
      <c r="EG18" s="56" t="n"/>
      <c r="EH18" s="10" t="n">
        <v>46084</v>
      </c>
      <c r="EI18" s="10">
        <f>IF(BH18="",WORKDAY(BG18,EI17),WORKDAY(BH18,EI17))</f>
        <v/>
      </c>
      <c r="EJ18" s="56" t="n"/>
      <c r="EK18" s="27" t="n"/>
      <c r="EL18" s="27" t="n"/>
      <c r="EM18" s="27" t="n"/>
      <c r="EN18" s="27" t="n"/>
      <c r="EO18" s="28" t="n"/>
      <c r="EP18" s="28" t="n"/>
      <c r="EQ18" s="28" t="n"/>
      <c r="ER18" s="28" t="n"/>
      <c r="ES18" s="28" t="n"/>
      <c r="ET18" s="28" t="n"/>
      <c r="EU18" s="28" t="n"/>
      <c r="EV18" s="28" t="n"/>
      <c r="EW18" s="28" t="n"/>
      <c r="EX18" s="28" t="n"/>
      <c r="EY18" s="28" t="n"/>
      <c r="EZ18" s="10" t="n">
        <v>46290</v>
      </c>
      <c r="FA18" s="10">
        <f>IF(EG18="",WORKDAY(EF18,FA17),WORKDAY(EG18,FA17))</f>
        <v/>
      </c>
      <c r="FB18" s="56" t="n"/>
      <c r="FC18" s="28" t="n"/>
      <c r="FD18" s="28" t="n"/>
      <c r="FE18" s="28" t="n"/>
      <c r="FF18" s="28" t="n"/>
      <c r="FG18" s="28" t="n"/>
      <c r="FH18" s="28" t="n"/>
      <c r="FI18" s="10" t="n">
        <v>46311</v>
      </c>
      <c r="FJ18" s="10">
        <f>IF(FB18="",WORKDAY(FA18,FJ17),WORKDAY(FB18,FJ17))</f>
        <v/>
      </c>
      <c r="FK18" s="56" t="n"/>
      <c r="FL18" s="10" t="n">
        <v>46311</v>
      </c>
      <c r="FM18" s="10">
        <f>IF(FK18="",WORKDAY(FJ18,FM17),WORKDAY(FK18,FM17))</f>
        <v/>
      </c>
      <c r="FN18" s="56" t="n"/>
      <c r="FO18" s="10" t="n">
        <v>46367</v>
      </c>
      <c r="FP18" s="10">
        <f>WORKDAY(FM18,FP17)</f>
        <v/>
      </c>
      <c r="FQ18" s="10" t="n"/>
      <c r="FR18" s="77">
        <f>IF(NETWORKDAYS(FJ18,FO18)&gt;=30,"On-Track",IF(AND(NETWORKDAYS(FJ18,FO18)&lt;30,FJ18&lt;=FO18),"At Risk","Missed TCD"))</f>
        <v/>
      </c>
      <c r="FS18" s="110" t="inlineStr">
        <is>
          <t>Execution Baseline Locked</t>
        </is>
      </c>
      <c r="FT18" s="57">
        <f>NETWORKDAYS(CP18,FI18)</f>
        <v/>
      </c>
      <c r="FU18" s="57">
        <f>NETWORKDAYS(CQ18,FJ18)</f>
        <v/>
      </c>
      <c r="FV18" s="57">
        <f>IF(BH18="",NETWORKDAYS(BG18,FJ18),IF(FK18="",NETWORKDAYS(BH18,FJ18),NETWORKDAYS(BH18,FK18)))</f>
        <v/>
      </c>
      <c r="FW18" s="58" t="inlineStr">
        <is>
          <t>Execution Only</t>
        </is>
      </c>
    </row>
    <row r="19" outlineLevel="1">
      <c r="A19" s="23" t="n"/>
      <c r="B19" s="23" t="n">
        <v>107139</v>
      </c>
      <c r="C19" s="24" t="inlineStr">
        <is>
          <t>019-07104-0000</t>
        </is>
      </c>
      <c r="D19" s="95" t="n"/>
      <c r="E19" s="24" t="n"/>
      <c r="F19" s="25" t="inlineStr">
        <is>
          <t>Durations in WD</t>
        </is>
      </c>
      <c r="G19" s="26" t="n"/>
      <c r="H19" s="26" t="n"/>
      <c r="I19" s="27" t="n"/>
      <c r="J19" s="27" t="n"/>
      <c r="K19" s="27" t="n"/>
      <c r="L19" s="27" t="n"/>
      <c r="M19" s="4" t="n">
        <v>27</v>
      </c>
      <c r="N19" s="4" t="n">
        <v>27</v>
      </c>
      <c r="O19" s="27" t="n"/>
      <c r="P19" s="4" t="n">
        <v>0</v>
      </c>
      <c r="Q19" s="4" t="n">
        <v>0</v>
      </c>
      <c r="R19" s="27" t="n"/>
      <c r="S19" s="27" t="n"/>
      <c r="T19" s="27" t="n"/>
      <c r="U19" s="27" t="n"/>
      <c r="V19" s="4" t="n">
        <v>30</v>
      </c>
      <c r="W19" s="4" t="n">
        <v>30</v>
      </c>
      <c r="X19" s="27" t="n"/>
      <c r="Y19" s="4" t="n">
        <v>70</v>
      </c>
      <c r="Z19" s="4" t="n">
        <v>70</v>
      </c>
      <c r="AA19" s="27" t="n"/>
      <c r="AB19" s="4" t="n">
        <v>0</v>
      </c>
      <c r="AC19" s="4" t="n">
        <v>0</v>
      </c>
      <c r="AD19" s="27" t="n"/>
      <c r="AE19" s="4" t="n">
        <v>75</v>
      </c>
      <c r="AF19" s="4" t="n">
        <v>75</v>
      </c>
      <c r="AG19" s="27" t="n"/>
      <c r="AH19" s="4" t="n">
        <v>5</v>
      </c>
      <c r="AI19" s="4" t="n">
        <v>5</v>
      </c>
      <c r="AJ19" s="27" t="n"/>
      <c r="AK19" s="4" t="n">
        <v>20</v>
      </c>
      <c r="AL19" s="4" t="n">
        <v>20</v>
      </c>
      <c r="AM19" s="27" t="n"/>
      <c r="AN19" s="4" t="n">
        <v>0</v>
      </c>
      <c r="AO19" s="4" t="n">
        <v>0</v>
      </c>
      <c r="AP19" s="27" t="n"/>
      <c r="AQ19" s="4" t="n">
        <v>20</v>
      </c>
      <c r="AR19" s="4" t="n">
        <v>20</v>
      </c>
      <c r="AS19" s="27" t="n"/>
      <c r="AT19" s="4" t="n">
        <v>5</v>
      </c>
      <c r="AU19" s="4" t="n">
        <v>5</v>
      </c>
      <c r="AV19" s="27" t="n"/>
      <c r="AW19" s="4" t="n">
        <v>10</v>
      </c>
      <c r="AX19" s="4" t="n">
        <v>10</v>
      </c>
      <c r="AY19" s="27" t="n"/>
      <c r="AZ19" s="4" t="n">
        <v>30</v>
      </c>
      <c r="BA19" s="4" t="n">
        <v>30</v>
      </c>
      <c r="BB19" s="27" t="n"/>
      <c r="BC19" s="4" t="n">
        <v>5</v>
      </c>
      <c r="BD19" s="4" t="n">
        <v>5</v>
      </c>
      <c r="BE19" s="27" t="n"/>
      <c r="BF19" s="4" t="n">
        <v>5</v>
      </c>
      <c r="BG19" s="4" t="n">
        <v>5</v>
      </c>
      <c r="BH19" s="27" t="n"/>
      <c r="BI19" s="4" t="n">
        <v>5</v>
      </c>
      <c r="BJ19" s="4" t="n">
        <v>5</v>
      </c>
      <c r="BK19" s="27" t="n"/>
      <c r="BL19" s="27" t="n"/>
      <c r="BM19" s="27" t="n"/>
      <c r="BN19" s="27" t="n"/>
      <c r="BO19" s="27" t="n"/>
      <c r="BP19" s="27" t="n"/>
      <c r="BQ19" s="27" t="n"/>
      <c r="BR19" s="27" t="n"/>
      <c r="BS19" s="27" t="n"/>
      <c r="BT19" s="27" t="n"/>
      <c r="BU19" s="27" t="n"/>
      <c r="BV19" s="27" t="n"/>
      <c r="BW19" s="27" t="n"/>
      <c r="BX19" s="27" t="n"/>
      <c r="BY19" s="27" t="n"/>
      <c r="BZ19" s="27" t="n"/>
      <c r="CA19" s="27" t="n"/>
      <c r="CB19" s="27" t="n"/>
      <c r="CC19" s="27" t="n"/>
      <c r="CD19" s="27" t="n"/>
      <c r="CE19" s="27" t="n"/>
      <c r="CF19" s="27" t="n"/>
      <c r="CG19" s="27" t="n"/>
      <c r="CH19" s="27" t="n"/>
      <c r="CI19" s="27" t="n"/>
      <c r="CJ19" s="27" t="n"/>
      <c r="CK19" s="27" t="n"/>
      <c r="CL19" s="27" t="n"/>
      <c r="CM19" s="4" t="n">
        <v>3</v>
      </c>
      <c r="CN19" s="4" t="n">
        <v>3</v>
      </c>
      <c r="CO19" s="27" t="n"/>
      <c r="CP19" s="4" t="n">
        <v>5</v>
      </c>
      <c r="CQ19" s="4" t="n">
        <v>5</v>
      </c>
      <c r="CR19" s="27" t="n"/>
      <c r="CS19" s="27" t="n"/>
      <c r="CT19" s="5" t="n">
        <v>120</v>
      </c>
      <c r="CU19" s="5" t="n">
        <v>120</v>
      </c>
      <c r="CV19" s="27" t="n"/>
      <c r="CW19" s="5" t="n">
        <v>10</v>
      </c>
      <c r="CX19" s="5" t="n">
        <v>10</v>
      </c>
      <c r="CY19" s="27" t="n"/>
      <c r="CZ19" s="5" t="n">
        <v>0</v>
      </c>
      <c r="DA19" s="5" t="n">
        <v>0</v>
      </c>
      <c r="DB19" s="27" t="n"/>
      <c r="DC19" s="31" t="n"/>
      <c r="DD19" s="31" t="n"/>
      <c r="DE19" s="31" t="n"/>
      <c r="DF19" s="4" t="n">
        <v>20</v>
      </c>
      <c r="DG19" s="4" t="n">
        <v>20</v>
      </c>
      <c r="DH19" s="27" t="n"/>
      <c r="DI19" s="89" t="n">
        <v>1</v>
      </c>
      <c r="DJ19" s="4" t="n">
        <v>20</v>
      </c>
      <c r="DK19" s="4" t="n">
        <v>20</v>
      </c>
      <c r="DL19" s="27" t="n"/>
      <c r="DM19" s="27" t="n"/>
      <c r="DN19" s="27" t="n"/>
      <c r="DO19" s="27" t="n"/>
      <c r="DP19" s="27" t="n"/>
      <c r="DQ19" s="27" t="n"/>
      <c r="DR19" s="27" t="n"/>
      <c r="DS19" s="27" t="n"/>
      <c r="DT19" s="27" t="n"/>
      <c r="DU19" s="27" t="n"/>
      <c r="DV19" s="27" t="n"/>
      <c r="DW19" s="27" t="n"/>
      <c r="DX19" s="27" t="n"/>
      <c r="DY19" s="27" t="n"/>
      <c r="DZ19" s="27" t="n"/>
      <c r="EA19" s="27" t="n"/>
      <c r="EB19" s="27" t="n"/>
      <c r="EC19" s="27" t="n"/>
      <c r="ED19" s="27" t="n"/>
      <c r="EE19" s="4" t="n">
        <v>0</v>
      </c>
      <c r="EF19" s="4" t="n">
        <v>0</v>
      </c>
      <c r="EG19" s="27" t="n"/>
      <c r="EH19" s="4" t="n">
        <v>30</v>
      </c>
      <c r="EI19" s="4" t="n">
        <v>30</v>
      </c>
      <c r="EJ19" s="27" t="n"/>
      <c r="EK19" s="27" t="n"/>
      <c r="EL19" s="27" t="n"/>
      <c r="EM19" s="27" t="n"/>
      <c r="EN19" s="27" t="n"/>
      <c r="EO19" s="27" t="n"/>
      <c r="EP19" s="27" t="n"/>
      <c r="EQ19" s="27" t="n"/>
      <c r="ER19" s="27" t="n"/>
      <c r="ES19" s="27" t="n"/>
      <c r="ET19" s="27" t="n"/>
      <c r="EU19" s="27" t="n"/>
      <c r="EV19" s="27" t="n"/>
      <c r="EW19" s="27" t="n"/>
      <c r="EX19" s="27" t="n"/>
      <c r="EY19" s="27" t="n"/>
      <c r="EZ19" s="4" t="n">
        <v>5</v>
      </c>
      <c r="FA19" s="4" t="n">
        <v>5</v>
      </c>
      <c r="FB19" s="27" t="n"/>
      <c r="FC19" s="27" t="n"/>
      <c r="FD19" s="27" t="n"/>
      <c r="FE19" s="27" t="n"/>
      <c r="FF19" s="27" t="n"/>
      <c r="FG19" s="27" t="n"/>
      <c r="FH19" s="27" t="n"/>
      <c r="FI19" s="4" t="n">
        <v>15</v>
      </c>
      <c r="FJ19" s="4" t="n">
        <v>15</v>
      </c>
      <c r="FK19" s="27" t="n"/>
      <c r="FL19" s="4" t="n">
        <v>0</v>
      </c>
      <c r="FM19" s="4" t="n">
        <v>0</v>
      </c>
      <c r="FN19" s="27" t="n"/>
      <c r="FO19" s="4" t="n">
        <v>40</v>
      </c>
      <c r="FP19" s="4" t="n">
        <v>40</v>
      </c>
      <c r="FQ19" s="27" t="n"/>
      <c r="FR19" s="27" t="n"/>
      <c r="FS19" s="109" t="n"/>
      <c r="FT19" s="54">
        <f>NETWORKDAYS($I20,FO20)</f>
        <v/>
      </c>
      <c r="FU19" s="54">
        <f>NETWORKDAYS($I20,FP20)</f>
        <v/>
      </c>
      <c r="FV19" s="54">
        <f>IF(FQ20="",NETWORKDAYS($I20,FP20),NETWORKDAYS($I20,FQ20))</f>
        <v/>
      </c>
      <c r="FW19" s="55" t="inlineStr">
        <is>
          <t>Total Project</t>
        </is>
      </c>
    </row>
    <row r="20">
      <c r="A20" s="23" t="inlineStr">
        <is>
          <t>Advanced Manufacturing</t>
        </is>
      </c>
      <c r="B20" s="23" t="n">
        <v>107139</v>
      </c>
      <c r="C20" s="24" t="inlineStr">
        <is>
          <t>019-07104-0000</t>
        </is>
      </c>
      <c r="D20" s="65" t="n"/>
      <c r="E20" s="23">
        <f>IF(D20="","Unknown",IF(D20&lt;=FM20+90,"Red",IF(AND(D20&gt;FM20+90,D20&lt;=FM20+180),"Yellow",IF(AND(D20&gt;FM20+180,D20&lt;=FM20+690),"Green","Covered"))))</f>
        <v/>
      </c>
      <c r="F20" s="25" t="inlineStr">
        <is>
          <t>BTP FAIR Only Part Number</t>
        </is>
      </c>
      <c r="G20" s="26" t="n"/>
      <c r="H20" s="26">
        <f>IF(CR20="","Pre-Execution","Execution")</f>
        <v/>
      </c>
      <c r="I20" s="13" t="n">
        <v>45814</v>
      </c>
      <c r="J20" s="28" t="n"/>
      <c r="K20" s="28" t="n"/>
      <c r="L20" s="28" t="n"/>
      <c r="M20" s="10" t="n">
        <v>45853</v>
      </c>
      <c r="N20" s="10">
        <f>WORKDAY(I20,N19)</f>
        <v/>
      </c>
      <c r="O20" s="56">
        <f>M20</f>
        <v/>
      </c>
      <c r="P20" s="10" t="n">
        <v>45853</v>
      </c>
      <c r="Q20" s="10">
        <f>IF(O20="",WORKDAY(N20,Q19),WORKDAY(O20,Q19))</f>
        <v/>
      </c>
      <c r="R20" s="56">
        <f>P20</f>
        <v/>
      </c>
      <c r="S20" s="28" t="n"/>
      <c r="T20" s="28" t="n"/>
      <c r="U20" s="28" t="n"/>
      <c r="V20" s="10" t="n">
        <v>45895</v>
      </c>
      <c r="W20" s="10">
        <f>IF(R20="",WORKDAY(Q20,W19),WORKDAY(R20,W19))</f>
        <v/>
      </c>
      <c r="X20" s="56" t="n"/>
      <c r="Y20" s="10" t="n">
        <v>45951</v>
      </c>
      <c r="Z20" s="10">
        <f>IF(R20="",WORKDAY(Q20,Z19),WORKDAY(R20,Z19))</f>
        <v/>
      </c>
      <c r="AA20" s="56" t="n"/>
      <c r="AB20" s="10" t="n">
        <v>45814</v>
      </c>
      <c r="AC20" s="10">
        <f>WORKDAY(I20,AC19)</f>
        <v/>
      </c>
      <c r="AD20" s="56" t="n"/>
      <c r="AE20" s="10" t="n">
        <v>45919</v>
      </c>
      <c r="AF20" s="10">
        <f>IF(AD20="",WORKDAY(AC20,AF19),WORKDAY(AD20,AF19))</f>
        <v/>
      </c>
      <c r="AG20" s="56" t="n"/>
      <c r="AH20" s="10" t="n">
        <v>45958</v>
      </c>
      <c r="AI20" s="10">
        <f>WORKDAY(IF(AA20="",IF(Z20&gt;AF20,Z20,AF20),IF(AA20&gt;AG20,AA20,AG20)),AI19)</f>
        <v/>
      </c>
      <c r="AJ20" s="56">
        <f>AH20</f>
        <v/>
      </c>
      <c r="AK20" s="10" t="n">
        <v>45986</v>
      </c>
      <c r="AL20" s="10">
        <f>IF(AJ20="",WORKDAY(AI20,AL19),WORKDAY(AJ20,AL19))</f>
        <v/>
      </c>
      <c r="AM20" s="56" t="n"/>
      <c r="AN20" s="10" t="n">
        <v>45986</v>
      </c>
      <c r="AO20" s="10">
        <f>IF(AM20="",WORKDAY(AL20,AO19),WORKDAY(AM20,AO19))</f>
        <v/>
      </c>
      <c r="AP20" s="56" t="n"/>
      <c r="AQ20" s="10" t="n">
        <v>46014</v>
      </c>
      <c r="AR20" s="10">
        <f>IF(AP20="",WORKDAY(AO20,AR19),WORKDAY(AP20,AR19))</f>
        <v/>
      </c>
      <c r="AS20" s="10">
        <f>AQ20</f>
        <v/>
      </c>
      <c r="AT20" s="10" t="n">
        <v>45993</v>
      </c>
      <c r="AU20" s="10" t="n">
        <v>45993</v>
      </c>
      <c r="AV20" s="10" t="n">
        <v>45993</v>
      </c>
      <c r="AW20" s="10" t="n">
        <v>46028</v>
      </c>
      <c r="AX20" s="10">
        <f>IF(AS20="",IF(AR20&gt;AU20,WORKDAY(AR20,AX19),WORKDAY(AU20,AX19)),IF(AS20&gt;AV20,WORKDAY(AS20,AX19),WORKDAY(AV20,AX19)))</f>
        <v/>
      </c>
      <c r="AY20" s="10" t="n">
        <v>46028</v>
      </c>
      <c r="AZ20" s="10" t="n">
        <v>46028</v>
      </c>
      <c r="BA20" s="10">
        <f>IF(AP20="",WORKDAY(AO20,BA19),WORKDAY(AP20,BA19))</f>
        <v/>
      </c>
      <c r="BB20" s="10" t="n">
        <v>46028</v>
      </c>
      <c r="BC20" s="10" t="n">
        <v>46035</v>
      </c>
      <c r="BD20" s="10">
        <f>IF(AY20="",IF(AX20&gt;BA20,WORKDAY(AX20,BD19),WORKDAY(BA20,BD19)),IF(AY20&gt;BB20,WORKDAY(AY20,BD19),WORKDAY(BB20,BD19)))</f>
        <v/>
      </c>
      <c r="BE20" s="10">
        <f>IF(AZ20="",IF(AY20&gt;BB20,WORKDAY(AY20,BE19),WORKDAY(BB20,BE19)),IF(AZ20&gt;BC20,WORKDAY(AZ20,BE19),WORKDAY(BC20,BE19)))</f>
        <v/>
      </c>
      <c r="BF20" s="10" t="n">
        <v>46042</v>
      </c>
      <c r="BG20" s="10">
        <f>IF(BE20="",WORKDAY(BD20,BG19),WORKDAY(BE20,BG19))</f>
        <v/>
      </c>
      <c r="BH20" s="56">
        <f>BF20</f>
        <v/>
      </c>
      <c r="BI20" s="10" t="n">
        <v>46049</v>
      </c>
      <c r="BJ20" s="10">
        <f>IF(BH20="",WORKDAY(BG20,BJ19),WORKDAY(BH20,BJ19))</f>
        <v/>
      </c>
      <c r="BK20" s="56">
        <f>BI20</f>
        <v/>
      </c>
      <c r="BL20" s="28" t="n"/>
      <c r="BM20" s="28" t="n"/>
      <c r="BN20" s="28" t="n"/>
      <c r="BO20" s="28" t="n"/>
      <c r="BP20" s="28" t="n"/>
      <c r="BQ20" s="28" t="n"/>
      <c r="BR20" s="28" t="n"/>
      <c r="BS20" s="28" t="n"/>
      <c r="BT20" s="28" t="n"/>
      <c r="BU20" s="28" t="n"/>
      <c r="BV20" s="28" t="n"/>
      <c r="BW20" s="28" t="n"/>
      <c r="BX20" s="46" t="n"/>
      <c r="BY20" s="28" t="n"/>
      <c r="BZ20" s="28" t="n"/>
      <c r="CA20" s="28" t="n"/>
      <c r="CB20" s="28" t="n"/>
      <c r="CC20" s="28" t="n"/>
      <c r="CD20" s="28" t="n"/>
      <c r="CE20" s="28" t="n"/>
      <c r="CF20" s="28" t="n"/>
      <c r="CG20" s="28" t="n"/>
      <c r="CH20" s="28" t="n"/>
      <c r="CI20" s="28" t="n"/>
      <c r="CJ20" s="28" t="n"/>
      <c r="CK20" s="28" t="n"/>
      <c r="CL20" s="28" t="n"/>
      <c r="CM20" s="10" t="n">
        <v>46052</v>
      </c>
      <c r="CN20" s="10">
        <f>IF(BK20="",WORKDAY(BJ20,CN19),WORKDAY(BK20,CN19))</f>
        <v/>
      </c>
      <c r="CO20" s="56">
        <f>CM20</f>
        <v/>
      </c>
      <c r="CP20" s="10" t="n">
        <v>46059</v>
      </c>
      <c r="CQ20" s="10">
        <f>IF(CO20="",WORKDAY(CN20,CQ19),WORKDAY(CO20,CQ19))</f>
        <v/>
      </c>
      <c r="CR20" s="56">
        <f>CP20</f>
        <v/>
      </c>
      <c r="CS20" s="77" t="inlineStr">
        <is>
          <t>Execution schedule has been re-baselined w/ FAIR PO Ack ACD. Validate your durations before publishing</t>
        </is>
      </c>
      <c r="CT20" s="10" t="n">
        <v>46227</v>
      </c>
      <c r="CU20" s="10">
        <f>IF(CR20="",WORKDAY(CQ20,CU19),WORKDAY(CR20,CU19))</f>
        <v/>
      </c>
      <c r="CV20" s="56">
        <f>CT20</f>
        <v/>
      </c>
      <c r="CW20" s="10" t="n">
        <v>46042</v>
      </c>
      <c r="CX20" s="10">
        <f>IF(BB20="",WORKDAY(BA20,CX19),WORKDAY(BB20,CX19))</f>
        <v/>
      </c>
      <c r="CY20" s="56">
        <f>CW20</f>
        <v/>
      </c>
      <c r="CZ20" s="10" t="n">
        <v>46042</v>
      </c>
      <c r="DA20" s="10">
        <f>IF(CY20="",WORKDAY(CX20,DA19),WORKDAY(CY20,DA19))</f>
        <v/>
      </c>
      <c r="DB20" s="56">
        <f>CZ20</f>
        <v/>
      </c>
      <c r="DC20" s="45" t="n"/>
      <c r="DD20" s="45" t="n"/>
      <c r="DE20" s="45" t="n"/>
      <c r="DF20" s="10" t="n">
        <v>46255</v>
      </c>
      <c r="DG20" s="10">
        <f>IF($CV20="",IF($CU20&gt;$DA20,WORKDAY($CU20,DG19),WORKDAY($DA20,DG19)),IF($CV20&gt;$DB20,WORKDAY($CV20,DG19),WORKDAY($DB20,DG19)))</f>
        <v/>
      </c>
      <c r="DH20" s="56" t="n"/>
      <c r="DI20" s="46" t="n"/>
      <c r="DJ20" s="10" t="n">
        <v>46283</v>
      </c>
      <c r="DK20" s="10">
        <f>IF(DH20="",WORKDAY(DG20,DK19*$DI19),WORKDAY(DH20,DK19*$DI19))</f>
        <v/>
      </c>
      <c r="DL20" s="56" t="n"/>
      <c r="DM20" s="46" t="n"/>
      <c r="DN20" s="46" t="n"/>
      <c r="DO20" s="46" t="n"/>
      <c r="DP20" s="46" t="n"/>
      <c r="DQ20" s="46" t="n"/>
      <c r="DR20" s="46" t="n"/>
      <c r="DS20" s="46" t="n"/>
      <c r="DT20" s="46" t="n"/>
      <c r="DU20" s="46" t="n"/>
      <c r="DV20" s="46" t="n"/>
      <c r="DW20" s="46" t="n"/>
      <c r="DX20" s="46" t="n"/>
      <c r="DY20" s="46" t="n"/>
      <c r="DZ20" s="46" t="n"/>
      <c r="EA20" s="46" t="n"/>
      <c r="EB20" s="46" t="n"/>
      <c r="EC20" s="46" t="n"/>
      <c r="ED20" s="46" t="n"/>
      <c r="EE20" s="10" t="n">
        <v>46283</v>
      </c>
      <c r="EF20" s="10">
        <f>IF(DL20="",WORKDAY(DK20,EF19),WORKDAY(DL20,EF19))</f>
        <v/>
      </c>
      <c r="EG20" s="56" t="n"/>
      <c r="EH20" s="10" t="n">
        <v>46084</v>
      </c>
      <c r="EI20" s="10">
        <f>IF(BH20="",WORKDAY(BG20,EI19),WORKDAY(BH20,EI19))</f>
        <v/>
      </c>
      <c r="EJ20" s="56" t="n"/>
      <c r="EK20" s="27" t="n"/>
      <c r="EL20" s="27" t="n"/>
      <c r="EM20" s="27" t="n"/>
      <c r="EN20" s="27" t="n"/>
      <c r="EO20" s="28" t="n"/>
      <c r="EP20" s="28" t="n"/>
      <c r="EQ20" s="28" t="n"/>
      <c r="ER20" s="28" t="n"/>
      <c r="ES20" s="28" t="n"/>
      <c r="ET20" s="28" t="n"/>
      <c r="EU20" s="28" t="n"/>
      <c r="EV20" s="28" t="n"/>
      <c r="EW20" s="28" t="n"/>
      <c r="EX20" s="28" t="n"/>
      <c r="EY20" s="28" t="n"/>
      <c r="EZ20" s="10" t="n">
        <v>46290</v>
      </c>
      <c r="FA20" s="10">
        <f>IF(EG20="",WORKDAY(EF20,FA19),WORKDAY(EG20,FA19))</f>
        <v/>
      </c>
      <c r="FB20" s="56" t="n"/>
      <c r="FC20" s="28" t="n"/>
      <c r="FD20" s="28" t="n"/>
      <c r="FE20" s="28" t="n"/>
      <c r="FF20" s="28" t="n"/>
      <c r="FG20" s="28" t="n"/>
      <c r="FH20" s="28" t="n"/>
      <c r="FI20" s="10" t="n">
        <v>46311</v>
      </c>
      <c r="FJ20" s="10">
        <f>IF(FB20="",WORKDAY(FA20,FJ19),WORKDAY(FB20,FJ19))</f>
        <v/>
      </c>
      <c r="FK20" s="56" t="n"/>
      <c r="FL20" s="10" t="n">
        <v>46311</v>
      </c>
      <c r="FM20" s="10">
        <f>IF(FK20="",WORKDAY(FJ20,FM19),WORKDAY(FK20,FM19))</f>
        <v/>
      </c>
      <c r="FN20" s="56" t="n"/>
      <c r="FO20" s="10" t="n">
        <v>46367</v>
      </c>
      <c r="FP20" s="10">
        <f>WORKDAY(FM20,FP19)</f>
        <v/>
      </c>
      <c r="FQ20" s="10" t="n"/>
      <c r="FR20" s="77">
        <f>IF(NETWORKDAYS(FJ20,FO20)&gt;=30,"On-Track",IF(AND(NETWORKDAYS(FJ20,FO20)&lt;30,FJ20&lt;=FO20),"At Risk","Missed TCD"))</f>
        <v/>
      </c>
      <c r="FS20" s="110" t="inlineStr">
        <is>
          <t>Execution Baseline Locked</t>
        </is>
      </c>
      <c r="FT20" s="57">
        <f>NETWORKDAYS(CP20,FI20)</f>
        <v/>
      </c>
      <c r="FU20" s="57">
        <f>NETWORKDAYS(CQ20,FJ20)</f>
        <v/>
      </c>
      <c r="FV20" s="57">
        <f>IF(BH20="",NETWORKDAYS(BG20,FJ20),IF(FK20="",NETWORKDAYS(BH20,FJ20),NETWORKDAYS(BH20,FK20)))</f>
        <v/>
      </c>
      <c r="FW20" s="58" t="inlineStr">
        <is>
          <t>Execution Only</t>
        </is>
      </c>
    </row>
    <row r="21" outlineLevel="1">
      <c r="A21" s="23" t="n"/>
      <c r="B21" s="23" t="n">
        <v>107140</v>
      </c>
      <c r="C21" s="24" t="inlineStr">
        <is>
          <t>019-07245-0000</t>
        </is>
      </c>
      <c r="D21" s="95" t="n"/>
      <c r="E21" s="24" t="n"/>
      <c r="F21" s="25" t="inlineStr">
        <is>
          <t>Durations in WD</t>
        </is>
      </c>
      <c r="G21" s="26" t="n"/>
      <c r="H21" s="26" t="n"/>
      <c r="I21" s="27" t="n"/>
      <c r="J21" s="27" t="n"/>
      <c r="K21" s="27" t="n"/>
      <c r="L21" s="27" t="n"/>
      <c r="M21" s="4" t="n">
        <v>27</v>
      </c>
      <c r="N21" s="4" t="n">
        <v>27</v>
      </c>
      <c r="O21" s="27" t="n"/>
      <c r="P21" s="4" t="n">
        <v>0</v>
      </c>
      <c r="Q21" s="4" t="n">
        <v>0</v>
      </c>
      <c r="R21" s="27" t="n"/>
      <c r="S21" s="27" t="n"/>
      <c r="T21" s="27" t="n"/>
      <c r="U21" s="27" t="n"/>
      <c r="V21" s="4" t="n">
        <v>30</v>
      </c>
      <c r="W21" s="4" t="n">
        <v>30</v>
      </c>
      <c r="X21" s="27" t="n"/>
      <c r="Y21" s="4" t="n">
        <v>70</v>
      </c>
      <c r="Z21" s="4" t="n">
        <v>70</v>
      </c>
      <c r="AA21" s="27" t="n"/>
      <c r="AB21" s="4" t="n">
        <v>0</v>
      </c>
      <c r="AC21" s="4" t="n">
        <v>0</v>
      </c>
      <c r="AD21" s="27" t="n"/>
      <c r="AE21" s="4" t="n">
        <v>75</v>
      </c>
      <c r="AF21" s="4" t="n">
        <v>75</v>
      </c>
      <c r="AG21" s="27" t="n"/>
      <c r="AH21" s="4" t="n">
        <v>5</v>
      </c>
      <c r="AI21" s="4" t="n">
        <v>5</v>
      </c>
      <c r="AJ21" s="27" t="n"/>
      <c r="AK21" s="4" t="n">
        <v>20</v>
      </c>
      <c r="AL21" s="4" t="n">
        <v>20</v>
      </c>
      <c r="AM21" s="27" t="n"/>
      <c r="AN21" s="4" t="n">
        <v>0</v>
      </c>
      <c r="AO21" s="4" t="n">
        <v>0</v>
      </c>
      <c r="AP21" s="27" t="n"/>
      <c r="AQ21" s="4" t="n">
        <v>20</v>
      </c>
      <c r="AR21" s="4" t="n">
        <v>20</v>
      </c>
      <c r="AS21" s="27" t="n"/>
      <c r="AT21" s="4" t="n">
        <v>5</v>
      </c>
      <c r="AU21" s="4" t="n">
        <v>5</v>
      </c>
      <c r="AV21" s="27" t="n"/>
      <c r="AW21" s="4" t="n">
        <v>10</v>
      </c>
      <c r="AX21" s="4" t="n">
        <v>10</v>
      </c>
      <c r="AY21" s="27" t="n"/>
      <c r="AZ21" s="4" t="n">
        <v>30</v>
      </c>
      <c r="BA21" s="4" t="n">
        <v>30</v>
      </c>
      <c r="BB21" s="27" t="n"/>
      <c r="BC21" s="4" t="n">
        <v>5</v>
      </c>
      <c r="BD21" s="4" t="n">
        <v>5</v>
      </c>
      <c r="BE21" s="27" t="n"/>
      <c r="BF21" s="4" t="n">
        <v>5</v>
      </c>
      <c r="BG21" s="4" t="n">
        <v>5</v>
      </c>
      <c r="BH21" s="27" t="n"/>
      <c r="BI21" s="4" t="n">
        <v>5</v>
      </c>
      <c r="BJ21" s="4" t="n">
        <v>5</v>
      </c>
      <c r="BK21" s="27" t="n"/>
      <c r="BL21" s="27" t="n"/>
      <c r="BM21" s="27" t="n"/>
      <c r="BN21" s="27" t="n"/>
      <c r="BO21" s="27" t="n"/>
      <c r="BP21" s="27" t="n"/>
      <c r="BQ21" s="27" t="n"/>
      <c r="BR21" s="27" t="n"/>
      <c r="BS21" s="27" t="n"/>
      <c r="BT21" s="27" t="n"/>
      <c r="BU21" s="27" t="n"/>
      <c r="BV21" s="27" t="n"/>
      <c r="BW21" s="27" t="n"/>
      <c r="BX21" s="27" t="n"/>
      <c r="BY21" s="27" t="n"/>
      <c r="BZ21" s="27" t="n"/>
      <c r="CA21" s="27" t="n"/>
      <c r="CB21" s="27" t="n"/>
      <c r="CC21" s="27" t="n"/>
      <c r="CD21" s="27" t="n"/>
      <c r="CE21" s="27" t="n"/>
      <c r="CF21" s="27" t="n"/>
      <c r="CG21" s="27" t="n"/>
      <c r="CH21" s="27" t="n"/>
      <c r="CI21" s="27" t="n"/>
      <c r="CJ21" s="27" t="n"/>
      <c r="CK21" s="27" t="n"/>
      <c r="CL21" s="27" t="n"/>
      <c r="CM21" s="4" t="n">
        <v>3</v>
      </c>
      <c r="CN21" s="4" t="n">
        <v>3</v>
      </c>
      <c r="CO21" s="27" t="n"/>
      <c r="CP21" s="4" t="n">
        <v>5</v>
      </c>
      <c r="CQ21" s="4" t="n">
        <v>5</v>
      </c>
      <c r="CR21" s="27" t="n"/>
      <c r="CS21" s="27" t="n"/>
      <c r="CT21" s="5" t="n">
        <v>120</v>
      </c>
      <c r="CU21" s="5" t="n">
        <v>120</v>
      </c>
      <c r="CV21" s="27" t="n"/>
      <c r="CW21" s="5" t="n">
        <v>10</v>
      </c>
      <c r="CX21" s="5" t="n">
        <v>10</v>
      </c>
      <c r="CY21" s="27" t="n"/>
      <c r="CZ21" s="5" t="n">
        <v>0</v>
      </c>
      <c r="DA21" s="5" t="n">
        <v>0</v>
      </c>
      <c r="DB21" s="27" t="n"/>
      <c r="DC21" s="31" t="n"/>
      <c r="DD21" s="31" t="n"/>
      <c r="DE21" s="31" t="n"/>
      <c r="DF21" s="4" t="n">
        <v>20</v>
      </c>
      <c r="DG21" s="4" t="n">
        <v>20</v>
      </c>
      <c r="DH21" s="27" t="n"/>
      <c r="DI21" s="89" t="n">
        <v>1</v>
      </c>
      <c r="DJ21" s="4" t="n">
        <v>20</v>
      </c>
      <c r="DK21" s="4" t="n">
        <v>20</v>
      </c>
      <c r="DL21" s="27" t="n"/>
      <c r="DM21" s="27" t="n"/>
      <c r="DN21" s="27" t="n"/>
      <c r="DO21" s="27" t="n"/>
      <c r="DP21" s="27" t="n"/>
      <c r="DQ21" s="27" t="n"/>
      <c r="DR21" s="27" t="n"/>
      <c r="DS21" s="27" t="n"/>
      <c r="DT21" s="27" t="n"/>
      <c r="DU21" s="27" t="n"/>
      <c r="DV21" s="27" t="n"/>
      <c r="DW21" s="27" t="n"/>
      <c r="DX21" s="27" t="n"/>
      <c r="DY21" s="27" t="n"/>
      <c r="DZ21" s="27" t="n"/>
      <c r="EA21" s="27" t="n"/>
      <c r="EB21" s="27" t="n"/>
      <c r="EC21" s="27" t="n"/>
      <c r="ED21" s="27" t="n"/>
      <c r="EE21" s="4" t="n">
        <v>0</v>
      </c>
      <c r="EF21" s="4" t="n">
        <v>0</v>
      </c>
      <c r="EG21" s="27" t="n"/>
      <c r="EH21" s="4" t="n">
        <v>30</v>
      </c>
      <c r="EI21" s="4" t="n">
        <v>30</v>
      </c>
      <c r="EJ21" s="27" t="n"/>
      <c r="EK21" s="27" t="n"/>
      <c r="EL21" s="27" t="n"/>
      <c r="EM21" s="27" t="n"/>
      <c r="EN21" s="27" t="n"/>
      <c r="EO21" s="27" t="n"/>
      <c r="EP21" s="27" t="n"/>
      <c r="EQ21" s="27" t="n"/>
      <c r="ER21" s="27" t="n"/>
      <c r="ES21" s="27" t="n"/>
      <c r="ET21" s="27" t="n"/>
      <c r="EU21" s="27" t="n"/>
      <c r="EV21" s="27" t="n"/>
      <c r="EW21" s="27" t="n"/>
      <c r="EX21" s="27" t="n"/>
      <c r="EY21" s="27" t="n"/>
      <c r="EZ21" s="4" t="n">
        <v>5</v>
      </c>
      <c r="FA21" s="4" t="n">
        <v>5</v>
      </c>
      <c r="FB21" s="27" t="n"/>
      <c r="FC21" s="27" t="n"/>
      <c r="FD21" s="27" t="n"/>
      <c r="FE21" s="27" t="n"/>
      <c r="FF21" s="27" t="n"/>
      <c r="FG21" s="27" t="n"/>
      <c r="FH21" s="27" t="n"/>
      <c r="FI21" s="4" t="n">
        <v>15</v>
      </c>
      <c r="FJ21" s="4" t="n">
        <v>15</v>
      </c>
      <c r="FK21" s="27" t="n"/>
      <c r="FL21" s="4" t="n">
        <v>0</v>
      </c>
      <c r="FM21" s="4" t="n">
        <v>0</v>
      </c>
      <c r="FN21" s="27" t="n"/>
      <c r="FO21" s="4" t="n">
        <v>40</v>
      </c>
      <c r="FP21" s="4" t="n">
        <v>40</v>
      </c>
      <c r="FQ21" s="27" t="n"/>
      <c r="FR21" s="27" t="n"/>
      <c r="FS21" s="109" t="n"/>
      <c r="FT21" s="54">
        <f>NETWORKDAYS($I22,FO22)</f>
        <v/>
      </c>
      <c r="FU21" s="54">
        <f>NETWORKDAYS($I22,FP22)</f>
        <v/>
      </c>
      <c r="FV21" s="54">
        <f>IF(FQ22="",NETWORKDAYS($I22,FP22),NETWORKDAYS($I22,FQ22))</f>
        <v/>
      </c>
      <c r="FW21" s="55" t="inlineStr">
        <is>
          <t>Total Project</t>
        </is>
      </c>
    </row>
    <row r="22">
      <c r="A22" s="23" t="inlineStr">
        <is>
          <t>Advanced Manufacturing</t>
        </is>
      </c>
      <c r="B22" s="23" t="n">
        <v>107140</v>
      </c>
      <c r="C22" s="24" t="inlineStr">
        <is>
          <t>019-07245-0000</t>
        </is>
      </c>
      <c r="D22" s="65" t="n"/>
      <c r="E22" s="23">
        <f>IF(D22="","Unknown",IF(D22&lt;=FM22+90,"Red",IF(AND(D22&gt;FM22+90,D22&lt;=FM22+180),"Yellow",IF(AND(D22&gt;FM22+180,D22&lt;=FM22+690),"Green","Covered"))))</f>
        <v/>
      </c>
      <c r="F22" s="25" t="inlineStr">
        <is>
          <t>BTP FAIR Only Part Number</t>
        </is>
      </c>
      <c r="G22" s="26" t="n"/>
      <c r="H22" s="26">
        <f>IF(CR22="","Pre-Execution","Execution")</f>
        <v/>
      </c>
      <c r="I22" s="13" t="n">
        <v>45814</v>
      </c>
      <c r="J22" s="28" t="n"/>
      <c r="K22" s="28" t="n"/>
      <c r="L22" s="28" t="n"/>
      <c r="M22" s="10" t="n">
        <v>45853</v>
      </c>
      <c r="N22" s="10">
        <f>WORKDAY(I22,N21)</f>
        <v/>
      </c>
      <c r="O22" s="56">
        <f>M22</f>
        <v/>
      </c>
      <c r="P22" s="10" t="n">
        <v>45853</v>
      </c>
      <c r="Q22" s="10">
        <f>IF(O22="",WORKDAY(N22,Q21),WORKDAY(O22,Q21))</f>
        <v/>
      </c>
      <c r="R22" s="56">
        <f>P22</f>
        <v/>
      </c>
      <c r="S22" s="28" t="n"/>
      <c r="T22" s="28" t="n"/>
      <c r="U22" s="28" t="n"/>
      <c r="V22" s="10" t="n">
        <v>45895</v>
      </c>
      <c r="W22" s="10">
        <f>IF(R22="",WORKDAY(Q22,W21),WORKDAY(R22,W21))</f>
        <v/>
      </c>
      <c r="X22" s="56" t="n"/>
      <c r="Y22" s="10" t="n">
        <v>45951</v>
      </c>
      <c r="Z22" s="10">
        <f>IF(R22="",WORKDAY(Q22,Z21),WORKDAY(R22,Z21))</f>
        <v/>
      </c>
      <c r="AA22" s="56" t="n"/>
      <c r="AB22" s="10" t="n">
        <v>45814</v>
      </c>
      <c r="AC22" s="10">
        <f>WORKDAY(I22,AC21)</f>
        <v/>
      </c>
      <c r="AD22" s="56" t="n"/>
      <c r="AE22" s="10" t="n">
        <v>45919</v>
      </c>
      <c r="AF22" s="10">
        <f>IF(AD22="",WORKDAY(AC22,AF21),WORKDAY(AD22,AF21))</f>
        <v/>
      </c>
      <c r="AG22" s="56" t="n"/>
      <c r="AH22" s="10" t="n">
        <v>45958</v>
      </c>
      <c r="AI22" s="10">
        <f>WORKDAY(IF(AA22="",IF(Z22&gt;AF22,Z22,AF22),IF(AA22&gt;AG22,AA22,AG22)),AI21)</f>
        <v/>
      </c>
      <c r="AJ22" s="56">
        <f>AH22</f>
        <v/>
      </c>
      <c r="AK22" s="10" t="n">
        <v>45986</v>
      </c>
      <c r="AL22" s="10">
        <f>IF(AJ22="",WORKDAY(AI22,AL21),WORKDAY(AJ22,AL21))</f>
        <v/>
      </c>
      <c r="AM22" s="56" t="n"/>
      <c r="AN22" s="10" t="n">
        <v>45986</v>
      </c>
      <c r="AO22" s="10">
        <f>IF(AM22="",WORKDAY(AL22,AO21),WORKDAY(AM22,AO21))</f>
        <v/>
      </c>
      <c r="AP22" s="56" t="n"/>
      <c r="AQ22" s="10" t="n">
        <v>46014</v>
      </c>
      <c r="AR22" s="10">
        <f>IF(AP22="",WORKDAY(AO22,AR21),WORKDAY(AP22,AR21))</f>
        <v/>
      </c>
      <c r="AS22" s="10">
        <f>AQ22</f>
        <v/>
      </c>
      <c r="AT22" s="10" t="n">
        <v>45993</v>
      </c>
      <c r="AU22" s="10" t="n">
        <v>45993</v>
      </c>
      <c r="AV22" s="10" t="n">
        <v>45993</v>
      </c>
      <c r="AW22" s="10" t="n">
        <v>46028</v>
      </c>
      <c r="AX22" s="10">
        <f>IF(AS22="",IF(AR22&gt;AU22,WORKDAY(AR22,AX21),WORKDAY(AU22,AX21)),IF(AS22&gt;AV22,WORKDAY(AS22,AX21),WORKDAY(AV22,AX21)))</f>
        <v/>
      </c>
      <c r="AY22" s="10" t="n">
        <v>46028</v>
      </c>
      <c r="AZ22" s="10" t="n">
        <v>46028</v>
      </c>
      <c r="BA22" s="10">
        <f>IF(AP22="",WORKDAY(AO22,BA21),WORKDAY(AP22,BA21))</f>
        <v/>
      </c>
      <c r="BB22" s="10" t="n">
        <v>46028</v>
      </c>
      <c r="BC22" s="10" t="n">
        <v>46035</v>
      </c>
      <c r="BD22" s="10">
        <f>IF(AY22="",IF(AX22&gt;BA22,WORKDAY(AX22,BD21),WORKDAY(BA22,BD21)),IF(AY22&gt;BB22,WORKDAY(AY22,BD21),WORKDAY(BB22,BD21)))</f>
        <v/>
      </c>
      <c r="BE22" s="10">
        <f>IF(AZ22="",IF(AY22&gt;BB22,WORKDAY(AY22,BE21),WORKDAY(BB22,BE21)),IF(AZ22&gt;BC22,WORKDAY(AZ22,BE21),WORKDAY(BC22,BE21)))</f>
        <v/>
      </c>
      <c r="BF22" s="10" t="n">
        <v>46042</v>
      </c>
      <c r="BG22" s="10">
        <f>IF(BE22="",WORKDAY(BD22,BG21),WORKDAY(BE22,BG21))</f>
        <v/>
      </c>
      <c r="BH22" s="56">
        <f>BF22</f>
        <v/>
      </c>
      <c r="BI22" s="10" t="n">
        <v>46049</v>
      </c>
      <c r="BJ22" s="10">
        <f>IF(BH22="",WORKDAY(BG22,BJ21),WORKDAY(BH22,BJ21))</f>
        <v/>
      </c>
      <c r="BK22" s="56">
        <f>BI22</f>
        <v/>
      </c>
      <c r="BL22" s="28" t="n"/>
      <c r="BM22" s="28" t="n"/>
      <c r="BN22" s="28" t="n"/>
      <c r="BO22" s="28" t="n"/>
      <c r="BP22" s="28" t="n"/>
      <c r="BQ22" s="28" t="n"/>
      <c r="BR22" s="28" t="n"/>
      <c r="BS22" s="28" t="n"/>
      <c r="BT22" s="28" t="n"/>
      <c r="BU22" s="28" t="n"/>
      <c r="BV22" s="28" t="n"/>
      <c r="BW22" s="28" t="n"/>
      <c r="BX22" s="46" t="n"/>
      <c r="BY22" s="28" t="n"/>
      <c r="BZ22" s="28" t="n"/>
      <c r="CA22" s="28" t="n"/>
      <c r="CB22" s="28" t="n"/>
      <c r="CC22" s="28" t="n"/>
      <c r="CD22" s="28" t="n"/>
      <c r="CE22" s="28" t="n"/>
      <c r="CF22" s="28" t="n"/>
      <c r="CG22" s="28" t="n"/>
      <c r="CH22" s="28" t="n"/>
      <c r="CI22" s="28" t="n"/>
      <c r="CJ22" s="28" t="n"/>
      <c r="CK22" s="28" t="n"/>
      <c r="CL22" s="28" t="n"/>
      <c r="CM22" s="10" t="n">
        <v>46052</v>
      </c>
      <c r="CN22" s="10">
        <f>IF(BK22="",WORKDAY(BJ22,CN21),WORKDAY(BK22,CN21))</f>
        <v/>
      </c>
      <c r="CO22" s="56">
        <f>CM22</f>
        <v/>
      </c>
      <c r="CP22" s="10" t="n">
        <v>46059</v>
      </c>
      <c r="CQ22" s="10">
        <f>IF(CO22="",WORKDAY(CN22,CQ21),WORKDAY(CO22,CQ21))</f>
        <v/>
      </c>
      <c r="CR22" s="56">
        <f>CP22</f>
        <v/>
      </c>
      <c r="CS22" s="77" t="inlineStr">
        <is>
          <t>Execution schedule has been re-baselined w/ FAIR PO Ack ACD. Validate your durations before publishing</t>
        </is>
      </c>
      <c r="CT22" s="10" t="n">
        <v>46227</v>
      </c>
      <c r="CU22" s="10">
        <f>IF(CR22="",WORKDAY(CQ22,CU21),WORKDAY(CR22,CU21))</f>
        <v/>
      </c>
      <c r="CV22" s="56">
        <f>CT22</f>
        <v/>
      </c>
      <c r="CW22" s="10" t="n">
        <v>46042</v>
      </c>
      <c r="CX22" s="10">
        <f>IF(BB22="",WORKDAY(BA22,CX21),WORKDAY(BB22,CX21))</f>
        <v/>
      </c>
      <c r="CY22" s="56">
        <f>CW22</f>
        <v/>
      </c>
      <c r="CZ22" s="10" t="n">
        <v>46042</v>
      </c>
      <c r="DA22" s="10">
        <f>IF(CY22="",WORKDAY(CX22,DA21),WORKDAY(CY22,DA21))</f>
        <v/>
      </c>
      <c r="DB22" s="56">
        <f>CZ22</f>
        <v/>
      </c>
      <c r="DC22" s="45" t="n"/>
      <c r="DD22" s="45" t="n"/>
      <c r="DE22" s="45" t="n"/>
      <c r="DF22" s="10" t="n">
        <v>46255</v>
      </c>
      <c r="DG22" s="10">
        <f>IF($CV22="",IF($CU22&gt;$DA22,WORKDAY($CU22,DG21),WORKDAY($DA22,DG21)),IF($CV22&gt;$DB22,WORKDAY($CV22,DG21),WORKDAY($DB22,DG21)))</f>
        <v/>
      </c>
      <c r="DH22" s="56" t="n"/>
      <c r="DI22" s="46" t="n"/>
      <c r="DJ22" s="10" t="n">
        <v>46283</v>
      </c>
      <c r="DK22" s="10">
        <f>IF(DH22="",WORKDAY(DG22,DK21*$DI21),WORKDAY(DH22,DK21*$DI21))</f>
        <v/>
      </c>
      <c r="DL22" s="56" t="n"/>
      <c r="DM22" s="46" t="n"/>
      <c r="DN22" s="46" t="n"/>
      <c r="DO22" s="46" t="n"/>
      <c r="DP22" s="46" t="n"/>
      <c r="DQ22" s="46" t="n"/>
      <c r="DR22" s="46" t="n"/>
      <c r="DS22" s="46" t="n"/>
      <c r="DT22" s="46" t="n"/>
      <c r="DU22" s="46" t="n"/>
      <c r="DV22" s="46" t="n"/>
      <c r="DW22" s="46" t="n"/>
      <c r="DX22" s="46" t="n"/>
      <c r="DY22" s="46" t="n"/>
      <c r="DZ22" s="46" t="n"/>
      <c r="EA22" s="46" t="n"/>
      <c r="EB22" s="46" t="n"/>
      <c r="EC22" s="46" t="n"/>
      <c r="ED22" s="46" t="n"/>
      <c r="EE22" s="10" t="n">
        <v>46283</v>
      </c>
      <c r="EF22" s="10">
        <f>IF(DL22="",WORKDAY(DK22,EF21),WORKDAY(DL22,EF21))</f>
        <v/>
      </c>
      <c r="EG22" s="56" t="n"/>
      <c r="EH22" s="10" t="n">
        <v>46084</v>
      </c>
      <c r="EI22" s="10">
        <f>IF(BH22="",WORKDAY(BG22,EI21),WORKDAY(BH22,EI21))</f>
        <v/>
      </c>
      <c r="EJ22" s="56" t="n"/>
      <c r="EK22" s="27" t="n"/>
      <c r="EL22" s="27" t="n"/>
      <c r="EM22" s="27" t="n"/>
      <c r="EN22" s="27" t="n"/>
      <c r="EO22" s="28" t="n"/>
      <c r="EP22" s="28" t="n"/>
      <c r="EQ22" s="28" t="n"/>
      <c r="ER22" s="28" t="n"/>
      <c r="ES22" s="28" t="n"/>
      <c r="ET22" s="28" t="n"/>
      <c r="EU22" s="28" t="n"/>
      <c r="EV22" s="28" t="n"/>
      <c r="EW22" s="28" t="n"/>
      <c r="EX22" s="28" t="n"/>
      <c r="EY22" s="28" t="n"/>
      <c r="EZ22" s="10" t="n">
        <v>46290</v>
      </c>
      <c r="FA22" s="10">
        <f>IF(EG22="",WORKDAY(EF22,FA21),WORKDAY(EG22,FA21))</f>
        <v/>
      </c>
      <c r="FB22" s="56" t="n"/>
      <c r="FC22" s="28" t="n"/>
      <c r="FD22" s="28" t="n"/>
      <c r="FE22" s="28" t="n"/>
      <c r="FF22" s="28" t="n"/>
      <c r="FG22" s="28" t="n"/>
      <c r="FH22" s="28" t="n"/>
      <c r="FI22" s="10" t="n">
        <v>46311</v>
      </c>
      <c r="FJ22" s="10">
        <f>IF(FB22="",WORKDAY(FA22,FJ21),WORKDAY(FB22,FJ21))</f>
        <v/>
      </c>
      <c r="FK22" s="56" t="n"/>
      <c r="FL22" s="10" t="n">
        <v>46311</v>
      </c>
      <c r="FM22" s="10">
        <f>IF(FK22="",WORKDAY(FJ22,FM21),WORKDAY(FK22,FM21))</f>
        <v/>
      </c>
      <c r="FN22" s="56" t="n"/>
      <c r="FO22" s="10" t="n">
        <v>46367</v>
      </c>
      <c r="FP22" s="10">
        <f>WORKDAY(FM22,FP21)</f>
        <v/>
      </c>
      <c r="FQ22" s="10" t="n"/>
      <c r="FR22" s="77">
        <f>IF(NETWORKDAYS(FJ22,FO22)&gt;=30,"On-Track",IF(AND(NETWORKDAYS(FJ22,FO22)&lt;30,FJ22&lt;=FO22),"At Risk","Missed TCD"))</f>
        <v/>
      </c>
      <c r="FS22" s="110" t="inlineStr">
        <is>
          <t>Execution Baseline Locked</t>
        </is>
      </c>
      <c r="FT22" s="57">
        <f>NETWORKDAYS(CP22,FI22)</f>
        <v/>
      </c>
      <c r="FU22" s="57">
        <f>NETWORKDAYS(CQ22,FJ22)</f>
        <v/>
      </c>
      <c r="FV22" s="57">
        <f>IF(BH22="",NETWORKDAYS(BG22,FJ22),IF(FK22="",NETWORKDAYS(BH22,FJ22),NETWORKDAYS(BH22,FK22)))</f>
        <v/>
      </c>
      <c r="FW22" s="58" t="inlineStr">
        <is>
          <t>Execution Only</t>
        </is>
      </c>
    </row>
    <row r="23" outlineLevel="1">
      <c r="A23" s="23" t="n"/>
      <c r="B23" s="23" t="n">
        <v>107141</v>
      </c>
      <c r="C23" s="24" t="inlineStr">
        <is>
          <t>019-07252-0000</t>
        </is>
      </c>
      <c r="D23" s="95" t="n"/>
      <c r="E23" s="24" t="n"/>
      <c r="F23" s="25" t="inlineStr">
        <is>
          <t>Durations in WD</t>
        </is>
      </c>
      <c r="G23" s="26" t="n"/>
      <c r="H23" s="26" t="n"/>
      <c r="I23" s="27" t="n"/>
      <c r="J23" s="27" t="n"/>
      <c r="K23" s="27" t="n"/>
      <c r="L23" s="27" t="n"/>
      <c r="M23" s="4" t="n">
        <v>27</v>
      </c>
      <c r="N23" s="4" t="n">
        <v>27</v>
      </c>
      <c r="O23" s="27" t="n"/>
      <c r="P23" s="4" t="n">
        <v>0</v>
      </c>
      <c r="Q23" s="4" t="n">
        <v>0</v>
      </c>
      <c r="R23" s="27" t="n"/>
      <c r="S23" s="27" t="n"/>
      <c r="T23" s="27" t="n"/>
      <c r="U23" s="27" t="n"/>
      <c r="V23" s="4" t="n">
        <v>30</v>
      </c>
      <c r="W23" s="4" t="n">
        <v>30</v>
      </c>
      <c r="X23" s="27" t="n"/>
      <c r="Y23" s="4" t="n">
        <v>70</v>
      </c>
      <c r="Z23" s="4" t="n">
        <v>70</v>
      </c>
      <c r="AA23" s="27" t="n"/>
      <c r="AB23" s="4" t="n">
        <v>0</v>
      </c>
      <c r="AC23" s="4" t="n">
        <v>0</v>
      </c>
      <c r="AD23" s="27" t="n"/>
      <c r="AE23" s="4" t="n">
        <v>75</v>
      </c>
      <c r="AF23" s="4" t="n">
        <v>75</v>
      </c>
      <c r="AG23" s="27" t="n"/>
      <c r="AH23" s="4" t="n">
        <v>5</v>
      </c>
      <c r="AI23" s="4" t="n">
        <v>5</v>
      </c>
      <c r="AJ23" s="27" t="n"/>
      <c r="AK23" s="4" t="n">
        <v>20</v>
      </c>
      <c r="AL23" s="4" t="n">
        <v>20</v>
      </c>
      <c r="AM23" s="27" t="n"/>
      <c r="AN23" s="4" t="n">
        <v>0</v>
      </c>
      <c r="AO23" s="4" t="n">
        <v>0</v>
      </c>
      <c r="AP23" s="27" t="n"/>
      <c r="AQ23" s="4" t="n">
        <v>20</v>
      </c>
      <c r="AR23" s="4" t="n">
        <v>20</v>
      </c>
      <c r="AS23" s="27" t="n"/>
      <c r="AT23" s="4" t="n">
        <v>5</v>
      </c>
      <c r="AU23" s="4" t="n">
        <v>5</v>
      </c>
      <c r="AV23" s="27" t="n"/>
      <c r="AW23" s="4" t="n">
        <v>10</v>
      </c>
      <c r="AX23" s="4" t="n">
        <v>10</v>
      </c>
      <c r="AY23" s="27" t="n"/>
      <c r="AZ23" s="4" t="n">
        <v>30</v>
      </c>
      <c r="BA23" s="4" t="n">
        <v>30</v>
      </c>
      <c r="BB23" s="27" t="n"/>
      <c r="BC23" s="4" t="n">
        <v>5</v>
      </c>
      <c r="BD23" s="4" t="n">
        <v>5</v>
      </c>
      <c r="BE23" s="27" t="n"/>
      <c r="BF23" s="4" t="n">
        <v>5</v>
      </c>
      <c r="BG23" s="4" t="n">
        <v>5</v>
      </c>
      <c r="BH23" s="27" t="n"/>
      <c r="BI23" s="4" t="n">
        <v>5</v>
      </c>
      <c r="BJ23" s="4" t="n">
        <v>5</v>
      </c>
      <c r="BK23" s="27" t="n"/>
      <c r="BL23" s="27" t="n"/>
      <c r="BM23" s="27" t="n"/>
      <c r="BN23" s="27" t="n"/>
      <c r="BO23" s="27" t="n"/>
      <c r="BP23" s="27" t="n"/>
      <c r="BQ23" s="27" t="n"/>
      <c r="BR23" s="27" t="n"/>
      <c r="BS23" s="27" t="n"/>
      <c r="BT23" s="27" t="n"/>
      <c r="BU23" s="27" t="n"/>
      <c r="BV23" s="27" t="n"/>
      <c r="BW23" s="27" t="n"/>
      <c r="BX23" s="27" t="n"/>
      <c r="BY23" s="27" t="n"/>
      <c r="BZ23" s="27" t="n"/>
      <c r="CA23" s="27" t="n"/>
      <c r="CB23" s="27" t="n"/>
      <c r="CC23" s="27" t="n"/>
      <c r="CD23" s="27" t="n"/>
      <c r="CE23" s="27" t="n"/>
      <c r="CF23" s="27" t="n"/>
      <c r="CG23" s="27" t="n"/>
      <c r="CH23" s="27" t="n"/>
      <c r="CI23" s="27" t="n"/>
      <c r="CJ23" s="27" t="n"/>
      <c r="CK23" s="27" t="n"/>
      <c r="CL23" s="27" t="n"/>
      <c r="CM23" s="4" t="n">
        <v>3</v>
      </c>
      <c r="CN23" s="4" t="n">
        <v>3</v>
      </c>
      <c r="CO23" s="27" t="n"/>
      <c r="CP23" s="4" t="n">
        <v>5</v>
      </c>
      <c r="CQ23" s="4" t="n">
        <v>5</v>
      </c>
      <c r="CR23" s="27" t="n"/>
      <c r="CS23" s="27" t="n"/>
      <c r="CT23" s="5" t="n">
        <v>120</v>
      </c>
      <c r="CU23" s="5" t="n">
        <v>120</v>
      </c>
      <c r="CV23" s="27" t="n"/>
      <c r="CW23" s="5" t="n">
        <v>10</v>
      </c>
      <c r="CX23" s="5" t="n">
        <v>10</v>
      </c>
      <c r="CY23" s="27" t="n"/>
      <c r="CZ23" s="5" t="n">
        <v>0</v>
      </c>
      <c r="DA23" s="5" t="n">
        <v>0</v>
      </c>
      <c r="DB23" s="27" t="n"/>
      <c r="DC23" s="31" t="n"/>
      <c r="DD23" s="31" t="n"/>
      <c r="DE23" s="31" t="n"/>
      <c r="DF23" s="4" t="n">
        <v>20</v>
      </c>
      <c r="DG23" s="4" t="n">
        <v>20</v>
      </c>
      <c r="DH23" s="27" t="n"/>
      <c r="DI23" s="89" t="n">
        <v>1</v>
      </c>
      <c r="DJ23" s="4" t="n">
        <v>20</v>
      </c>
      <c r="DK23" s="4" t="n">
        <v>20</v>
      </c>
      <c r="DL23" s="27" t="n"/>
      <c r="DM23" s="27" t="n"/>
      <c r="DN23" s="27" t="n"/>
      <c r="DO23" s="27" t="n"/>
      <c r="DP23" s="27" t="n"/>
      <c r="DQ23" s="27" t="n"/>
      <c r="DR23" s="27" t="n"/>
      <c r="DS23" s="27" t="n"/>
      <c r="DT23" s="27" t="n"/>
      <c r="DU23" s="27" t="n"/>
      <c r="DV23" s="27" t="n"/>
      <c r="DW23" s="27" t="n"/>
      <c r="DX23" s="27" t="n"/>
      <c r="DY23" s="27" t="n"/>
      <c r="DZ23" s="27" t="n"/>
      <c r="EA23" s="27" t="n"/>
      <c r="EB23" s="27" t="n"/>
      <c r="EC23" s="27" t="n"/>
      <c r="ED23" s="27" t="n"/>
      <c r="EE23" s="4" t="n">
        <v>0</v>
      </c>
      <c r="EF23" s="4" t="n">
        <v>0</v>
      </c>
      <c r="EG23" s="27" t="n"/>
      <c r="EH23" s="4" t="n">
        <v>30</v>
      </c>
      <c r="EI23" s="4" t="n">
        <v>30</v>
      </c>
      <c r="EJ23" s="27" t="n"/>
      <c r="EK23" s="27" t="n"/>
      <c r="EL23" s="27" t="n"/>
      <c r="EM23" s="27" t="n"/>
      <c r="EN23" s="27" t="n"/>
      <c r="EO23" s="27" t="n"/>
      <c r="EP23" s="27" t="n"/>
      <c r="EQ23" s="27" t="n"/>
      <c r="ER23" s="27" t="n"/>
      <c r="ES23" s="27" t="n"/>
      <c r="ET23" s="27" t="n"/>
      <c r="EU23" s="27" t="n"/>
      <c r="EV23" s="27" t="n"/>
      <c r="EW23" s="27" t="n"/>
      <c r="EX23" s="27" t="n"/>
      <c r="EY23" s="27" t="n"/>
      <c r="EZ23" s="4" t="n">
        <v>5</v>
      </c>
      <c r="FA23" s="4" t="n">
        <v>5</v>
      </c>
      <c r="FB23" s="27" t="n"/>
      <c r="FC23" s="27" t="n"/>
      <c r="FD23" s="27" t="n"/>
      <c r="FE23" s="27" t="n"/>
      <c r="FF23" s="27" t="n"/>
      <c r="FG23" s="27" t="n"/>
      <c r="FH23" s="27" t="n"/>
      <c r="FI23" s="4" t="n">
        <v>15</v>
      </c>
      <c r="FJ23" s="4" t="n">
        <v>15</v>
      </c>
      <c r="FK23" s="27" t="n"/>
      <c r="FL23" s="4" t="n">
        <v>0</v>
      </c>
      <c r="FM23" s="4" t="n">
        <v>0</v>
      </c>
      <c r="FN23" s="27" t="n"/>
      <c r="FO23" s="4" t="n">
        <v>40</v>
      </c>
      <c r="FP23" s="4" t="n">
        <v>40</v>
      </c>
      <c r="FQ23" s="27" t="n"/>
      <c r="FR23" s="27" t="n"/>
      <c r="FS23" s="109" t="n"/>
      <c r="FT23" s="54">
        <f>NETWORKDAYS($I24,FO24)</f>
        <v/>
      </c>
      <c r="FU23" s="54">
        <f>NETWORKDAYS($I24,FP24)</f>
        <v/>
      </c>
      <c r="FV23" s="54">
        <f>IF(FQ24="",NETWORKDAYS($I24,FP24),NETWORKDAYS($I24,FQ24))</f>
        <v/>
      </c>
      <c r="FW23" s="55" t="inlineStr">
        <is>
          <t>Total Project</t>
        </is>
      </c>
    </row>
    <row r="24">
      <c r="A24" s="23" t="inlineStr">
        <is>
          <t>Advanced Manufacturing</t>
        </is>
      </c>
      <c r="B24" s="23" t="n">
        <v>107141</v>
      </c>
      <c r="C24" s="24" t="inlineStr">
        <is>
          <t>019-07252-0000</t>
        </is>
      </c>
      <c r="D24" s="65" t="n"/>
      <c r="E24" s="23">
        <f>IF(D24="","Unknown",IF(D24&lt;=FM24+90,"Red",IF(AND(D24&gt;FM24+90,D24&lt;=FM24+180),"Yellow",IF(AND(D24&gt;FM24+180,D24&lt;=FM24+690),"Green","Covered"))))</f>
        <v/>
      </c>
      <c r="F24" s="25" t="inlineStr">
        <is>
          <t>BTP FAIR Only Part Number</t>
        </is>
      </c>
      <c r="G24" s="26" t="n"/>
      <c r="H24" s="26">
        <f>IF(CR24="","Pre-Execution","Execution")</f>
        <v/>
      </c>
      <c r="I24" s="13" t="n">
        <v>45814</v>
      </c>
      <c r="J24" s="28" t="n"/>
      <c r="K24" s="28" t="n"/>
      <c r="L24" s="28" t="n"/>
      <c r="M24" s="10" t="n">
        <v>45853</v>
      </c>
      <c r="N24" s="10">
        <f>WORKDAY(I24,N23)</f>
        <v/>
      </c>
      <c r="O24" s="56">
        <f>M24</f>
        <v/>
      </c>
      <c r="P24" s="10" t="n">
        <v>45853</v>
      </c>
      <c r="Q24" s="10">
        <f>IF(O24="",WORKDAY(N24,Q23),WORKDAY(O24,Q23))</f>
        <v/>
      </c>
      <c r="R24" s="56">
        <f>P24</f>
        <v/>
      </c>
      <c r="S24" s="28" t="n"/>
      <c r="T24" s="28" t="n"/>
      <c r="U24" s="28" t="n"/>
      <c r="V24" s="10" t="n">
        <v>45895</v>
      </c>
      <c r="W24" s="10">
        <f>IF(R24="",WORKDAY(Q24,W23),WORKDAY(R24,W23))</f>
        <v/>
      </c>
      <c r="X24" s="56" t="n"/>
      <c r="Y24" s="10" t="n">
        <v>45951</v>
      </c>
      <c r="Z24" s="10">
        <f>IF(R24="",WORKDAY(Q24,Z23),WORKDAY(R24,Z23))</f>
        <v/>
      </c>
      <c r="AA24" s="56" t="n"/>
      <c r="AB24" s="10" t="n">
        <v>45814</v>
      </c>
      <c r="AC24" s="10">
        <f>WORKDAY(I24,AC23)</f>
        <v/>
      </c>
      <c r="AD24" s="56" t="n"/>
      <c r="AE24" s="10" t="n">
        <v>45919</v>
      </c>
      <c r="AF24" s="10">
        <f>IF(AD24="",WORKDAY(AC24,AF23),WORKDAY(AD24,AF23))</f>
        <v/>
      </c>
      <c r="AG24" s="56" t="n"/>
      <c r="AH24" s="10" t="n">
        <v>45958</v>
      </c>
      <c r="AI24" s="10">
        <f>WORKDAY(IF(AA24="",IF(Z24&gt;AF24,Z24,AF24),IF(AA24&gt;AG24,AA24,AG24)),AI23)</f>
        <v/>
      </c>
      <c r="AJ24" s="56">
        <f>AH24</f>
        <v/>
      </c>
      <c r="AK24" s="10" t="n">
        <v>45986</v>
      </c>
      <c r="AL24" s="10">
        <f>IF(AJ24="",WORKDAY(AI24,AL23),WORKDAY(AJ24,AL23))</f>
        <v/>
      </c>
      <c r="AM24" s="56" t="n"/>
      <c r="AN24" s="10" t="n">
        <v>45986</v>
      </c>
      <c r="AO24" s="10">
        <f>IF(AM24="",WORKDAY(AL24,AO23),WORKDAY(AM24,AO23))</f>
        <v/>
      </c>
      <c r="AP24" s="56" t="n"/>
      <c r="AQ24" s="10" t="n">
        <v>46014</v>
      </c>
      <c r="AR24" s="10">
        <f>IF(AP24="",WORKDAY(AO24,AR23),WORKDAY(AP24,AR23))</f>
        <v/>
      </c>
      <c r="AS24" s="10">
        <f>AQ24</f>
        <v/>
      </c>
      <c r="AT24" s="10" t="n">
        <v>45993</v>
      </c>
      <c r="AU24" s="10" t="n">
        <v>45993</v>
      </c>
      <c r="AV24" s="10" t="n">
        <v>45993</v>
      </c>
      <c r="AW24" s="10" t="n">
        <v>46028</v>
      </c>
      <c r="AX24" s="10">
        <f>IF(AS24="",IF(AR24&gt;AU24,WORKDAY(AR24,AX23),WORKDAY(AU24,AX23)),IF(AS24&gt;AV24,WORKDAY(AS24,AX23),WORKDAY(AV24,AX23)))</f>
        <v/>
      </c>
      <c r="AY24" s="10" t="n">
        <v>46028</v>
      </c>
      <c r="AZ24" s="10" t="n">
        <v>46028</v>
      </c>
      <c r="BA24" s="10">
        <f>IF(AP24="",WORKDAY(AO24,BA23),WORKDAY(AP24,BA23))</f>
        <v/>
      </c>
      <c r="BB24" s="10" t="n">
        <v>46028</v>
      </c>
      <c r="BC24" s="10" t="n">
        <v>46035</v>
      </c>
      <c r="BD24" s="10">
        <f>IF(AY24="",IF(AX24&gt;BA24,WORKDAY(AX24,BD23),WORKDAY(BA24,BD23)),IF(AY24&gt;BB24,WORKDAY(AY24,BD23),WORKDAY(BB24,BD23)))</f>
        <v/>
      </c>
      <c r="BE24" s="10">
        <f>IF(AZ24="",IF(AY24&gt;BB24,WORKDAY(AY24,BE23),WORKDAY(BB24,BE23)),IF(AZ24&gt;BC24,WORKDAY(AZ24,BE23),WORKDAY(BC24,BE23)))</f>
        <v/>
      </c>
      <c r="BF24" s="10" t="n">
        <v>46042</v>
      </c>
      <c r="BG24" s="10">
        <f>IF(BE24="",WORKDAY(BD24,BG23),WORKDAY(BE24,BG23))</f>
        <v/>
      </c>
      <c r="BH24" s="56">
        <f>BF24</f>
        <v/>
      </c>
      <c r="BI24" s="10" t="n">
        <v>46049</v>
      </c>
      <c r="BJ24" s="10">
        <f>IF(BH24="",WORKDAY(BG24,BJ23),WORKDAY(BH24,BJ23))</f>
        <v/>
      </c>
      <c r="BK24" s="56">
        <f>BI24</f>
        <v/>
      </c>
      <c r="BL24" s="28" t="n"/>
      <c r="BM24" s="28" t="n"/>
      <c r="BN24" s="28" t="n"/>
      <c r="BO24" s="28" t="n"/>
      <c r="BP24" s="28" t="n"/>
      <c r="BQ24" s="28" t="n"/>
      <c r="BR24" s="28" t="n"/>
      <c r="BS24" s="28" t="n"/>
      <c r="BT24" s="28" t="n"/>
      <c r="BU24" s="28" t="n"/>
      <c r="BV24" s="28" t="n"/>
      <c r="BW24" s="28" t="n"/>
      <c r="BX24" s="46" t="n"/>
      <c r="BY24" s="28" t="n"/>
      <c r="BZ24" s="28" t="n"/>
      <c r="CA24" s="28" t="n"/>
      <c r="CB24" s="28" t="n"/>
      <c r="CC24" s="28" t="n"/>
      <c r="CD24" s="28" t="n"/>
      <c r="CE24" s="28" t="n"/>
      <c r="CF24" s="28" t="n"/>
      <c r="CG24" s="28" t="n"/>
      <c r="CH24" s="28" t="n"/>
      <c r="CI24" s="28" t="n"/>
      <c r="CJ24" s="28" t="n"/>
      <c r="CK24" s="28" t="n"/>
      <c r="CL24" s="28" t="n"/>
      <c r="CM24" s="10" t="n">
        <v>46052</v>
      </c>
      <c r="CN24" s="10">
        <f>IF(BK24="",WORKDAY(BJ24,CN23),WORKDAY(BK24,CN23))</f>
        <v/>
      </c>
      <c r="CO24" s="56">
        <f>CM24</f>
        <v/>
      </c>
      <c r="CP24" s="10" t="n">
        <v>46059</v>
      </c>
      <c r="CQ24" s="10">
        <f>IF(CO24="",WORKDAY(CN24,CQ23),WORKDAY(CO24,CQ23))</f>
        <v/>
      </c>
      <c r="CR24" s="56">
        <f>CP24</f>
        <v/>
      </c>
      <c r="CS24" s="77" t="inlineStr">
        <is>
          <t>Execution schedule has been re-baselined w/ FAIR PO Ack ACD. Validate your durations before publishing</t>
        </is>
      </c>
      <c r="CT24" s="10" t="n">
        <v>46227</v>
      </c>
      <c r="CU24" s="10">
        <f>IF(CR24="",WORKDAY(CQ24,CU23),WORKDAY(CR24,CU23))</f>
        <v/>
      </c>
      <c r="CV24" s="56">
        <f>CT24</f>
        <v/>
      </c>
      <c r="CW24" s="10" t="n">
        <v>46042</v>
      </c>
      <c r="CX24" s="10">
        <f>IF(BB24="",WORKDAY(BA24,CX23),WORKDAY(BB24,CX23))</f>
        <v/>
      </c>
      <c r="CY24" s="56">
        <f>CW24</f>
        <v/>
      </c>
      <c r="CZ24" s="10" t="n">
        <v>46042</v>
      </c>
      <c r="DA24" s="10">
        <f>IF(CY24="",WORKDAY(CX24,DA23),WORKDAY(CY24,DA23))</f>
        <v/>
      </c>
      <c r="DB24" s="56">
        <f>CZ24</f>
        <v/>
      </c>
      <c r="DC24" s="45" t="n"/>
      <c r="DD24" s="45" t="n"/>
      <c r="DE24" s="45" t="n"/>
      <c r="DF24" s="10" t="n">
        <v>46255</v>
      </c>
      <c r="DG24" s="10">
        <f>IF($CV24="",IF($CU24&gt;$DA24,WORKDAY($CU24,DG23),WORKDAY($DA24,DG23)),IF($CV24&gt;$DB24,WORKDAY($CV24,DG23),WORKDAY($DB24,DG23)))</f>
        <v/>
      </c>
      <c r="DH24" s="56" t="n"/>
      <c r="DI24" s="46" t="n"/>
      <c r="DJ24" s="10" t="n">
        <v>46283</v>
      </c>
      <c r="DK24" s="10">
        <f>IF(DH24="",WORKDAY(DG24,DK23*$DI23),WORKDAY(DH24,DK23*$DI23))</f>
        <v/>
      </c>
      <c r="DL24" s="56" t="n"/>
      <c r="DM24" s="46" t="n"/>
      <c r="DN24" s="46" t="n"/>
      <c r="DO24" s="46" t="n"/>
      <c r="DP24" s="46" t="n"/>
      <c r="DQ24" s="46" t="n"/>
      <c r="DR24" s="46" t="n"/>
      <c r="DS24" s="46" t="n"/>
      <c r="DT24" s="46" t="n"/>
      <c r="DU24" s="46" t="n"/>
      <c r="DV24" s="46" t="n"/>
      <c r="DW24" s="46" t="n"/>
      <c r="DX24" s="46" t="n"/>
      <c r="DY24" s="46" t="n"/>
      <c r="DZ24" s="46" t="n"/>
      <c r="EA24" s="46" t="n"/>
      <c r="EB24" s="46" t="n"/>
      <c r="EC24" s="46" t="n"/>
      <c r="ED24" s="46" t="n"/>
      <c r="EE24" s="10" t="n">
        <v>46283</v>
      </c>
      <c r="EF24" s="10">
        <f>IF(DL24="",WORKDAY(DK24,EF23),WORKDAY(DL24,EF23))</f>
        <v/>
      </c>
      <c r="EG24" s="56" t="n"/>
      <c r="EH24" s="10" t="n">
        <v>46084</v>
      </c>
      <c r="EI24" s="10">
        <f>IF(BH24="",WORKDAY(BG24,EI23),WORKDAY(BH24,EI23))</f>
        <v/>
      </c>
      <c r="EJ24" s="56" t="n"/>
      <c r="EK24" s="27" t="n"/>
      <c r="EL24" s="27" t="n"/>
      <c r="EM24" s="27" t="n"/>
      <c r="EN24" s="27" t="n"/>
      <c r="EO24" s="28" t="n"/>
      <c r="EP24" s="28" t="n"/>
      <c r="EQ24" s="28" t="n"/>
      <c r="ER24" s="28" t="n"/>
      <c r="ES24" s="28" t="n"/>
      <c r="ET24" s="28" t="n"/>
      <c r="EU24" s="28" t="n"/>
      <c r="EV24" s="28" t="n"/>
      <c r="EW24" s="28" t="n"/>
      <c r="EX24" s="28" t="n"/>
      <c r="EY24" s="28" t="n"/>
      <c r="EZ24" s="10" t="n">
        <v>46290</v>
      </c>
      <c r="FA24" s="10">
        <f>IF(EG24="",WORKDAY(EF24,FA23),WORKDAY(EG24,FA23))</f>
        <v/>
      </c>
      <c r="FB24" s="56" t="n"/>
      <c r="FC24" s="28" t="n"/>
      <c r="FD24" s="28" t="n"/>
      <c r="FE24" s="28" t="n"/>
      <c r="FF24" s="28" t="n"/>
      <c r="FG24" s="28" t="n"/>
      <c r="FH24" s="28" t="n"/>
      <c r="FI24" s="10" t="n">
        <v>46311</v>
      </c>
      <c r="FJ24" s="10">
        <f>IF(FB24="",WORKDAY(FA24,FJ23),WORKDAY(FB24,FJ23))</f>
        <v/>
      </c>
      <c r="FK24" s="56" t="n"/>
      <c r="FL24" s="10" t="n">
        <v>46311</v>
      </c>
      <c r="FM24" s="10">
        <f>IF(FK24="",WORKDAY(FJ24,FM23),WORKDAY(FK24,FM23))</f>
        <v/>
      </c>
      <c r="FN24" s="56" t="n"/>
      <c r="FO24" s="10" t="n">
        <v>46367</v>
      </c>
      <c r="FP24" s="10">
        <f>WORKDAY(FM24,FP23)</f>
        <v/>
      </c>
      <c r="FQ24" s="10" t="n"/>
      <c r="FR24" s="77">
        <f>IF(NETWORKDAYS(FJ24,FO24)&gt;=30,"On-Track",IF(AND(NETWORKDAYS(FJ24,FO24)&lt;30,FJ24&lt;=FO24),"At Risk","Missed TCD"))</f>
        <v/>
      </c>
      <c r="FS24" s="110" t="inlineStr">
        <is>
          <t>Execution Baseline Locked</t>
        </is>
      </c>
      <c r="FT24" s="57">
        <f>NETWORKDAYS(CP24,FI24)</f>
        <v/>
      </c>
      <c r="FU24" s="57">
        <f>NETWORKDAYS(CQ24,FJ24)</f>
        <v/>
      </c>
      <c r="FV24" s="57">
        <f>IF(BH24="",NETWORKDAYS(BG24,FJ24),IF(FK24="",NETWORKDAYS(BH24,FJ24),NETWORKDAYS(BH24,FK24)))</f>
        <v/>
      </c>
      <c r="FW24" s="58" t="inlineStr">
        <is>
          <t>Execution Only</t>
        </is>
      </c>
    </row>
    <row r="25" outlineLevel="1">
      <c r="A25" s="23" t="n"/>
      <c r="B25" s="23" t="n">
        <v>107142</v>
      </c>
      <c r="C25" s="24" t="inlineStr">
        <is>
          <t>019-07274-0000</t>
        </is>
      </c>
      <c r="D25" s="95" t="n"/>
      <c r="E25" s="24" t="n"/>
      <c r="F25" s="25" t="inlineStr">
        <is>
          <t>Durations in WD</t>
        </is>
      </c>
      <c r="G25" s="26" t="n"/>
      <c r="H25" s="26" t="n"/>
      <c r="I25" s="27" t="n"/>
      <c r="J25" s="27" t="n"/>
      <c r="K25" s="27" t="n"/>
      <c r="L25" s="27" t="n"/>
      <c r="M25" s="4" t="n">
        <v>27</v>
      </c>
      <c r="N25" s="4" t="n">
        <v>27</v>
      </c>
      <c r="O25" s="27" t="n"/>
      <c r="P25" s="4" t="n">
        <v>0</v>
      </c>
      <c r="Q25" s="4" t="n">
        <v>0</v>
      </c>
      <c r="R25" s="27" t="n"/>
      <c r="S25" s="27" t="n"/>
      <c r="T25" s="27" t="n"/>
      <c r="U25" s="27" t="n"/>
      <c r="V25" s="4" t="n">
        <v>30</v>
      </c>
      <c r="W25" s="4" t="n">
        <v>30</v>
      </c>
      <c r="X25" s="27" t="n"/>
      <c r="Y25" s="4" t="n">
        <v>70</v>
      </c>
      <c r="Z25" s="4" t="n">
        <v>70</v>
      </c>
      <c r="AA25" s="27" t="n"/>
      <c r="AB25" s="4" t="n">
        <v>0</v>
      </c>
      <c r="AC25" s="4" t="n">
        <v>0</v>
      </c>
      <c r="AD25" s="27" t="n"/>
      <c r="AE25" s="4" t="n">
        <v>75</v>
      </c>
      <c r="AF25" s="4" t="n">
        <v>75</v>
      </c>
      <c r="AG25" s="27" t="n"/>
      <c r="AH25" s="4" t="n">
        <v>5</v>
      </c>
      <c r="AI25" s="4" t="n">
        <v>5</v>
      </c>
      <c r="AJ25" s="27" t="n"/>
      <c r="AK25" s="4" t="n">
        <v>20</v>
      </c>
      <c r="AL25" s="4" t="n">
        <v>20</v>
      </c>
      <c r="AM25" s="27" t="n"/>
      <c r="AN25" s="4" t="n">
        <v>0</v>
      </c>
      <c r="AO25" s="4" t="n">
        <v>0</v>
      </c>
      <c r="AP25" s="27" t="n"/>
      <c r="AQ25" s="4" t="n">
        <v>20</v>
      </c>
      <c r="AR25" s="4" t="n">
        <v>20</v>
      </c>
      <c r="AS25" s="27" t="n"/>
      <c r="AT25" s="4" t="n">
        <v>5</v>
      </c>
      <c r="AU25" s="4" t="n">
        <v>5</v>
      </c>
      <c r="AV25" s="27" t="n"/>
      <c r="AW25" s="4" t="n">
        <v>10</v>
      </c>
      <c r="AX25" s="4" t="n">
        <v>10</v>
      </c>
      <c r="AY25" s="27" t="n"/>
      <c r="AZ25" s="4" t="n">
        <v>30</v>
      </c>
      <c r="BA25" s="4" t="n">
        <v>30</v>
      </c>
      <c r="BB25" s="27" t="n"/>
      <c r="BC25" s="4" t="n">
        <v>5</v>
      </c>
      <c r="BD25" s="4" t="n">
        <v>5</v>
      </c>
      <c r="BE25" s="27" t="n"/>
      <c r="BF25" s="4" t="n">
        <v>5</v>
      </c>
      <c r="BG25" s="4" t="n">
        <v>5</v>
      </c>
      <c r="BH25" s="27" t="n"/>
      <c r="BI25" s="4" t="n">
        <v>5</v>
      </c>
      <c r="BJ25" s="4" t="n">
        <v>5</v>
      </c>
      <c r="BK25" s="27" t="n"/>
      <c r="BL25" s="27" t="n"/>
      <c r="BM25" s="27" t="n"/>
      <c r="BN25" s="27" t="n"/>
      <c r="BO25" s="27" t="n"/>
      <c r="BP25" s="27" t="n"/>
      <c r="BQ25" s="27" t="n"/>
      <c r="BR25" s="27" t="n"/>
      <c r="BS25" s="27" t="n"/>
      <c r="BT25" s="27" t="n"/>
      <c r="BU25" s="27" t="n"/>
      <c r="BV25" s="27" t="n"/>
      <c r="BW25" s="27" t="n"/>
      <c r="BX25" s="27" t="n"/>
      <c r="BY25" s="27" t="n"/>
      <c r="BZ25" s="27" t="n"/>
      <c r="CA25" s="27" t="n"/>
      <c r="CB25" s="27" t="n"/>
      <c r="CC25" s="27" t="n"/>
      <c r="CD25" s="27" t="n"/>
      <c r="CE25" s="27" t="n"/>
      <c r="CF25" s="27" t="n"/>
      <c r="CG25" s="27" t="n"/>
      <c r="CH25" s="27" t="n"/>
      <c r="CI25" s="27" t="n"/>
      <c r="CJ25" s="27" t="n"/>
      <c r="CK25" s="27" t="n"/>
      <c r="CL25" s="27" t="n"/>
      <c r="CM25" s="4" t="n">
        <v>3</v>
      </c>
      <c r="CN25" s="4" t="n">
        <v>3</v>
      </c>
      <c r="CO25" s="27" t="n"/>
      <c r="CP25" s="4" t="n">
        <v>5</v>
      </c>
      <c r="CQ25" s="4" t="n">
        <v>5</v>
      </c>
      <c r="CR25" s="27" t="n"/>
      <c r="CS25" s="27" t="n"/>
      <c r="CT25" s="5" t="n">
        <v>120</v>
      </c>
      <c r="CU25" s="5" t="n">
        <v>120</v>
      </c>
      <c r="CV25" s="27" t="n"/>
      <c r="CW25" s="5" t="n">
        <v>10</v>
      </c>
      <c r="CX25" s="5" t="n">
        <v>10</v>
      </c>
      <c r="CY25" s="27" t="n"/>
      <c r="CZ25" s="5" t="n">
        <v>0</v>
      </c>
      <c r="DA25" s="5" t="n">
        <v>0</v>
      </c>
      <c r="DB25" s="27" t="n"/>
      <c r="DC25" s="31" t="n"/>
      <c r="DD25" s="31" t="n"/>
      <c r="DE25" s="31" t="n"/>
      <c r="DF25" s="4" t="n">
        <v>20</v>
      </c>
      <c r="DG25" s="4" t="n">
        <v>20</v>
      </c>
      <c r="DH25" s="27" t="n"/>
      <c r="DI25" s="89" t="n">
        <v>1</v>
      </c>
      <c r="DJ25" s="4" t="n">
        <v>20</v>
      </c>
      <c r="DK25" s="4" t="n">
        <v>20</v>
      </c>
      <c r="DL25" s="27" t="n"/>
      <c r="DM25" s="27" t="n"/>
      <c r="DN25" s="27" t="n"/>
      <c r="DO25" s="27" t="n"/>
      <c r="DP25" s="27" t="n"/>
      <c r="DQ25" s="27" t="n"/>
      <c r="DR25" s="27" t="n"/>
      <c r="DS25" s="27" t="n"/>
      <c r="DT25" s="27" t="n"/>
      <c r="DU25" s="27" t="n"/>
      <c r="DV25" s="27" t="n"/>
      <c r="DW25" s="27" t="n"/>
      <c r="DX25" s="27" t="n"/>
      <c r="DY25" s="27" t="n"/>
      <c r="DZ25" s="27" t="n"/>
      <c r="EA25" s="27" t="n"/>
      <c r="EB25" s="27" t="n"/>
      <c r="EC25" s="27" t="n"/>
      <c r="ED25" s="27" t="n"/>
      <c r="EE25" s="4" t="n">
        <v>0</v>
      </c>
      <c r="EF25" s="4" t="n">
        <v>0</v>
      </c>
      <c r="EG25" s="27" t="n"/>
      <c r="EH25" s="4" t="n">
        <v>30</v>
      </c>
      <c r="EI25" s="4" t="n">
        <v>30</v>
      </c>
      <c r="EJ25" s="27" t="n"/>
      <c r="EK25" s="27" t="n"/>
      <c r="EL25" s="27" t="n"/>
      <c r="EM25" s="27" t="n"/>
      <c r="EN25" s="27" t="n"/>
      <c r="EO25" s="27" t="n"/>
      <c r="EP25" s="27" t="n"/>
      <c r="EQ25" s="27" t="n"/>
      <c r="ER25" s="27" t="n"/>
      <c r="ES25" s="27" t="n"/>
      <c r="ET25" s="27" t="n"/>
      <c r="EU25" s="27" t="n"/>
      <c r="EV25" s="27" t="n"/>
      <c r="EW25" s="27" t="n"/>
      <c r="EX25" s="27" t="n"/>
      <c r="EY25" s="27" t="n"/>
      <c r="EZ25" s="4" t="n">
        <v>5</v>
      </c>
      <c r="FA25" s="4" t="n">
        <v>5</v>
      </c>
      <c r="FB25" s="27" t="n"/>
      <c r="FC25" s="27" t="n"/>
      <c r="FD25" s="27" t="n"/>
      <c r="FE25" s="27" t="n"/>
      <c r="FF25" s="27" t="n"/>
      <c r="FG25" s="27" t="n"/>
      <c r="FH25" s="27" t="n"/>
      <c r="FI25" s="4" t="n">
        <v>15</v>
      </c>
      <c r="FJ25" s="4" t="n">
        <v>15</v>
      </c>
      <c r="FK25" s="27" t="n"/>
      <c r="FL25" s="4" t="n">
        <v>0</v>
      </c>
      <c r="FM25" s="4" t="n">
        <v>0</v>
      </c>
      <c r="FN25" s="27" t="n"/>
      <c r="FO25" s="4" t="n">
        <v>40</v>
      </c>
      <c r="FP25" s="4" t="n">
        <v>40</v>
      </c>
      <c r="FQ25" s="27" t="n"/>
      <c r="FR25" s="27" t="n"/>
      <c r="FS25" s="109" t="n"/>
      <c r="FT25" s="54">
        <f>NETWORKDAYS($I26,FO26)</f>
        <v/>
      </c>
      <c r="FU25" s="54">
        <f>NETWORKDAYS($I26,FP26)</f>
        <v/>
      </c>
      <c r="FV25" s="54">
        <f>IF(FQ26="",NETWORKDAYS($I26,FP26),NETWORKDAYS($I26,FQ26))</f>
        <v/>
      </c>
      <c r="FW25" s="55" t="inlineStr">
        <is>
          <t>Total Project</t>
        </is>
      </c>
    </row>
    <row r="26">
      <c r="A26" s="23" t="inlineStr">
        <is>
          <t>Advanced Manufacturing</t>
        </is>
      </c>
      <c r="B26" s="23" t="n">
        <v>107142</v>
      </c>
      <c r="C26" s="24" t="inlineStr">
        <is>
          <t>019-07274-0000</t>
        </is>
      </c>
      <c r="D26" s="65" t="n"/>
      <c r="E26" s="23">
        <f>IF(D26="","Unknown",IF(D26&lt;=FM26+90,"Red",IF(AND(D26&gt;FM26+90,D26&lt;=FM26+180),"Yellow",IF(AND(D26&gt;FM26+180,D26&lt;=FM26+690),"Green","Covered"))))</f>
        <v/>
      </c>
      <c r="F26" s="25" t="inlineStr">
        <is>
          <t>BTP FAIR Only Part Number</t>
        </is>
      </c>
      <c r="G26" s="26" t="n"/>
      <c r="H26" s="26">
        <f>IF(CR26="","Pre-Execution","Execution")</f>
        <v/>
      </c>
      <c r="I26" s="13" t="n">
        <v>45814</v>
      </c>
      <c r="J26" s="28" t="n"/>
      <c r="K26" s="28" t="n"/>
      <c r="L26" s="28" t="n"/>
      <c r="M26" s="10" t="n">
        <v>45853</v>
      </c>
      <c r="N26" s="10">
        <f>WORKDAY(I26,N25)</f>
        <v/>
      </c>
      <c r="O26" s="56">
        <f>M26</f>
        <v/>
      </c>
      <c r="P26" s="10" t="n">
        <v>45853</v>
      </c>
      <c r="Q26" s="10">
        <f>IF(O26="",WORKDAY(N26,Q25),WORKDAY(O26,Q25))</f>
        <v/>
      </c>
      <c r="R26" s="56">
        <f>P26</f>
        <v/>
      </c>
      <c r="S26" s="28" t="n"/>
      <c r="T26" s="28" t="n"/>
      <c r="U26" s="28" t="n"/>
      <c r="V26" s="10" t="n">
        <v>45895</v>
      </c>
      <c r="W26" s="10">
        <f>IF(R26="",WORKDAY(Q26,W25),WORKDAY(R26,W25))</f>
        <v/>
      </c>
      <c r="X26" s="56" t="n"/>
      <c r="Y26" s="10" t="n">
        <v>45951</v>
      </c>
      <c r="Z26" s="10">
        <f>IF(R26="",WORKDAY(Q26,Z25),WORKDAY(R26,Z25))</f>
        <v/>
      </c>
      <c r="AA26" s="56" t="n"/>
      <c r="AB26" s="10" t="n">
        <v>45814</v>
      </c>
      <c r="AC26" s="10">
        <f>WORKDAY(I26,AC25)</f>
        <v/>
      </c>
      <c r="AD26" s="56" t="n"/>
      <c r="AE26" s="10" t="n">
        <v>45919</v>
      </c>
      <c r="AF26" s="10">
        <f>IF(AD26="",WORKDAY(AC26,AF25),WORKDAY(AD26,AF25))</f>
        <v/>
      </c>
      <c r="AG26" s="56" t="n"/>
      <c r="AH26" s="10" t="n">
        <v>45958</v>
      </c>
      <c r="AI26" s="10">
        <f>WORKDAY(IF(AA26="",IF(Z26&gt;AF26,Z26,AF26),IF(AA26&gt;AG26,AA26,AG26)),AI25)</f>
        <v/>
      </c>
      <c r="AJ26" s="56">
        <f>AH26</f>
        <v/>
      </c>
      <c r="AK26" s="10" t="n">
        <v>45986</v>
      </c>
      <c r="AL26" s="10">
        <f>IF(AJ26="",WORKDAY(AI26,AL25),WORKDAY(AJ26,AL25))</f>
        <v/>
      </c>
      <c r="AM26" s="56" t="n"/>
      <c r="AN26" s="10" t="n">
        <v>45986</v>
      </c>
      <c r="AO26" s="10">
        <f>IF(AM26="",WORKDAY(AL26,AO25),WORKDAY(AM26,AO25))</f>
        <v/>
      </c>
      <c r="AP26" s="56" t="n"/>
      <c r="AQ26" s="10" t="n">
        <v>46014</v>
      </c>
      <c r="AR26" s="10">
        <f>IF(AP26="",WORKDAY(AO26,AR25),WORKDAY(AP26,AR25))</f>
        <v/>
      </c>
      <c r="AS26" s="10">
        <f>AQ26</f>
        <v/>
      </c>
      <c r="AT26" s="10" t="n">
        <v>45993</v>
      </c>
      <c r="AU26" s="10" t="n">
        <v>45993</v>
      </c>
      <c r="AV26" s="10" t="n">
        <v>45993</v>
      </c>
      <c r="AW26" s="10" t="n">
        <v>46028</v>
      </c>
      <c r="AX26" s="10">
        <f>IF(AS26="",IF(AR26&gt;AU26,WORKDAY(AR26,AX25),WORKDAY(AU26,AX25)),IF(AS26&gt;AV26,WORKDAY(AS26,AX25),WORKDAY(AV26,AX25)))</f>
        <v/>
      </c>
      <c r="AY26" s="10" t="n">
        <v>46028</v>
      </c>
      <c r="AZ26" s="10" t="n">
        <v>46028</v>
      </c>
      <c r="BA26" s="10">
        <f>IF(AP26="",WORKDAY(AO26,BA25),WORKDAY(AP26,BA25))</f>
        <v/>
      </c>
      <c r="BB26" s="10" t="n">
        <v>46028</v>
      </c>
      <c r="BC26" s="10" t="n">
        <v>46035</v>
      </c>
      <c r="BD26" s="10">
        <f>IF(AY26="",IF(AX26&gt;BA26,WORKDAY(AX26,BD25),WORKDAY(BA26,BD25)),IF(AY26&gt;BB26,WORKDAY(AY26,BD25),WORKDAY(BB26,BD25)))</f>
        <v/>
      </c>
      <c r="BE26" s="10">
        <f>IF(AZ26="",IF(AY26&gt;BB26,WORKDAY(AY26,BE25),WORKDAY(BB26,BE25)),IF(AZ26&gt;BC26,WORKDAY(AZ26,BE25),WORKDAY(BC26,BE25)))</f>
        <v/>
      </c>
      <c r="BF26" s="10" t="n">
        <v>46042</v>
      </c>
      <c r="BG26" s="10">
        <f>IF(BE26="",WORKDAY(BD26,BG25),WORKDAY(BE26,BG25))</f>
        <v/>
      </c>
      <c r="BH26" s="56">
        <f>BF26</f>
        <v/>
      </c>
      <c r="BI26" s="10" t="n">
        <v>46049</v>
      </c>
      <c r="BJ26" s="10">
        <f>IF(BH26="",WORKDAY(BG26,BJ25),WORKDAY(BH26,BJ25))</f>
        <v/>
      </c>
      <c r="BK26" s="56">
        <f>BI26</f>
        <v/>
      </c>
      <c r="BL26" s="28" t="n"/>
      <c r="BM26" s="28" t="n"/>
      <c r="BN26" s="28" t="n"/>
      <c r="BO26" s="28" t="n"/>
      <c r="BP26" s="28" t="n"/>
      <c r="BQ26" s="28" t="n"/>
      <c r="BR26" s="28" t="n"/>
      <c r="BS26" s="28" t="n"/>
      <c r="BT26" s="28" t="n"/>
      <c r="BU26" s="28" t="n"/>
      <c r="BV26" s="28" t="n"/>
      <c r="BW26" s="28" t="n"/>
      <c r="BX26" s="46" t="n"/>
      <c r="BY26" s="28" t="n"/>
      <c r="BZ26" s="28" t="n"/>
      <c r="CA26" s="28" t="n"/>
      <c r="CB26" s="28" t="n"/>
      <c r="CC26" s="28" t="n"/>
      <c r="CD26" s="28" t="n"/>
      <c r="CE26" s="28" t="n"/>
      <c r="CF26" s="28" t="n"/>
      <c r="CG26" s="28" t="n"/>
      <c r="CH26" s="28" t="n"/>
      <c r="CI26" s="28" t="n"/>
      <c r="CJ26" s="28" t="n"/>
      <c r="CK26" s="28" t="n"/>
      <c r="CL26" s="28" t="n"/>
      <c r="CM26" s="10" t="n">
        <v>46052</v>
      </c>
      <c r="CN26" s="10">
        <f>IF(BK26="",WORKDAY(BJ26,CN25),WORKDAY(BK26,CN25))</f>
        <v/>
      </c>
      <c r="CO26" s="56">
        <f>CM26</f>
        <v/>
      </c>
      <c r="CP26" s="10" t="n">
        <v>46059</v>
      </c>
      <c r="CQ26" s="10">
        <f>IF(CO26="",WORKDAY(CN26,CQ25),WORKDAY(CO26,CQ25))</f>
        <v/>
      </c>
      <c r="CR26" s="56">
        <f>CP26</f>
        <v/>
      </c>
      <c r="CS26" s="77" t="inlineStr">
        <is>
          <t>Execution schedule has been re-baselined w/ FAIR PO Ack ACD. Validate your durations before publishing</t>
        </is>
      </c>
      <c r="CT26" s="10" t="n">
        <v>46227</v>
      </c>
      <c r="CU26" s="10">
        <f>IF(CR26="",WORKDAY(CQ26,CU25),WORKDAY(CR26,CU25))</f>
        <v/>
      </c>
      <c r="CV26" s="56">
        <f>CT26</f>
        <v/>
      </c>
      <c r="CW26" s="10" t="n">
        <v>46042</v>
      </c>
      <c r="CX26" s="10">
        <f>IF(BB26="",WORKDAY(BA26,CX25),WORKDAY(BB26,CX25))</f>
        <v/>
      </c>
      <c r="CY26" s="56">
        <f>CW26</f>
        <v/>
      </c>
      <c r="CZ26" s="10" t="n">
        <v>46042</v>
      </c>
      <c r="DA26" s="10">
        <f>IF(CY26="",WORKDAY(CX26,DA25),WORKDAY(CY26,DA25))</f>
        <v/>
      </c>
      <c r="DB26" s="56">
        <f>CZ26</f>
        <v/>
      </c>
      <c r="DC26" s="45" t="n"/>
      <c r="DD26" s="45" t="n"/>
      <c r="DE26" s="45" t="n"/>
      <c r="DF26" s="10" t="n">
        <v>46255</v>
      </c>
      <c r="DG26" s="10">
        <f>IF($CV26="",IF($CU26&gt;$DA26,WORKDAY($CU26,DG25),WORKDAY($DA26,DG25)),IF($CV26&gt;$DB26,WORKDAY($CV26,DG25),WORKDAY($DB26,DG25)))</f>
        <v/>
      </c>
      <c r="DH26" s="56" t="n"/>
      <c r="DI26" s="46" t="n"/>
      <c r="DJ26" s="10" t="n">
        <v>46283</v>
      </c>
      <c r="DK26" s="10">
        <f>IF(DH26="",WORKDAY(DG26,DK25*$DI25),WORKDAY(DH26,DK25*$DI25))</f>
        <v/>
      </c>
      <c r="DL26" s="56" t="n"/>
      <c r="DM26" s="46" t="n"/>
      <c r="DN26" s="46" t="n"/>
      <c r="DO26" s="46" t="n"/>
      <c r="DP26" s="46" t="n"/>
      <c r="DQ26" s="46" t="n"/>
      <c r="DR26" s="46" t="n"/>
      <c r="DS26" s="46" t="n"/>
      <c r="DT26" s="46" t="n"/>
      <c r="DU26" s="46" t="n"/>
      <c r="DV26" s="46" t="n"/>
      <c r="DW26" s="46" t="n"/>
      <c r="DX26" s="46" t="n"/>
      <c r="DY26" s="46" t="n"/>
      <c r="DZ26" s="46" t="n"/>
      <c r="EA26" s="46" t="n"/>
      <c r="EB26" s="46" t="n"/>
      <c r="EC26" s="46" t="n"/>
      <c r="ED26" s="46" t="n"/>
      <c r="EE26" s="10" t="n">
        <v>46283</v>
      </c>
      <c r="EF26" s="10">
        <f>IF(DL26="",WORKDAY(DK26,EF25),WORKDAY(DL26,EF25))</f>
        <v/>
      </c>
      <c r="EG26" s="56" t="n"/>
      <c r="EH26" s="10" t="n">
        <v>46084</v>
      </c>
      <c r="EI26" s="10">
        <f>IF(BH26="",WORKDAY(BG26,EI25),WORKDAY(BH26,EI25))</f>
        <v/>
      </c>
      <c r="EJ26" s="56" t="n"/>
      <c r="EK26" s="27" t="n"/>
      <c r="EL26" s="27" t="n"/>
      <c r="EM26" s="27" t="n"/>
      <c r="EN26" s="27" t="n"/>
      <c r="EO26" s="28" t="n"/>
      <c r="EP26" s="28" t="n"/>
      <c r="EQ26" s="28" t="n"/>
      <c r="ER26" s="28" t="n"/>
      <c r="ES26" s="28" t="n"/>
      <c r="ET26" s="28" t="n"/>
      <c r="EU26" s="28" t="n"/>
      <c r="EV26" s="28" t="n"/>
      <c r="EW26" s="28" t="n"/>
      <c r="EX26" s="28" t="n"/>
      <c r="EY26" s="28" t="n"/>
      <c r="EZ26" s="10" t="n">
        <v>46290</v>
      </c>
      <c r="FA26" s="10">
        <f>IF(EG26="",WORKDAY(EF26,FA25),WORKDAY(EG26,FA25))</f>
        <v/>
      </c>
      <c r="FB26" s="56" t="n"/>
      <c r="FC26" s="28" t="n"/>
      <c r="FD26" s="28" t="n"/>
      <c r="FE26" s="28" t="n"/>
      <c r="FF26" s="28" t="n"/>
      <c r="FG26" s="28" t="n"/>
      <c r="FH26" s="28" t="n"/>
      <c r="FI26" s="10" t="n">
        <v>46311</v>
      </c>
      <c r="FJ26" s="10">
        <f>IF(FB26="",WORKDAY(FA26,FJ25),WORKDAY(FB26,FJ25))</f>
        <v/>
      </c>
      <c r="FK26" s="56" t="n"/>
      <c r="FL26" s="10" t="n">
        <v>46311</v>
      </c>
      <c r="FM26" s="10">
        <f>IF(FK26="",WORKDAY(FJ26,FM25),WORKDAY(FK26,FM25))</f>
        <v/>
      </c>
      <c r="FN26" s="56" t="n"/>
      <c r="FO26" s="10" t="n">
        <v>46367</v>
      </c>
      <c r="FP26" s="10">
        <f>WORKDAY(FM26,FP25)</f>
        <v/>
      </c>
      <c r="FQ26" s="10" t="n"/>
      <c r="FR26" s="77">
        <f>IF(NETWORKDAYS(FJ26,FO26)&gt;=30,"On-Track",IF(AND(NETWORKDAYS(FJ26,FO26)&lt;30,FJ26&lt;=FO26),"At Risk","Missed TCD"))</f>
        <v/>
      </c>
      <c r="FS26" s="110" t="inlineStr">
        <is>
          <t>Execution Baseline Locked</t>
        </is>
      </c>
      <c r="FT26" s="57">
        <f>NETWORKDAYS(CP26,FI26)</f>
        <v/>
      </c>
      <c r="FU26" s="57">
        <f>NETWORKDAYS(CQ26,FJ26)</f>
        <v/>
      </c>
      <c r="FV26" s="57">
        <f>IF(BH26="",NETWORKDAYS(BG26,FJ26),IF(FK26="",NETWORKDAYS(BH26,FJ26),NETWORKDAYS(BH26,FK26)))</f>
        <v/>
      </c>
      <c r="FW26" s="58" t="inlineStr">
        <is>
          <t>Execution Only</t>
        </is>
      </c>
    </row>
    <row r="27" outlineLevel="1">
      <c r="A27" s="23" t="n"/>
      <c r="B27" s="23" t="n">
        <v>107143</v>
      </c>
      <c r="C27" s="24" t="inlineStr">
        <is>
          <t>019-08286-0001</t>
        </is>
      </c>
      <c r="D27" s="95" t="n"/>
      <c r="E27" s="24" t="n"/>
      <c r="F27" s="25" t="inlineStr">
        <is>
          <t>Durations in WD</t>
        </is>
      </c>
      <c r="G27" s="26" t="n"/>
      <c r="H27" s="26" t="n"/>
      <c r="I27" s="27" t="n"/>
      <c r="J27" s="27" t="n"/>
      <c r="K27" s="27" t="n"/>
      <c r="L27" s="27" t="n"/>
      <c r="M27" s="4" t="n">
        <v>27</v>
      </c>
      <c r="N27" s="4" t="n">
        <v>27</v>
      </c>
      <c r="O27" s="27" t="n"/>
      <c r="P27" s="4" t="n">
        <v>0</v>
      </c>
      <c r="Q27" s="4" t="n">
        <v>0</v>
      </c>
      <c r="R27" s="27" t="n"/>
      <c r="S27" s="27" t="n"/>
      <c r="T27" s="27" t="n"/>
      <c r="U27" s="27" t="n"/>
      <c r="V27" s="4" t="n">
        <v>30</v>
      </c>
      <c r="W27" s="4" t="n">
        <v>30</v>
      </c>
      <c r="X27" s="27" t="n"/>
      <c r="Y27" s="4" t="n">
        <v>70</v>
      </c>
      <c r="Z27" s="4" t="n">
        <v>70</v>
      </c>
      <c r="AA27" s="27" t="n"/>
      <c r="AB27" s="4" t="n">
        <v>0</v>
      </c>
      <c r="AC27" s="4" t="n">
        <v>0</v>
      </c>
      <c r="AD27" s="27" t="n"/>
      <c r="AE27" s="4" t="n">
        <v>75</v>
      </c>
      <c r="AF27" s="4" t="n">
        <v>75</v>
      </c>
      <c r="AG27" s="27" t="n"/>
      <c r="AH27" s="4" t="n">
        <v>5</v>
      </c>
      <c r="AI27" s="4" t="n">
        <v>5</v>
      </c>
      <c r="AJ27" s="27" t="n"/>
      <c r="AK27" s="4" t="n">
        <v>20</v>
      </c>
      <c r="AL27" s="4" t="n">
        <v>20</v>
      </c>
      <c r="AM27" s="27" t="n"/>
      <c r="AN27" s="4" t="n">
        <v>0</v>
      </c>
      <c r="AO27" s="4" t="n">
        <v>0</v>
      </c>
      <c r="AP27" s="27" t="n"/>
      <c r="AQ27" s="4" t="n">
        <v>20</v>
      </c>
      <c r="AR27" s="4" t="n">
        <v>20</v>
      </c>
      <c r="AS27" s="27" t="n"/>
      <c r="AT27" s="4" t="n">
        <v>5</v>
      </c>
      <c r="AU27" s="4" t="n">
        <v>5</v>
      </c>
      <c r="AV27" s="27" t="n"/>
      <c r="AW27" s="4" t="n">
        <v>10</v>
      </c>
      <c r="AX27" s="4" t="n">
        <v>10</v>
      </c>
      <c r="AY27" s="27" t="n"/>
      <c r="AZ27" s="4" t="n">
        <v>30</v>
      </c>
      <c r="BA27" s="4" t="n">
        <v>30</v>
      </c>
      <c r="BB27" s="27" t="n"/>
      <c r="BC27" s="4" t="n">
        <v>5</v>
      </c>
      <c r="BD27" s="4" t="n">
        <v>5</v>
      </c>
      <c r="BE27" s="27" t="n"/>
      <c r="BF27" s="4" t="n">
        <v>5</v>
      </c>
      <c r="BG27" s="4" t="n">
        <v>5</v>
      </c>
      <c r="BH27" s="27" t="n"/>
      <c r="BI27" s="4" t="n">
        <v>5</v>
      </c>
      <c r="BJ27" s="4" t="n">
        <v>5</v>
      </c>
      <c r="BK27" s="27" t="n"/>
      <c r="BL27" s="27" t="n"/>
      <c r="BM27" s="27" t="n"/>
      <c r="BN27" s="27" t="n"/>
      <c r="BO27" s="27" t="n"/>
      <c r="BP27" s="27" t="n"/>
      <c r="BQ27" s="27" t="n"/>
      <c r="BR27" s="27" t="n"/>
      <c r="BS27" s="27" t="n"/>
      <c r="BT27" s="27" t="n"/>
      <c r="BU27" s="27" t="n"/>
      <c r="BV27" s="27" t="n"/>
      <c r="BW27" s="27" t="n"/>
      <c r="BX27" s="27" t="n"/>
      <c r="BY27" s="27" t="n"/>
      <c r="BZ27" s="27" t="n"/>
      <c r="CA27" s="27" t="n"/>
      <c r="CB27" s="27" t="n"/>
      <c r="CC27" s="27" t="n"/>
      <c r="CD27" s="27" t="n"/>
      <c r="CE27" s="27" t="n"/>
      <c r="CF27" s="27" t="n"/>
      <c r="CG27" s="27" t="n"/>
      <c r="CH27" s="27" t="n"/>
      <c r="CI27" s="27" t="n"/>
      <c r="CJ27" s="27" t="n"/>
      <c r="CK27" s="27" t="n"/>
      <c r="CL27" s="27" t="n"/>
      <c r="CM27" s="4" t="n">
        <v>3</v>
      </c>
      <c r="CN27" s="4" t="n">
        <v>3</v>
      </c>
      <c r="CO27" s="27" t="n"/>
      <c r="CP27" s="4" t="n">
        <v>5</v>
      </c>
      <c r="CQ27" s="4" t="n">
        <v>5</v>
      </c>
      <c r="CR27" s="27" t="n"/>
      <c r="CS27" s="27" t="n"/>
      <c r="CT27" s="5" t="n">
        <v>120</v>
      </c>
      <c r="CU27" s="5" t="n">
        <v>120</v>
      </c>
      <c r="CV27" s="27" t="n"/>
      <c r="CW27" s="5" t="n">
        <v>10</v>
      </c>
      <c r="CX27" s="5" t="n">
        <v>10</v>
      </c>
      <c r="CY27" s="27" t="n"/>
      <c r="CZ27" s="5" t="n">
        <v>0</v>
      </c>
      <c r="DA27" s="5" t="n">
        <v>0</v>
      </c>
      <c r="DB27" s="27" t="n"/>
      <c r="DC27" s="31" t="n"/>
      <c r="DD27" s="31" t="n"/>
      <c r="DE27" s="31" t="n"/>
      <c r="DF27" s="4" t="n">
        <v>20</v>
      </c>
      <c r="DG27" s="4" t="n">
        <v>20</v>
      </c>
      <c r="DH27" s="27" t="n"/>
      <c r="DI27" s="89" t="n">
        <v>1</v>
      </c>
      <c r="DJ27" s="4" t="n">
        <v>20</v>
      </c>
      <c r="DK27" s="4" t="n">
        <v>20</v>
      </c>
      <c r="DL27" s="27" t="n"/>
      <c r="DM27" s="27" t="n"/>
      <c r="DN27" s="27" t="n"/>
      <c r="DO27" s="27" t="n"/>
      <c r="DP27" s="27" t="n"/>
      <c r="DQ27" s="27" t="n"/>
      <c r="DR27" s="27" t="n"/>
      <c r="DS27" s="27" t="n"/>
      <c r="DT27" s="27" t="n"/>
      <c r="DU27" s="27" t="n"/>
      <c r="DV27" s="27" t="n"/>
      <c r="DW27" s="27" t="n"/>
      <c r="DX27" s="27" t="n"/>
      <c r="DY27" s="27" t="n"/>
      <c r="DZ27" s="27" t="n"/>
      <c r="EA27" s="27" t="n"/>
      <c r="EB27" s="27" t="n"/>
      <c r="EC27" s="27" t="n"/>
      <c r="ED27" s="27" t="n"/>
      <c r="EE27" s="4" t="n">
        <v>0</v>
      </c>
      <c r="EF27" s="4" t="n">
        <v>0</v>
      </c>
      <c r="EG27" s="27" t="n"/>
      <c r="EH27" s="4" t="n">
        <v>30</v>
      </c>
      <c r="EI27" s="4" t="n">
        <v>30</v>
      </c>
      <c r="EJ27" s="27" t="n"/>
      <c r="EK27" s="27" t="n"/>
      <c r="EL27" s="27" t="n"/>
      <c r="EM27" s="27" t="n"/>
      <c r="EN27" s="27" t="n"/>
      <c r="EO27" s="27" t="n"/>
      <c r="EP27" s="27" t="n"/>
      <c r="EQ27" s="27" t="n"/>
      <c r="ER27" s="27" t="n"/>
      <c r="ES27" s="27" t="n"/>
      <c r="ET27" s="27" t="n"/>
      <c r="EU27" s="27" t="n"/>
      <c r="EV27" s="27" t="n"/>
      <c r="EW27" s="27" t="n"/>
      <c r="EX27" s="27" t="n"/>
      <c r="EY27" s="27" t="n"/>
      <c r="EZ27" s="4" t="n">
        <v>5</v>
      </c>
      <c r="FA27" s="4" t="n">
        <v>5</v>
      </c>
      <c r="FB27" s="27" t="n"/>
      <c r="FC27" s="27" t="n"/>
      <c r="FD27" s="27" t="n"/>
      <c r="FE27" s="27" t="n"/>
      <c r="FF27" s="27" t="n"/>
      <c r="FG27" s="27" t="n"/>
      <c r="FH27" s="27" t="n"/>
      <c r="FI27" s="4" t="n">
        <v>15</v>
      </c>
      <c r="FJ27" s="4" t="n">
        <v>15</v>
      </c>
      <c r="FK27" s="27" t="n"/>
      <c r="FL27" s="4" t="n">
        <v>0</v>
      </c>
      <c r="FM27" s="4" t="n">
        <v>0</v>
      </c>
      <c r="FN27" s="27" t="n"/>
      <c r="FO27" s="4" t="n">
        <v>40</v>
      </c>
      <c r="FP27" s="4" t="n">
        <v>40</v>
      </c>
      <c r="FQ27" s="27" t="n"/>
      <c r="FR27" s="27" t="n"/>
      <c r="FS27" s="109" t="n"/>
      <c r="FT27" s="54">
        <f>NETWORKDAYS($I28,FO28)</f>
        <v/>
      </c>
      <c r="FU27" s="54">
        <f>NETWORKDAYS($I28,FP28)</f>
        <v/>
      </c>
      <c r="FV27" s="54">
        <f>IF(FQ28="",NETWORKDAYS($I28,FP28),NETWORKDAYS($I28,FQ28))</f>
        <v/>
      </c>
      <c r="FW27" s="55" t="inlineStr">
        <is>
          <t>Total Project</t>
        </is>
      </c>
    </row>
    <row r="28">
      <c r="A28" s="23" t="inlineStr">
        <is>
          <t>Advanced Manufacturing</t>
        </is>
      </c>
      <c r="B28" s="23" t="n">
        <v>107143</v>
      </c>
      <c r="C28" s="24" t="inlineStr">
        <is>
          <t>019-08286-0001</t>
        </is>
      </c>
      <c r="D28" s="65" t="n"/>
      <c r="E28" s="23">
        <f>IF(D28="","Unknown",IF(D28&lt;=FM28+90,"Red",IF(AND(D28&gt;FM28+90,D28&lt;=FM28+180),"Yellow",IF(AND(D28&gt;FM28+180,D28&lt;=FM28+690),"Green","Covered"))))</f>
        <v/>
      </c>
      <c r="F28" s="25" t="inlineStr">
        <is>
          <t>BTP FAIR Only Part Number</t>
        </is>
      </c>
      <c r="G28" s="26" t="n"/>
      <c r="H28" s="26">
        <f>IF(CR28="","Pre-Execution","Execution")</f>
        <v/>
      </c>
      <c r="I28" s="13" t="n">
        <v>45814</v>
      </c>
      <c r="J28" s="28" t="n"/>
      <c r="K28" s="28" t="n"/>
      <c r="L28" s="28" t="n"/>
      <c r="M28" s="10" t="n">
        <v>45853</v>
      </c>
      <c r="N28" s="10">
        <f>WORKDAY(I28,N27)</f>
        <v/>
      </c>
      <c r="O28" s="56">
        <f>M28</f>
        <v/>
      </c>
      <c r="P28" s="10" t="n">
        <v>45853</v>
      </c>
      <c r="Q28" s="10">
        <f>IF(O28="",WORKDAY(N28,Q27),WORKDAY(O28,Q27))</f>
        <v/>
      </c>
      <c r="R28" s="56">
        <f>P28</f>
        <v/>
      </c>
      <c r="S28" s="28" t="n"/>
      <c r="T28" s="28" t="n"/>
      <c r="U28" s="28" t="n"/>
      <c r="V28" s="10" t="n">
        <v>45895</v>
      </c>
      <c r="W28" s="10">
        <f>IF(R28="",WORKDAY(Q28,W27),WORKDAY(R28,W27))</f>
        <v/>
      </c>
      <c r="X28" s="56" t="n"/>
      <c r="Y28" s="10" t="n">
        <v>45951</v>
      </c>
      <c r="Z28" s="10">
        <f>IF(R28="",WORKDAY(Q28,Z27),WORKDAY(R28,Z27))</f>
        <v/>
      </c>
      <c r="AA28" s="56" t="n"/>
      <c r="AB28" s="10" t="n">
        <v>45814</v>
      </c>
      <c r="AC28" s="10">
        <f>WORKDAY(I28,AC27)</f>
        <v/>
      </c>
      <c r="AD28" s="56" t="n"/>
      <c r="AE28" s="10" t="n">
        <v>45919</v>
      </c>
      <c r="AF28" s="10">
        <f>IF(AD28="",WORKDAY(AC28,AF27),WORKDAY(AD28,AF27))</f>
        <v/>
      </c>
      <c r="AG28" s="56" t="n"/>
      <c r="AH28" s="10" t="n">
        <v>45958</v>
      </c>
      <c r="AI28" s="10">
        <f>WORKDAY(IF(AA28="",IF(Z28&gt;AF28,Z28,AF28),IF(AA28&gt;AG28,AA28,AG28)),AI27)</f>
        <v/>
      </c>
      <c r="AJ28" s="56">
        <f>AH28</f>
        <v/>
      </c>
      <c r="AK28" s="10" t="n">
        <v>45986</v>
      </c>
      <c r="AL28" s="10">
        <f>IF(AJ28="",WORKDAY(AI28,AL27),WORKDAY(AJ28,AL27))</f>
        <v/>
      </c>
      <c r="AM28" s="56" t="n"/>
      <c r="AN28" s="10" t="n">
        <v>45986</v>
      </c>
      <c r="AO28" s="10">
        <f>IF(AM28="",WORKDAY(AL28,AO27),WORKDAY(AM28,AO27))</f>
        <v/>
      </c>
      <c r="AP28" s="56" t="n"/>
      <c r="AQ28" s="10" t="n">
        <v>46014</v>
      </c>
      <c r="AR28" s="10">
        <f>IF(AP28="",WORKDAY(AO28,AR27),WORKDAY(AP28,AR27))</f>
        <v/>
      </c>
      <c r="AS28" s="10">
        <f>AQ28</f>
        <v/>
      </c>
      <c r="AT28" s="10" t="n">
        <v>45993</v>
      </c>
      <c r="AU28" s="10" t="n">
        <v>45993</v>
      </c>
      <c r="AV28" s="10" t="n">
        <v>45993</v>
      </c>
      <c r="AW28" s="10" t="n">
        <v>46028</v>
      </c>
      <c r="AX28" s="10">
        <f>IF(AS28="",IF(AR28&gt;AU28,WORKDAY(AR28,AX27),WORKDAY(AU28,AX27)),IF(AS28&gt;AV28,WORKDAY(AS28,AX27),WORKDAY(AV28,AX27)))</f>
        <v/>
      </c>
      <c r="AY28" s="10" t="n">
        <v>46028</v>
      </c>
      <c r="AZ28" s="10" t="n">
        <v>46028</v>
      </c>
      <c r="BA28" s="10">
        <f>IF(AP28="",WORKDAY(AO28,BA27),WORKDAY(AP28,BA27))</f>
        <v/>
      </c>
      <c r="BB28" s="10" t="n">
        <v>46028</v>
      </c>
      <c r="BC28" s="10" t="n">
        <v>46035</v>
      </c>
      <c r="BD28" s="10">
        <f>IF(AY28="",IF(AX28&gt;BA28,WORKDAY(AX28,BD27),WORKDAY(BA28,BD27)),IF(AY28&gt;BB28,WORKDAY(AY28,BD27),WORKDAY(BB28,BD27)))</f>
        <v/>
      </c>
      <c r="BE28" s="10">
        <f>IF(AZ28="",IF(AY28&gt;BB28,WORKDAY(AY28,BE27),WORKDAY(BB28,BE27)),IF(AZ28&gt;BC28,WORKDAY(AZ28,BE27),WORKDAY(BC28,BE27)))</f>
        <v/>
      </c>
      <c r="BF28" s="10" t="n">
        <v>46042</v>
      </c>
      <c r="BG28" s="10">
        <f>IF(BE28="",WORKDAY(BD28,BG27),WORKDAY(BE28,BG27))</f>
        <v/>
      </c>
      <c r="BH28" s="56">
        <f>BF28</f>
        <v/>
      </c>
      <c r="BI28" s="10" t="n">
        <v>46049</v>
      </c>
      <c r="BJ28" s="10">
        <f>IF(BH28="",WORKDAY(BG28,BJ27),WORKDAY(BH28,BJ27))</f>
        <v/>
      </c>
      <c r="BK28" s="56">
        <f>BI28</f>
        <v/>
      </c>
      <c r="BL28" s="28" t="n"/>
      <c r="BM28" s="28" t="n"/>
      <c r="BN28" s="28" t="n"/>
      <c r="BO28" s="28" t="n"/>
      <c r="BP28" s="28" t="n"/>
      <c r="BQ28" s="28" t="n"/>
      <c r="BR28" s="28" t="n"/>
      <c r="BS28" s="28" t="n"/>
      <c r="BT28" s="28" t="n"/>
      <c r="BU28" s="28" t="n"/>
      <c r="BV28" s="28" t="n"/>
      <c r="BW28" s="28" t="n"/>
      <c r="BX28" s="46" t="n"/>
      <c r="BY28" s="28" t="n"/>
      <c r="BZ28" s="28" t="n"/>
      <c r="CA28" s="28" t="n"/>
      <c r="CB28" s="28" t="n"/>
      <c r="CC28" s="28" t="n"/>
      <c r="CD28" s="28" t="n"/>
      <c r="CE28" s="28" t="n"/>
      <c r="CF28" s="28" t="n"/>
      <c r="CG28" s="28" t="n"/>
      <c r="CH28" s="28" t="n"/>
      <c r="CI28" s="28" t="n"/>
      <c r="CJ28" s="28" t="n"/>
      <c r="CK28" s="28" t="n"/>
      <c r="CL28" s="28" t="n"/>
      <c r="CM28" s="10" t="n">
        <v>46052</v>
      </c>
      <c r="CN28" s="10">
        <f>IF(BK28="",WORKDAY(BJ28,CN27),WORKDAY(BK28,CN27))</f>
        <v/>
      </c>
      <c r="CO28" s="56">
        <f>CM28</f>
        <v/>
      </c>
      <c r="CP28" s="10" t="n">
        <v>46059</v>
      </c>
      <c r="CQ28" s="10">
        <f>IF(CO28="",WORKDAY(CN28,CQ27),WORKDAY(CO28,CQ27))</f>
        <v/>
      </c>
      <c r="CR28" s="56">
        <f>CP28</f>
        <v/>
      </c>
      <c r="CS28" s="77" t="inlineStr">
        <is>
          <t>Execution schedule has been re-baselined w/ FAIR PO Ack ACD. Validate your durations before publishing</t>
        </is>
      </c>
      <c r="CT28" s="10" t="n">
        <v>46227</v>
      </c>
      <c r="CU28" s="10">
        <f>IF(CR28="",WORKDAY(CQ28,CU27),WORKDAY(CR28,CU27))</f>
        <v/>
      </c>
      <c r="CV28" s="56">
        <f>CT28</f>
        <v/>
      </c>
      <c r="CW28" s="10" t="n">
        <v>46042</v>
      </c>
      <c r="CX28" s="10">
        <f>IF(BB28="",WORKDAY(BA28,CX27),WORKDAY(BB28,CX27))</f>
        <v/>
      </c>
      <c r="CY28" s="56">
        <f>CW28</f>
        <v/>
      </c>
      <c r="CZ28" s="10" t="n">
        <v>46042</v>
      </c>
      <c r="DA28" s="10">
        <f>IF(CY28="",WORKDAY(CX28,DA27),WORKDAY(CY28,DA27))</f>
        <v/>
      </c>
      <c r="DB28" s="56">
        <f>CZ28</f>
        <v/>
      </c>
      <c r="DC28" s="45" t="n"/>
      <c r="DD28" s="45" t="n"/>
      <c r="DE28" s="45" t="n"/>
      <c r="DF28" s="10" t="n">
        <v>46255</v>
      </c>
      <c r="DG28" s="10">
        <f>IF($CV28="",IF($CU28&gt;$DA28,WORKDAY($CU28,DG27),WORKDAY($DA28,DG27)),IF($CV28&gt;$DB28,WORKDAY($CV28,DG27),WORKDAY($DB28,DG27)))</f>
        <v/>
      </c>
      <c r="DH28" s="56" t="n"/>
      <c r="DI28" s="46" t="n"/>
      <c r="DJ28" s="10" t="n">
        <v>46283</v>
      </c>
      <c r="DK28" s="10">
        <f>IF(DH28="",WORKDAY(DG28,DK27*$DI27),WORKDAY(DH28,DK27*$DI27))</f>
        <v/>
      </c>
      <c r="DL28" s="56" t="n"/>
      <c r="DM28" s="46" t="n"/>
      <c r="DN28" s="46" t="n"/>
      <c r="DO28" s="46" t="n"/>
      <c r="DP28" s="46" t="n"/>
      <c r="DQ28" s="46" t="n"/>
      <c r="DR28" s="46" t="n"/>
      <c r="DS28" s="46" t="n"/>
      <c r="DT28" s="46" t="n"/>
      <c r="DU28" s="46" t="n"/>
      <c r="DV28" s="46" t="n"/>
      <c r="DW28" s="46" t="n"/>
      <c r="DX28" s="46" t="n"/>
      <c r="DY28" s="46" t="n"/>
      <c r="DZ28" s="46" t="n"/>
      <c r="EA28" s="46" t="n"/>
      <c r="EB28" s="46" t="n"/>
      <c r="EC28" s="46" t="n"/>
      <c r="ED28" s="46" t="n"/>
      <c r="EE28" s="10" t="n">
        <v>46283</v>
      </c>
      <c r="EF28" s="10">
        <f>IF(DL28="",WORKDAY(DK28,EF27),WORKDAY(DL28,EF27))</f>
        <v/>
      </c>
      <c r="EG28" s="56" t="n"/>
      <c r="EH28" s="10" t="n">
        <v>46084</v>
      </c>
      <c r="EI28" s="10">
        <f>IF(BH28="",WORKDAY(BG28,EI27),WORKDAY(BH28,EI27))</f>
        <v/>
      </c>
      <c r="EJ28" s="56" t="n"/>
      <c r="EK28" s="27" t="n"/>
      <c r="EL28" s="27" t="n"/>
      <c r="EM28" s="27" t="n"/>
      <c r="EN28" s="27" t="n"/>
      <c r="EO28" s="28" t="n"/>
      <c r="EP28" s="28" t="n"/>
      <c r="EQ28" s="28" t="n"/>
      <c r="ER28" s="28" t="n"/>
      <c r="ES28" s="28" t="n"/>
      <c r="ET28" s="28" t="n"/>
      <c r="EU28" s="28" t="n"/>
      <c r="EV28" s="28" t="n"/>
      <c r="EW28" s="28" t="n"/>
      <c r="EX28" s="28" t="n"/>
      <c r="EY28" s="28" t="n"/>
      <c r="EZ28" s="10" t="n">
        <v>46290</v>
      </c>
      <c r="FA28" s="10">
        <f>IF(EG28="",WORKDAY(EF28,FA27),WORKDAY(EG28,FA27))</f>
        <v/>
      </c>
      <c r="FB28" s="56" t="n"/>
      <c r="FC28" s="28" t="n"/>
      <c r="FD28" s="28" t="n"/>
      <c r="FE28" s="28" t="n"/>
      <c r="FF28" s="28" t="n"/>
      <c r="FG28" s="28" t="n"/>
      <c r="FH28" s="28" t="n"/>
      <c r="FI28" s="10" t="n">
        <v>46311</v>
      </c>
      <c r="FJ28" s="10">
        <f>IF(FB28="",WORKDAY(FA28,FJ27),WORKDAY(FB28,FJ27))</f>
        <v/>
      </c>
      <c r="FK28" s="56" t="n"/>
      <c r="FL28" s="10" t="n">
        <v>46311</v>
      </c>
      <c r="FM28" s="10">
        <f>IF(FK28="",WORKDAY(FJ28,FM27),WORKDAY(FK28,FM27))</f>
        <v/>
      </c>
      <c r="FN28" s="56" t="n"/>
      <c r="FO28" s="10" t="n">
        <v>46367</v>
      </c>
      <c r="FP28" s="10">
        <f>WORKDAY(FM28,FP27)</f>
        <v/>
      </c>
      <c r="FQ28" s="10" t="n"/>
      <c r="FR28" s="77">
        <f>IF(NETWORKDAYS(FJ28,FO28)&gt;=30,"On-Track",IF(AND(NETWORKDAYS(FJ28,FO28)&lt;30,FJ28&lt;=FO28),"At Risk","Missed TCD"))</f>
        <v/>
      </c>
      <c r="FS28" s="110" t="inlineStr">
        <is>
          <t>Execution Baseline Locked</t>
        </is>
      </c>
      <c r="FT28" s="57">
        <f>NETWORKDAYS(CP28,FI28)</f>
        <v/>
      </c>
      <c r="FU28" s="57">
        <f>NETWORKDAYS(CQ28,FJ28)</f>
        <v/>
      </c>
      <c r="FV28" s="57">
        <f>IF(BH28="",NETWORKDAYS(BG28,FJ28),IF(FK28="",NETWORKDAYS(BH28,FJ28),NETWORKDAYS(BH28,FK28)))</f>
        <v/>
      </c>
      <c r="FW28" s="58" t="inlineStr">
        <is>
          <t>Execution Only</t>
        </is>
      </c>
    </row>
  </sheetData>
  <mergeCells count="70">
    <mergeCell ref="BI7:BK7"/>
    <mergeCell ref="S7:U7"/>
    <mergeCell ref="BO7:BQ7"/>
    <mergeCell ref="DC7:DE7"/>
    <mergeCell ref="EW7:EY7"/>
    <mergeCell ref="EH7:EJ7"/>
    <mergeCell ref="CZ7:DB7"/>
    <mergeCell ref="M7:O7"/>
    <mergeCell ref="ET7:EV7"/>
    <mergeCell ref="I1:CU2"/>
    <mergeCell ref="Y7:AA7"/>
    <mergeCell ref="CP7:CS7"/>
    <mergeCell ref="BC3:BH3"/>
    <mergeCell ref="DI7:DL7"/>
    <mergeCell ref="J7:L7"/>
    <mergeCell ref="P7:R7"/>
    <mergeCell ref="CA7:CC7"/>
    <mergeCell ref="AZ7:BB7"/>
    <mergeCell ref="BL7:BN7"/>
    <mergeCell ref="CT7:CV7"/>
    <mergeCell ref="DW7:DZ7"/>
    <mergeCell ref="EE7:EG7"/>
    <mergeCell ref="CM7:CO7"/>
    <mergeCell ref="DF7:DH7"/>
    <mergeCell ref="CD7:CF7"/>
    <mergeCell ref="CW7:CY7"/>
    <mergeCell ref="FF7:FH7"/>
    <mergeCell ref="EZ4:FR4"/>
    <mergeCell ref="BF4:CL4"/>
    <mergeCell ref="EQ7:ES7"/>
    <mergeCell ref="J4:BE4"/>
    <mergeCell ref="AQ3:BA3"/>
    <mergeCell ref="FI7:FK7"/>
    <mergeCell ref="V7:X7"/>
    <mergeCell ref="AB7:AD7"/>
    <mergeCell ref="CM4:EY4"/>
    <mergeCell ref="AN7:AP7"/>
    <mergeCell ref="BX7:BZ7"/>
    <mergeCell ref="J3:AA3"/>
    <mergeCell ref="EA7:ED7"/>
    <mergeCell ref="AH7:AJ7"/>
    <mergeCell ref="CJ7:CL7"/>
    <mergeCell ref="DM7:DO7"/>
    <mergeCell ref="BU7:BW7"/>
    <mergeCell ref="FC7:FE7"/>
    <mergeCell ref="FL5:FR6"/>
    <mergeCell ref="FO7:FQ7"/>
    <mergeCell ref="EN7:EP7"/>
    <mergeCell ref="G1:G2"/>
    <mergeCell ref="FT5:FW7"/>
    <mergeCell ref="A7:G7"/>
    <mergeCell ref="EZ7:FB7"/>
    <mergeCell ref="AT7:AV7"/>
    <mergeCell ref="AH3:AP3"/>
    <mergeCell ref="BF7:BH7"/>
    <mergeCell ref="AE7:AG7"/>
    <mergeCell ref="AK7:AM7"/>
    <mergeCell ref="AW7:AY7"/>
    <mergeCell ref="I5:BH6"/>
    <mergeCell ref="BI5:FK6"/>
    <mergeCell ref="CG7:CI7"/>
    <mergeCell ref="DS7:DV7"/>
    <mergeCell ref="DP7:DR7"/>
    <mergeCell ref="EK7:EM7"/>
    <mergeCell ref="AE3:AG3"/>
    <mergeCell ref="FL7:FN7"/>
    <mergeCell ref="H1:H2"/>
    <mergeCell ref="BR7:BT7"/>
    <mergeCell ref="AQ7:AS7"/>
    <mergeCell ref="BC7:BE7"/>
  </mergeCells>
  <conditionalFormatting sqref="L10 O10 R10 U10 X10 AA10 AD10 AG10 AJ10 AM10 AP10 BH10 BK10 BN10 BQ10 BT10 BW10 BZ10 CC10 CF10 CI10 CL10 CO10 CR10 CV10 CY10 DB10 DE10 DH10 DL10 DO10 DR10 DV10 DZ10:EA10 ED10 EG10 EJ10 EM10 EP10 ES10 EV10 EY10 FB10 FE10 FH10 FK10 FN10">
    <cfRule type="notContainsBlanks" priority="148" dxfId="0">
      <formula>LEN(TRIM(L10))&gt;0</formula>
    </cfRule>
    <cfRule type="notContainsBlanks" priority="138" dxfId="0">
      <formula>LEN(TRIM(L10))&gt;0</formula>
    </cfRule>
  </conditionalFormatting>
  <conditionalFormatting sqref="E1:E1048576">
    <cfRule type="cellIs" priority="143" operator="equal" dxfId="44">
      <formula>"Red"</formula>
    </cfRule>
    <cfRule type="cellIs" priority="144" operator="equal" dxfId="43">
      <formula>"Unknown"</formula>
    </cfRule>
    <cfRule type="cellIs" priority="145" operator="equal" dxfId="42">
      <formula>"Covered"</formula>
    </cfRule>
    <cfRule type="cellIs" priority="146" operator="equal" dxfId="0">
      <formula>"Green"</formula>
    </cfRule>
    <cfRule type="cellIs" priority="147" operator="equal" dxfId="36">
      <formula>"Yellow"</formula>
    </cfRule>
  </conditionalFormatting>
  <conditionalFormatting sqref="FR10:FS10">
    <cfRule type="cellIs" priority="140" operator="equal" dxfId="39">
      <formula>"Requires Re-Baseline"</formula>
    </cfRule>
    <cfRule type="cellIs" priority="141" operator="equal" dxfId="0">
      <formula>"On-Track"</formula>
    </cfRule>
    <cfRule type="cellIs" priority="142" operator="equal" dxfId="36">
      <formula>"At Risk"</formula>
    </cfRule>
    <cfRule type="cellIs" priority="130" operator="equal" dxfId="39">
      <formula>"Missed TCD"</formula>
    </cfRule>
    <cfRule type="cellIs" priority="131" operator="equal" dxfId="0">
      <formula>"On-Track"</formula>
    </cfRule>
    <cfRule type="cellIs" priority="132" operator="equal" dxfId="36">
      <formula>"At Risk"</formula>
    </cfRule>
  </conditionalFormatting>
  <conditionalFormatting sqref="CS10">
    <cfRule type="cellIs" priority="139" operator="equal" dxfId="36">
      <formula>"Execution schedule has been re-baselined w/ FAIR PO Ack ACD. Validate your durations before publishing"</formula>
    </cfRule>
    <cfRule type="cellIs" priority="129" operator="equal" dxfId="36">
      <formula>"Execution schedule has been re-baselined w/ FAIR PO Ack ACD. Validate your durations before publishing"</formula>
    </cfRule>
  </conditionalFormatting>
  <conditionalFormatting sqref="E9:E10">
    <cfRule type="cellIs" priority="133" operator="equal" dxfId="44">
      <formula>"Red"</formula>
    </cfRule>
    <cfRule type="cellIs" priority="134" operator="equal" dxfId="43">
      <formula>"Unknown"</formula>
    </cfRule>
    <cfRule type="cellIs" priority="135" operator="equal" dxfId="42">
      <formula>"Covered"</formula>
    </cfRule>
    <cfRule type="cellIs" priority="136" operator="equal" dxfId="0">
      <formula>"Green"</formula>
    </cfRule>
    <cfRule type="cellIs" priority="137" operator="equal" dxfId="36">
      <formula>"Yellow"</formula>
    </cfRule>
  </conditionalFormatting>
  <conditionalFormatting sqref="L12 U12 X12 AA12 AD12 AG12 AM12 AP12 BN12 BQ12 BT12 BW12 BZ12 CC12 CF12 CI12 CL12 DE12 DO12 DR12 DV12 DZ12:EA12 ED12 EJ12 EM12 EP12 ES12 EV12 EY12 FE12 FH12">
    <cfRule type="notContainsBlanks" priority="128" dxfId="0">
      <formula>LEN(TRIM(L12))&gt;0</formula>
    </cfRule>
  </conditionalFormatting>
  <conditionalFormatting sqref="E11:E12">
    <cfRule type="cellIs" priority="123" operator="equal" dxfId="44">
      <formula>"Red"</formula>
    </cfRule>
    <cfRule type="cellIs" priority="124" operator="equal" dxfId="43">
      <formula>"Unknown"</formula>
    </cfRule>
    <cfRule type="cellIs" priority="125" operator="equal" dxfId="42">
      <formula>"Covered"</formula>
    </cfRule>
    <cfRule type="cellIs" priority="126" operator="equal" dxfId="0">
      <formula>"Green"</formula>
    </cfRule>
    <cfRule type="cellIs" priority="127" operator="equal" dxfId="36">
      <formula>"Yellow"</formula>
    </cfRule>
  </conditionalFormatting>
  <conditionalFormatting sqref="FR12:FS12">
    <cfRule type="cellIs" priority="120" operator="equal" dxfId="39">
      <formula>"Missed TCD"</formula>
    </cfRule>
    <cfRule type="cellIs" priority="121" operator="equal" dxfId="0">
      <formula>"On-Track"</formula>
    </cfRule>
    <cfRule type="cellIs" priority="122" operator="equal" dxfId="36">
      <formula>"At Risk"</formula>
    </cfRule>
  </conditionalFormatting>
  <conditionalFormatting sqref="CS12">
    <cfRule type="cellIs" priority="119" operator="equal" dxfId="36">
      <formula>"Execution schedule has been re-baselined w/ FAIR PO Ack ACD. Validate your durations before publishing"</formula>
    </cfRule>
  </conditionalFormatting>
  <conditionalFormatting sqref="L14 U14 X14 AA14 AD14 AG14 AM14 AP14 BN14 BQ14 BT14 BW14 BZ14 CC14 CF14 CI14 CL14 DE14 DO14 DR14 DV14 DZ14:EA14 ED14 EJ14 EM14 EP14 ES14 EV14 EY14 FE14 FH14">
    <cfRule type="notContainsBlanks" priority="118" dxfId="0">
      <formula>LEN(TRIM(L14))&gt;0</formula>
    </cfRule>
  </conditionalFormatting>
  <conditionalFormatting sqref="E13:E14">
    <cfRule type="cellIs" priority="113" operator="equal" dxfId="44">
      <formula>"Red"</formula>
    </cfRule>
    <cfRule type="cellIs" priority="114" operator="equal" dxfId="43">
      <formula>"Unknown"</formula>
    </cfRule>
    <cfRule type="cellIs" priority="115" operator="equal" dxfId="42">
      <formula>"Covered"</formula>
    </cfRule>
    <cfRule type="cellIs" priority="116" operator="equal" dxfId="0">
      <formula>"Green"</formula>
    </cfRule>
    <cfRule type="cellIs" priority="117" operator="equal" dxfId="36">
      <formula>"Yellow"</formula>
    </cfRule>
  </conditionalFormatting>
  <conditionalFormatting sqref="FR14:FS14">
    <cfRule type="cellIs" priority="110" operator="equal" dxfId="39">
      <formula>"Missed TCD"</formula>
    </cfRule>
    <cfRule type="cellIs" priority="111" operator="equal" dxfId="0">
      <formula>"On-Track"</formula>
    </cfRule>
    <cfRule type="cellIs" priority="112" operator="equal" dxfId="36">
      <formula>"At Risk"</formula>
    </cfRule>
  </conditionalFormatting>
  <conditionalFormatting sqref="CS14">
    <cfRule type="cellIs" priority="109" operator="equal" dxfId="36">
      <formula>"Execution schedule has been re-baselined w/ FAIR PO Ack ACD. Validate your durations before publishing"</formula>
    </cfRule>
  </conditionalFormatting>
  <conditionalFormatting sqref="L16 U16 X16 AA16 AD16 AG16 AM16 AP16 BN16 BQ16 BT16 BW16 BZ16 CC16 CF16 CI16 CL16 DE16 DO16 DR16 DV16 DZ16:EA16 ED16 EJ16 EM16 EP16 ES16 EV16 EY16 FE16 FH16">
    <cfRule type="notContainsBlanks" priority="108" dxfId="0">
      <formula>LEN(TRIM(L16))&gt;0</formula>
    </cfRule>
  </conditionalFormatting>
  <conditionalFormatting sqref="E15:E16">
    <cfRule type="cellIs" priority="103" operator="equal" dxfId="44">
      <formula>"Red"</formula>
    </cfRule>
    <cfRule type="cellIs" priority="104" operator="equal" dxfId="43">
      <formula>"Unknown"</formula>
    </cfRule>
    <cfRule type="cellIs" priority="105" operator="equal" dxfId="42">
      <formula>"Covered"</formula>
    </cfRule>
    <cfRule type="cellIs" priority="106" operator="equal" dxfId="0">
      <formula>"Green"</formula>
    </cfRule>
    <cfRule type="cellIs" priority="107" operator="equal" dxfId="36">
      <formula>"Yellow"</formula>
    </cfRule>
  </conditionalFormatting>
  <conditionalFormatting sqref="FR16:FS16">
    <cfRule type="cellIs" priority="100" operator="equal" dxfId="39">
      <formula>"Missed TCD"</formula>
    </cfRule>
    <cfRule type="cellIs" priority="101" operator="equal" dxfId="0">
      <formula>"On-Track"</formula>
    </cfRule>
    <cfRule type="cellIs" priority="102" operator="equal" dxfId="36">
      <formula>"At Risk"</formula>
    </cfRule>
  </conditionalFormatting>
  <conditionalFormatting sqref="CS16">
    <cfRule type="cellIs" priority="99" operator="equal" dxfId="36">
      <formula>"Execution schedule has been re-baselined w/ FAIR PO Ack ACD. Validate your durations before publishing"</formula>
    </cfRule>
  </conditionalFormatting>
  <conditionalFormatting sqref="L18 U18 X18 AA18 AD18 AG18 AM18 AP18 BN18 BQ18 BT18 BW18 BZ18 CC18 CF18 CI18 CL18 DE18 DO18 DR18 DV18 DZ18:EA18 ED18 EJ18 EM18 EP18 ES18 EV18 EY18 FE18 FH18">
    <cfRule type="notContainsBlanks" priority="98" dxfId="0">
      <formula>LEN(TRIM(L18))&gt;0</formula>
    </cfRule>
  </conditionalFormatting>
  <conditionalFormatting sqref="E17:E18">
    <cfRule type="cellIs" priority="93" operator="equal" dxfId="44">
      <formula>"Red"</formula>
    </cfRule>
    <cfRule type="cellIs" priority="94" operator="equal" dxfId="43">
      <formula>"Unknown"</formula>
    </cfRule>
    <cfRule type="cellIs" priority="95" operator="equal" dxfId="42">
      <formula>"Covered"</formula>
    </cfRule>
    <cfRule type="cellIs" priority="96" operator="equal" dxfId="0">
      <formula>"Green"</formula>
    </cfRule>
    <cfRule type="cellIs" priority="97" operator="equal" dxfId="36">
      <formula>"Yellow"</formula>
    </cfRule>
  </conditionalFormatting>
  <conditionalFormatting sqref="FR18:FS18">
    <cfRule type="cellIs" priority="90" operator="equal" dxfId="39">
      <formula>"Missed TCD"</formula>
    </cfRule>
    <cfRule type="cellIs" priority="91" operator="equal" dxfId="0">
      <formula>"On-Track"</formula>
    </cfRule>
    <cfRule type="cellIs" priority="92" operator="equal" dxfId="36">
      <formula>"At Risk"</formula>
    </cfRule>
  </conditionalFormatting>
  <conditionalFormatting sqref="CS18">
    <cfRule type="cellIs" priority="89" operator="equal" dxfId="36">
      <formula>"Execution schedule has been re-baselined w/ FAIR PO Ack ACD. Validate your durations before publishing"</formula>
    </cfRule>
  </conditionalFormatting>
  <conditionalFormatting sqref="L20 U20 X20 AA20 AD20 AG20 AM20 AP20 BN20 BQ20 BT20 BW20 BZ20 CC20 CF20 CI20 CL20 DE20 DO20 DR20 DV20 DZ20:EA20 ED20 EJ20 EM20 EP20 ES20 EV20 EY20 FE20 FH20">
    <cfRule type="notContainsBlanks" priority="88" dxfId="0">
      <formula>LEN(TRIM(L20))&gt;0</formula>
    </cfRule>
  </conditionalFormatting>
  <conditionalFormatting sqref="E19:E20">
    <cfRule type="cellIs" priority="83" operator="equal" dxfId="44">
      <formula>"Red"</formula>
    </cfRule>
    <cfRule type="cellIs" priority="84" operator="equal" dxfId="43">
      <formula>"Unknown"</formula>
    </cfRule>
    <cfRule type="cellIs" priority="85" operator="equal" dxfId="42">
      <formula>"Covered"</formula>
    </cfRule>
    <cfRule type="cellIs" priority="86" operator="equal" dxfId="0">
      <formula>"Green"</formula>
    </cfRule>
    <cfRule type="cellIs" priority="87" operator="equal" dxfId="36">
      <formula>"Yellow"</formula>
    </cfRule>
  </conditionalFormatting>
  <conditionalFormatting sqref="FR20:FS20">
    <cfRule type="cellIs" priority="80" operator="equal" dxfId="39">
      <formula>"Missed TCD"</formula>
    </cfRule>
    <cfRule type="cellIs" priority="81" operator="equal" dxfId="0">
      <formula>"On-Track"</formula>
    </cfRule>
    <cfRule type="cellIs" priority="82" operator="equal" dxfId="36">
      <formula>"At Risk"</formula>
    </cfRule>
  </conditionalFormatting>
  <conditionalFormatting sqref="CS20">
    <cfRule type="cellIs" priority="79" operator="equal" dxfId="36">
      <formula>"Execution schedule has been re-baselined w/ FAIR PO Ack ACD. Validate your durations before publishing"</formula>
    </cfRule>
  </conditionalFormatting>
  <conditionalFormatting sqref="L22 U22 X22 AA22 AD22 AG22 AM22 AP22 BN22 BQ22 BT22 BW22 BZ22 CC22 CF22 CI22 CL22 DE22 DO22 DR22 DV22 DZ22:EA22 ED22 EJ22 EM22 EP22 ES22 EV22 EY22 FE22 FH22">
    <cfRule type="notContainsBlanks" priority="78" dxfId="0">
      <formula>LEN(TRIM(L22))&gt;0</formula>
    </cfRule>
  </conditionalFormatting>
  <conditionalFormatting sqref="E21:E22">
    <cfRule type="cellIs" priority="73" operator="equal" dxfId="44">
      <formula>"Red"</formula>
    </cfRule>
    <cfRule type="cellIs" priority="74" operator="equal" dxfId="43">
      <formula>"Unknown"</formula>
    </cfRule>
    <cfRule type="cellIs" priority="75" operator="equal" dxfId="42">
      <formula>"Covered"</formula>
    </cfRule>
    <cfRule type="cellIs" priority="76" operator="equal" dxfId="0">
      <formula>"Green"</formula>
    </cfRule>
    <cfRule type="cellIs" priority="77" operator="equal" dxfId="36">
      <formula>"Yellow"</formula>
    </cfRule>
  </conditionalFormatting>
  <conditionalFormatting sqref="FR22:FS22">
    <cfRule type="cellIs" priority="70" operator="equal" dxfId="39">
      <formula>"Missed TCD"</formula>
    </cfRule>
    <cfRule type="cellIs" priority="71" operator="equal" dxfId="0">
      <formula>"On-Track"</formula>
    </cfRule>
    <cfRule type="cellIs" priority="72" operator="equal" dxfId="36">
      <formula>"At Risk"</formula>
    </cfRule>
  </conditionalFormatting>
  <conditionalFormatting sqref="CS22">
    <cfRule type="cellIs" priority="69" operator="equal" dxfId="36">
      <formula>"Execution schedule has been re-baselined w/ FAIR PO Ack ACD. Validate your durations before publishing"</formula>
    </cfRule>
  </conditionalFormatting>
  <conditionalFormatting sqref="L24 U24 X24 AA24 AD24 AG24 AM24 AP24 BN24 BQ24 BT24 BW24 BZ24 CC24 CF24 CI24 CL24 DE24 DO24 DR24 DV24 DZ24:EA24 ED24 EJ24 EM24 EP24 ES24 EV24 EY24 FE24 FH24">
    <cfRule type="notContainsBlanks" priority="68" dxfId="0">
      <formula>LEN(TRIM(L24))&gt;0</formula>
    </cfRule>
  </conditionalFormatting>
  <conditionalFormatting sqref="E23:E24">
    <cfRule type="cellIs" priority="63" operator="equal" dxfId="44">
      <formula>"Red"</formula>
    </cfRule>
    <cfRule type="cellIs" priority="64" operator="equal" dxfId="43">
      <formula>"Unknown"</formula>
    </cfRule>
    <cfRule type="cellIs" priority="65" operator="equal" dxfId="42">
      <formula>"Covered"</formula>
    </cfRule>
    <cfRule type="cellIs" priority="66" operator="equal" dxfId="0">
      <formula>"Green"</formula>
    </cfRule>
    <cfRule type="cellIs" priority="67" operator="equal" dxfId="36">
      <formula>"Yellow"</formula>
    </cfRule>
  </conditionalFormatting>
  <conditionalFormatting sqref="FR24:FS24">
    <cfRule type="cellIs" priority="60" operator="equal" dxfId="39">
      <formula>"Missed TCD"</formula>
    </cfRule>
    <cfRule type="cellIs" priority="61" operator="equal" dxfId="0">
      <formula>"On-Track"</formula>
    </cfRule>
    <cfRule type="cellIs" priority="62" operator="equal" dxfId="36">
      <formula>"At Risk"</formula>
    </cfRule>
  </conditionalFormatting>
  <conditionalFormatting sqref="CS24">
    <cfRule type="cellIs" priority="59" operator="equal" dxfId="36">
      <formula>"Execution schedule has been re-baselined w/ FAIR PO Ack ACD. Validate your durations before publishing"</formula>
    </cfRule>
  </conditionalFormatting>
  <conditionalFormatting sqref="L26 U26 X26 AA26 AD26 AG26 AM26 AP26 BN26 BQ26 BT26 BW26 BZ26 CC26 CF26 CI26 CL26 DE26 DO26 DR26 DV26 DZ26:EA26 ED26 EJ26 EM26 EP26 ES26 EV26 EY26 FE26 FH26">
    <cfRule type="notContainsBlanks" priority="58" dxfId="0">
      <formula>LEN(TRIM(L26))&gt;0</formula>
    </cfRule>
  </conditionalFormatting>
  <conditionalFormatting sqref="E25:E26">
    <cfRule type="cellIs" priority="53" operator="equal" dxfId="44">
      <formula>"Red"</formula>
    </cfRule>
    <cfRule type="cellIs" priority="54" operator="equal" dxfId="43">
      <formula>"Unknown"</formula>
    </cfRule>
    <cfRule type="cellIs" priority="55" operator="equal" dxfId="42">
      <formula>"Covered"</formula>
    </cfRule>
    <cfRule type="cellIs" priority="56" operator="equal" dxfId="0">
      <formula>"Green"</formula>
    </cfRule>
    <cfRule type="cellIs" priority="57" operator="equal" dxfId="36">
      <formula>"Yellow"</formula>
    </cfRule>
  </conditionalFormatting>
  <conditionalFormatting sqref="FR26:FS26">
    <cfRule type="cellIs" priority="50" operator="equal" dxfId="39">
      <formula>"Missed TCD"</formula>
    </cfRule>
    <cfRule type="cellIs" priority="51" operator="equal" dxfId="0">
      <formula>"On-Track"</formula>
    </cfRule>
    <cfRule type="cellIs" priority="52" operator="equal" dxfId="36">
      <formula>"At Risk"</formula>
    </cfRule>
  </conditionalFormatting>
  <conditionalFormatting sqref="CS26">
    <cfRule type="cellIs" priority="49" operator="equal" dxfId="36">
      <formula>"Execution schedule has been re-baselined w/ FAIR PO Ack ACD. Validate your durations before publishing"</formula>
    </cfRule>
  </conditionalFormatting>
  <conditionalFormatting sqref="L28 U28 X28 AA28 AD28 AG28 AM28 AP28 BN28 BQ28 BT28 BW28 BZ28 CC28 CF28 CI28 CL28 DE28 DO28 DR28 DV28 DZ28:EA28 ED28 EJ28 EM28 EP28 ES28 EV28 EY28 FE28 FH28">
    <cfRule type="notContainsBlanks" priority="48" dxfId="0">
      <formula>LEN(TRIM(L28))&gt;0</formula>
    </cfRule>
  </conditionalFormatting>
  <conditionalFormatting sqref="E27:E28">
    <cfRule type="cellIs" priority="43" operator="equal" dxfId="44">
      <formula>"Red"</formula>
    </cfRule>
    <cfRule type="cellIs" priority="44" operator="equal" dxfId="43">
      <formula>"Unknown"</formula>
    </cfRule>
    <cfRule type="cellIs" priority="45" operator="equal" dxfId="42">
      <formula>"Covered"</formula>
    </cfRule>
    <cfRule type="cellIs" priority="46" operator="equal" dxfId="0">
      <formula>"Green"</formula>
    </cfRule>
    <cfRule type="cellIs" priority="47" operator="equal" dxfId="36">
      <formula>"Yellow"</formula>
    </cfRule>
  </conditionalFormatting>
  <conditionalFormatting sqref="FR28:FS28">
    <cfRule type="cellIs" priority="40" operator="equal" dxfId="39">
      <formula>"Missed TCD"</formula>
    </cfRule>
    <cfRule type="cellIs" priority="41" operator="equal" dxfId="0">
      <formula>"On-Track"</formula>
    </cfRule>
    <cfRule type="cellIs" priority="42" operator="equal" dxfId="36">
      <formula>"At Risk"</formula>
    </cfRule>
  </conditionalFormatting>
  <conditionalFormatting sqref="CS28">
    <cfRule type="cellIs" priority="39" operator="equal" dxfId="36">
      <formula>"Execution schedule has been re-baselined w/ FAIR PO Ack ACD. Validate your durations before publishing"</formula>
    </cfRule>
  </conditionalFormatting>
  <conditionalFormatting sqref="I10">
    <cfRule type="notContainsBlanks" priority="36" dxfId="0">
      <formula>LEN(TRIM(I10))&gt;0</formula>
    </cfRule>
    <cfRule type="notContainsBlanks" priority="35" dxfId="0">
      <formula>LEN(TRIM(I10))&gt;0</formula>
    </cfRule>
  </conditionalFormatting>
  <conditionalFormatting sqref="O12 O14 O16 O18 O20 O22 O24 O26 O28">
    <cfRule type="notContainsBlanks" priority="34" dxfId="0">
      <formula>LEN(TRIM(O12))&gt;0</formula>
    </cfRule>
    <cfRule type="notContainsBlanks" priority="33" dxfId="0">
      <formula>LEN(TRIM(O12))&gt;0</formula>
    </cfRule>
  </conditionalFormatting>
  <conditionalFormatting sqref="R12 R14 R16 R18 R20 R22 R24 R26 R28">
    <cfRule type="notContainsBlanks" priority="32" dxfId="0">
      <formula>LEN(TRIM(R12))&gt;0</formula>
    </cfRule>
    <cfRule type="notContainsBlanks" priority="31" dxfId="0">
      <formula>LEN(TRIM(R12))&gt;0</formula>
    </cfRule>
  </conditionalFormatting>
  <conditionalFormatting sqref="AJ12 AJ14 AJ16 AJ18 AJ20 AJ22 AJ24 AJ26 AJ28">
    <cfRule type="notContainsBlanks" priority="30" dxfId="0">
      <formula>LEN(TRIM(AJ12))&gt;0</formula>
    </cfRule>
    <cfRule type="notContainsBlanks" priority="29" dxfId="0">
      <formula>LEN(TRIM(AJ12))&gt;0</formula>
    </cfRule>
  </conditionalFormatting>
  <conditionalFormatting sqref="CO12 CO14 CO16 CO18 CO20 CO22 CO24 CO26 CO28">
    <cfRule type="notContainsBlanks" priority="28" dxfId="0">
      <formula>LEN(TRIM(CO12))&gt;0</formula>
    </cfRule>
    <cfRule type="notContainsBlanks" priority="27" dxfId="0">
      <formula>LEN(TRIM(CO12))&gt;0</formula>
    </cfRule>
  </conditionalFormatting>
  <conditionalFormatting sqref="CR12 CR14 CR16 CR18 CR20 CR22 CR24 CR26 CR28">
    <cfRule type="notContainsBlanks" priority="26" dxfId="0">
      <formula>LEN(TRIM(CR12))&gt;0</formula>
    </cfRule>
    <cfRule type="notContainsBlanks" priority="25" dxfId="0">
      <formula>LEN(TRIM(CR12))&gt;0</formula>
    </cfRule>
  </conditionalFormatting>
  <conditionalFormatting sqref="CV12 CV14 CV16 CV18 CV20 CV22 CV24 CV26 CV28">
    <cfRule type="notContainsBlanks" priority="24" dxfId="0">
      <formula>LEN(TRIM(CV12))&gt;0</formula>
    </cfRule>
    <cfRule type="notContainsBlanks" priority="23" dxfId="0">
      <formula>LEN(TRIM(CV12))&gt;0</formula>
    </cfRule>
  </conditionalFormatting>
  <conditionalFormatting sqref="I12 I14 I16 I18 I20 I22 I24 I26 I28">
    <cfRule type="notContainsBlanks" priority="22" dxfId="0">
      <formula>LEN(TRIM(I12))&gt;0</formula>
    </cfRule>
    <cfRule type="notContainsBlanks" priority="21" dxfId="0">
      <formula>LEN(TRIM(I12))&gt;0</formula>
    </cfRule>
  </conditionalFormatting>
  <conditionalFormatting sqref="FN12 FN14 FN16 FN18 FN20 FN22 FN24 FN26 FN28">
    <cfRule type="notContainsBlanks" priority="20" dxfId="0">
      <formula>LEN(TRIM(FN12))&gt;0</formula>
    </cfRule>
    <cfRule type="notContainsBlanks" priority="19" dxfId="0">
      <formula>LEN(TRIM(FN12))&gt;0</formula>
    </cfRule>
  </conditionalFormatting>
  <conditionalFormatting sqref="FK12 FK14 FK16 FK18 FK20 FK22 FK24 FK26 FK28">
    <cfRule type="notContainsBlanks" priority="18" dxfId="0">
      <formula>LEN(TRIM(FK12))&gt;0</formula>
    </cfRule>
    <cfRule type="notContainsBlanks" priority="17" dxfId="0">
      <formula>LEN(TRIM(FK12))&gt;0</formula>
    </cfRule>
  </conditionalFormatting>
  <conditionalFormatting sqref="FB12 FB14 FB16 FB18 FB20 FB22 FB24 FB26 FB28">
    <cfRule type="notContainsBlanks" priority="16" dxfId="0">
      <formula>LEN(TRIM(FB12))&gt;0</formula>
    </cfRule>
    <cfRule type="notContainsBlanks" priority="15" dxfId="0">
      <formula>LEN(TRIM(FB12))&gt;0</formula>
    </cfRule>
  </conditionalFormatting>
  <conditionalFormatting sqref="EG12 EG14 EG16 EG18 EG20 EG22 EG24 EG26 EG28">
    <cfRule type="notContainsBlanks" priority="14" dxfId="0">
      <formula>LEN(TRIM(EG12))&gt;0</formula>
    </cfRule>
    <cfRule type="notContainsBlanks" priority="13" dxfId="0">
      <formula>LEN(TRIM(EG12))&gt;0</formula>
    </cfRule>
  </conditionalFormatting>
  <conditionalFormatting sqref="CY12 CY14 CY16 CY18 CY20 CY22 CY24 CY26 CY28">
    <cfRule type="notContainsBlanks" priority="12" dxfId="0">
      <formula>LEN(TRIM(CY12))&gt;0</formula>
    </cfRule>
    <cfRule type="notContainsBlanks" priority="11" dxfId="0">
      <formula>LEN(TRIM(CY12))&gt;0</formula>
    </cfRule>
  </conditionalFormatting>
  <conditionalFormatting sqref="DB12 DB14 DB16 DB18 DB20 DB22 DB24 DB26 DB28">
    <cfRule type="notContainsBlanks" priority="10" dxfId="0">
      <formula>LEN(TRIM(DB12))&gt;0</formula>
    </cfRule>
    <cfRule type="notContainsBlanks" priority="9" dxfId="0">
      <formula>LEN(TRIM(DB12))&gt;0</formula>
    </cfRule>
  </conditionalFormatting>
  <conditionalFormatting sqref="DH12 DH14 DH16 DH18 DH20 DH22 DH24 DH26 DH28">
    <cfRule type="notContainsBlanks" priority="8" dxfId="0">
      <formula>LEN(TRIM(DH12))&gt;0</formula>
    </cfRule>
    <cfRule type="notContainsBlanks" priority="7" dxfId="0">
      <formula>LEN(TRIM(DH12))&gt;0</formula>
    </cfRule>
  </conditionalFormatting>
  <conditionalFormatting sqref="DL12 DL14 DL16 DL18 DL20 DL22 DL24 DL26 DL28">
    <cfRule type="notContainsBlanks" priority="6" dxfId="0">
      <formula>LEN(TRIM(DL12))&gt;0</formula>
    </cfRule>
    <cfRule type="notContainsBlanks" priority="5" dxfId="0">
      <formula>LEN(TRIM(DL12))&gt;0</formula>
    </cfRule>
  </conditionalFormatting>
  <conditionalFormatting sqref="BH12 BH14 BH16 BH18 BH20 BH22 BH24 BH26 BH28">
    <cfRule type="notContainsBlanks" priority="4" dxfId="0">
      <formula>LEN(TRIM(BH12))&gt;0</formula>
    </cfRule>
    <cfRule type="notContainsBlanks" priority="3" dxfId="0">
      <formula>LEN(TRIM(BH12))&gt;0</formula>
    </cfRule>
  </conditionalFormatting>
  <conditionalFormatting sqref="BK12 BK14 BK16 BK18 BK20 BK22 BK24 BK26 BK28">
    <cfRule type="notContainsBlanks" priority="2" dxfId="0">
      <formula>LEN(TRIM(BK12))&gt;0</formula>
    </cfRule>
    <cfRule type="notContainsBlanks" priority="1" dxfId="0">
      <formula>LEN(TRIM(BK12))&gt;0</formula>
    </cfRule>
  </conditionalFormatting>
  <dataValidations count="4">
    <dataValidation sqref="CS9:CS28 FR1:FS2 FR7:FS1048576" showDropDown="0" showInputMessage="1" showErrorMessage="1" allowBlank="1" operator="greaterThan"/>
    <dataValidation sqref="D9:D1048576 I1:AB1048576 AC1:AD6 AC8:AD1048576 AE1:AZ1048576 BA1:BE6 BA8:BE1048576 BC7:BE7 BF1:BF1048576 BG1:BI3 BG5:BH1048576 BI5 BI7:CP1048576 BJ1:DF2 CM4 CQ8:CR28 CQ29:CS1048576 CS8 CT7:CT1048576 CU8:CV1048576 CW7:CZ1048576 DA8:DE1048576 DC7:DE7 DF7:DH1048576 DG1 DI1:DJ1 DI2:DK2 DI7 DI8:DL1048576 DM1:DP2 DM7:DP1048576 DQ1 DQ8:ED1048576 DS7 DT1 DT2:DU2 DV1:DW2 DW7 DX1 DX2:DY2 DZ1:EA2 EA7 EB1 EB2:EC2 ED1:FQ2 EE7:EM1048576 EN7 EN8:FB1048576 EQ7 ET7 EW7 EZ4 EZ7:FB7 FC7:FC1048576 FD8:FH1048576 FI7:FL1048576 FL5 FM8:FN1048576 FO7:FQ1048576" showDropDown="0" showInputMessage="1" showErrorMessage="1" allowBlank="1" type="whole" operator="greaterThan">
      <formula1>-9999</formula1>
    </dataValidation>
    <dataValidation sqref="E9:E1048576" showDropDown="0" showInputMessage="1" showErrorMessage="1" allowBlank="1" type="list">
      <formula1>"Covered,Green,Yellow,Red,Unknown"</formula1>
    </dataValidation>
    <dataValidation sqref="H6:H1048576" showDropDown="0" showInputMessage="1" showErrorMessage="1" allowBlank="1" type="list">
      <formula1>"Pre-Execution,Execution"</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4">
    <outlinePr summaryBelow="1" summaryRight="1"/>
    <pageSetUpPr/>
  </sheetPr>
  <dimension ref="A1:C13"/>
  <sheetViews>
    <sheetView workbookViewId="0">
      <selection activeCell="A1" sqref="A1"/>
    </sheetView>
  </sheetViews>
  <sheetFormatPr baseColWidth="8" defaultRowHeight="14.4"/>
  <cols>
    <col width="10.33203125" bestFit="1" customWidth="1" min="3" max="3"/>
  </cols>
  <sheetData>
    <row r="1">
      <c r="A1" s="14" t="inlineStr">
        <is>
          <t>Task</t>
        </is>
      </c>
      <c r="B1" s="15" t="inlineStr">
        <is>
          <t>Days</t>
        </is>
      </c>
      <c r="C1" s="15" t="inlineStr">
        <is>
          <t>Date</t>
        </is>
      </c>
    </row>
    <row r="2">
      <c r="A2" t="inlineStr">
        <is>
          <t>Start</t>
        </is>
      </c>
      <c r="C2" s="9" t="n">
        <v>45758</v>
      </c>
    </row>
    <row r="3">
      <c r="A3" t="inlineStr">
        <is>
          <t>Task 1</t>
        </is>
      </c>
      <c r="B3" t="n">
        <v>5</v>
      </c>
      <c r="C3" s="9">
        <f>WORKDAY(C2,B3)</f>
        <v/>
      </c>
    </row>
    <row r="4">
      <c r="A4" t="inlineStr">
        <is>
          <t>Task 2</t>
        </is>
      </c>
      <c r="B4" t="n">
        <v>10</v>
      </c>
      <c r="C4" s="9">
        <f>WORKDAY(C3,B4)</f>
        <v/>
      </c>
    </row>
    <row r="5">
      <c r="A5" t="inlineStr">
        <is>
          <t>Task 3</t>
        </is>
      </c>
      <c r="B5" t="n">
        <v>15</v>
      </c>
      <c r="C5" s="9">
        <f>WORKDAY(C4,B5)</f>
        <v/>
      </c>
    </row>
    <row r="6">
      <c r="A6" t="inlineStr">
        <is>
          <t>Task 4</t>
        </is>
      </c>
      <c r="B6" t="n">
        <v>5</v>
      </c>
      <c r="C6" s="9">
        <f>WORKDAY(C5,B6)</f>
        <v/>
      </c>
    </row>
    <row r="7">
      <c r="A7" t="inlineStr">
        <is>
          <t>Task 5</t>
        </is>
      </c>
      <c r="B7" t="n">
        <v>45</v>
      </c>
      <c r="C7" s="9">
        <f>WORKDAY(C6,B7)</f>
        <v/>
      </c>
    </row>
    <row r="8">
      <c r="A8" t="inlineStr">
        <is>
          <t>Task 6</t>
        </is>
      </c>
      <c r="B8" t="n">
        <v>10</v>
      </c>
      <c r="C8" s="9">
        <f>WORKDAY(C7,B8)</f>
        <v/>
      </c>
    </row>
    <row r="9">
      <c r="A9" t="inlineStr">
        <is>
          <t>Task 7</t>
        </is>
      </c>
      <c r="B9" t="n">
        <v>50</v>
      </c>
      <c r="C9" s="9">
        <f>WORKDAY(C8,B9)</f>
        <v/>
      </c>
    </row>
    <row r="10">
      <c r="A10" t="inlineStr">
        <is>
          <t>Task 8</t>
        </is>
      </c>
      <c r="B10" t="n">
        <v>10</v>
      </c>
      <c r="C10" s="9">
        <f>WORKDAY(C9,B10)</f>
        <v/>
      </c>
    </row>
    <row r="11">
      <c r="A11" t="inlineStr">
        <is>
          <t>Task 9</t>
        </is>
      </c>
      <c r="B11" t="n">
        <v>5</v>
      </c>
      <c r="C11" s="9">
        <f>WORKDAY(C10,B11)</f>
        <v/>
      </c>
    </row>
    <row r="12">
      <c r="A12" t="inlineStr">
        <is>
          <t>Task 10</t>
        </is>
      </c>
      <c r="B12" t="n">
        <v>85</v>
      </c>
      <c r="C12" s="9">
        <f>WORKDAY(C11,B12)</f>
        <v/>
      </c>
    </row>
    <row r="13">
      <c r="A13" t="inlineStr">
        <is>
          <t>Task 11</t>
        </is>
      </c>
      <c r="B13" t="n">
        <v>10</v>
      </c>
      <c r="C13" s="9">
        <f>WORKDAY(C12,B13)</f>
        <v/>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Vale, Walter (SR-Power Systems)</dc:creator>
  <dcterms:created xsi:type="dcterms:W3CDTF">2025-03-07T14:46:06Z</dcterms:created>
  <dcterms:modified xsi:type="dcterms:W3CDTF">2026-05-10T11:21:26Z</dcterms:modified>
  <cp:lastModifiedBy>Thakare, Sayee</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0x0101003441BF734AE4664C86C49F98C7B3E206</vt:lpwstr>
  </property>
  <property name="SGM_SYS_Server" fmtid="{D5CDD505-2E9C-101B-9397-08002B2CF9AE}" pid="3">
    <vt:lpwstr>https://accolade.honeywell.com:443</vt:lpwstr>
  </property>
  <property name="SGM_SYS_ProjectID" fmtid="{D5CDD505-2E9C-101B-9397-08002B2CF9AE}" pid="4">
    <vt:i4>0</vt:i4>
  </property>
  <property name="SGM_SYS_ActivityID" fmtid="{D5CDD505-2E9C-101B-9397-08002B2CF9AE}" pid="5">
    <vt:i4>0</vt:i4>
  </property>
  <property name="SGM_SYS_DeliverableID" fmtid="{D5CDD505-2E9C-101B-9397-08002B2CF9AE}" pid="6">
    <vt:i4>0</vt:i4>
  </property>
  <property name="SGM_SYS_RelatedFileID" fmtid="{D5CDD505-2E9C-101B-9397-08002B2CF9AE}" pid="7">
    <vt:i4>0</vt:i4>
  </property>
  <property name="SGM_SYS_GateDocumentID" fmtid="{D5CDD505-2E9C-101B-9397-08002B2CF9AE}" pid="8">
    <vt:i4>0</vt:i4>
  </property>
  <property name="SGM_SYS_TemplateLibraryID" fmtid="{D5CDD505-2E9C-101B-9397-08002B2CF9AE}" pid="9">
    <vt:i4>0</vt:i4>
  </property>
</Properties>
</file>